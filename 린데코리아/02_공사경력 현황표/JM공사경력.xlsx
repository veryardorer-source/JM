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jm\002_JM회계\000_경영\02_공사경력 현황표\"/>
    </mc:Choice>
  </mc:AlternateContent>
  <xr:revisionPtr revIDLastSave="0" documentId="13_ncr:1_{196E4CEE-663C-479B-989F-240E5AE26091}" xr6:coauthVersionLast="47" xr6:coauthVersionMax="47" xr10:uidLastSave="{00000000-0000-0000-0000-000000000000}"/>
  <bookViews>
    <workbookView xWindow="-120" yWindow="-120" windowWidth="29040" windowHeight="15720" tabRatio="696" xr2:uid="{8C8E2AA6-0981-4887-A223-759D6087B068}"/>
  </bookViews>
  <sheets>
    <sheet name="법인 2026" sheetId="7" r:id="rId1"/>
    <sheet name="법인 2025" sheetId="6" r:id="rId2"/>
    <sheet name="법인 2025 신고내역" sheetId="8" r:id="rId3"/>
    <sheet name="법인 2025 발송현황" sheetId="11" r:id="rId4"/>
    <sheet name="법인 2024" sheetId="1" r:id="rId5"/>
    <sheet name="법인2023" sheetId="2" r:id="rId6"/>
    <sheet name="2022년" sheetId="3" r:id="rId7"/>
    <sheet name="2021년" sheetId="4" r:id="rId8"/>
    <sheet name="2020년" sheetId="5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3" hidden="1">'법인 2025 발송현황'!$A$1:$X$1</definedName>
    <definedName name="_xlnm._FilterDatabase" localSheetId="2" hidden="1">'법인 2025 신고내역'!$A$1:$A$12</definedName>
    <definedName name="_xlnm.Print_Area" localSheetId="1">'법인 2025'!$A$6:$N$50</definedName>
    <definedName name="_xlnm.Print_Area" localSheetId="2">'법인 2025 신고내역'!$A$1:$Y$80</definedName>
    <definedName name="_xlnm.Print_Area" localSheetId="0">'법인 2026'!$A$2:$N$50</definedName>
  </definedName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7" l="1"/>
  <c r="B6" i="6"/>
  <c r="B5" i="6"/>
  <c r="N18" i="7" l="1"/>
  <c r="M18" i="7" l="1"/>
  <c r="N19" i="7" l="1"/>
  <c r="N16" i="7" l="1"/>
  <c r="N23" i="7"/>
  <c r="N20" i="7"/>
  <c r="M20" i="7"/>
  <c r="N24" i="7"/>
  <c r="M24" i="7"/>
  <c r="M23" i="7"/>
  <c r="M16" i="7" l="1"/>
  <c r="M19" i="7" l="1"/>
  <c r="N15" i="7"/>
  <c r="M15" i="7"/>
  <c r="Q4" i="11"/>
  <c r="Q3" i="11"/>
  <c r="Q2" i="11"/>
  <c r="B2" i="7" l="1"/>
  <c r="N59" i="8" l="1"/>
  <c r="N58" i="8"/>
  <c r="N56" i="8"/>
  <c r="N55" i="8"/>
  <c r="N54" i="8"/>
  <c r="N53" i="8"/>
  <c r="N52" i="8"/>
  <c r="N2" i="8" l="1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B3" i="7"/>
  <c r="B4" i="7" s="1"/>
  <c r="B3" i="6"/>
  <c r="B2" i="6"/>
  <c r="G57" i="1"/>
  <c r="B4" i="6" l="1"/>
  <c r="G16" i="5"/>
  <c r="G27" i="4"/>
  <c r="G40" i="3"/>
  <c r="G40" i="2"/>
  <c r="M14" i="7" l="1"/>
  <c r="B5" i="7" s="1"/>
  <c r="C5" i="7" s="1"/>
  <c r="N14" i="7" l="1"/>
</calcChain>
</file>

<file path=xl/sharedStrings.xml><?xml version="1.0" encoding="utf-8"?>
<sst xmlns="http://schemas.openxmlformats.org/spreadsheetml/2006/main" count="1818" uniqueCount="787">
  <si>
    <t>현장명</t>
    <phoneticPr fontId="1" type="noConversion"/>
  </si>
  <si>
    <t>시작일</t>
    <phoneticPr fontId="1" type="noConversion"/>
  </si>
  <si>
    <t xml:space="preserve">준공일 </t>
    <phoneticPr fontId="1" type="noConversion"/>
  </si>
  <si>
    <t>소답동미용실</t>
    <phoneticPr fontId="1" type="noConversion"/>
  </si>
  <si>
    <t>교방동 누리학원</t>
    <phoneticPr fontId="1" type="noConversion"/>
  </si>
  <si>
    <t>2024년</t>
    <phoneticPr fontId="1" type="noConversion"/>
  </si>
  <si>
    <t>경남대 미래라이프대학</t>
    <phoneticPr fontId="1" type="noConversion"/>
  </si>
  <si>
    <t>소답동카페</t>
    <phoneticPr fontId="1" type="noConversion"/>
  </si>
  <si>
    <t>엠에스이 회의실</t>
    <phoneticPr fontId="1" type="noConversion"/>
  </si>
  <si>
    <t>두산위브앨리스</t>
    <phoneticPr fontId="1" type="noConversion"/>
  </si>
  <si>
    <t>진영HNS 로비</t>
    <phoneticPr fontId="1" type="noConversion"/>
  </si>
  <si>
    <t>양덕동 미용실</t>
    <phoneticPr fontId="1" type="noConversion"/>
  </si>
  <si>
    <t>더베이커스</t>
    <phoneticPr fontId="1" type="noConversion"/>
  </si>
  <si>
    <t>삼일기술단</t>
    <phoneticPr fontId="1" type="noConversion"/>
  </si>
  <si>
    <t>더강해진수학교습소</t>
    <phoneticPr fontId="1" type="noConversion"/>
  </si>
  <si>
    <t>착한미용실</t>
    <phoneticPr fontId="1" type="noConversion"/>
  </si>
  <si>
    <t>낙동강유역환경청</t>
    <phoneticPr fontId="1" type="noConversion"/>
  </si>
  <si>
    <t>에스지정공</t>
    <phoneticPr fontId="1" type="noConversion"/>
  </si>
  <si>
    <t>모드텍</t>
    <phoneticPr fontId="1" type="noConversion"/>
  </si>
  <si>
    <t>화연제과</t>
    <phoneticPr fontId="1" type="noConversion"/>
  </si>
  <si>
    <t>낙동강2층</t>
    <phoneticPr fontId="1" type="noConversion"/>
  </si>
  <si>
    <t>북면 학원인테리어</t>
    <phoneticPr fontId="1" type="noConversion"/>
  </si>
  <si>
    <t>SK 615호</t>
    <phoneticPr fontId="1" type="noConversion"/>
  </si>
  <si>
    <t>샌드빅회의실</t>
    <phoneticPr fontId="1" type="noConversion"/>
  </si>
  <si>
    <t>손길헤어</t>
    <phoneticPr fontId="1" type="noConversion"/>
  </si>
  <si>
    <t>미래환경</t>
    <phoneticPr fontId="1" type="noConversion"/>
  </si>
  <si>
    <t>어반브릭스12층</t>
    <phoneticPr fontId="1" type="noConversion"/>
  </si>
  <si>
    <t>지엔티 인테리어</t>
    <phoneticPr fontId="1" type="noConversion"/>
  </si>
  <si>
    <t>감계 푸르지오 교습소</t>
    <phoneticPr fontId="1" type="noConversion"/>
  </si>
  <si>
    <t>산호동 국밥집</t>
    <phoneticPr fontId="1" type="noConversion"/>
  </si>
  <si>
    <t>청춘 푸줏간</t>
    <phoneticPr fontId="1" type="noConversion"/>
  </si>
  <si>
    <t>스포츠가치센터 디자인</t>
    <phoneticPr fontId="1" type="noConversion"/>
  </si>
  <si>
    <t>힐스테이트미용실</t>
    <phoneticPr fontId="1" type="noConversion"/>
  </si>
  <si>
    <t>봉덕소 세영수학교습소</t>
    <phoneticPr fontId="1" type="noConversion"/>
  </si>
  <si>
    <t>스포츠가치센터 유스텔 디자인</t>
    <phoneticPr fontId="1" type="noConversion"/>
  </si>
  <si>
    <t>아름드리숲상담센터</t>
    <phoneticPr fontId="1" type="noConversion"/>
  </si>
  <si>
    <t>HK창원</t>
    <phoneticPr fontId="1" type="noConversion"/>
  </si>
  <si>
    <t>문소영</t>
    <phoneticPr fontId="1" type="noConversion"/>
  </si>
  <si>
    <t>다원이엔씨</t>
    <phoneticPr fontId="1" type="noConversion"/>
  </si>
  <si>
    <t>태웅산전</t>
    <phoneticPr fontId="1" type="noConversion"/>
  </si>
  <si>
    <t>HCS공장 사무동 계단</t>
    <phoneticPr fontId="1" type="noConversion"/>
  </si>
  <si>
    <t>삼명기계공업</t>
    <phoneticPr fontId="1" type="noConversion"/>
  </si>
  <si>
    <t>Hk대구</t>
    <phoneticPr fontId="1" type="noConversion"/>
  </si>
  <si>
    <t>진주윤앤오 음악학원</t>
    <phoneticPr fontId="1" type="noConversion"/>
  </si>
  <si>
    <t>부산대학교 생명자원과학대학</t>
    <phoneticPr fontId="1" type="noConversion"/>
  </si>
  <si>
    <t>진해교습소인테리어</t>
    <phoneticPr fontId="1" type="noConversion"/>
  </si>
  <si>
    <t>진해삼서영어</t>
    <phoneticPr fontId="1" type="noConversion"/>
  </si>
  <si>
    <t>2023년</t>
    <phoneticPr fontId="1" type="noConversion"/>
  </si>
  <si>
    <t>요리수수학교습소</t>
    <phoneticPr fontId="1" type="noConversion"/>
  </si>
  <si>
    <t>헥사곤</t>
    <phoneticPr fontId="1" type="noConversion"/>
  </si>
  <si>
    <t>진영HNS경비동</t>
    <phoneticPr fontId="1" type="noConversion"/>
  </si>
  <si>
    <t>DS동산</t>
    <phoneticPr fontId="1" type="noConversion"/>
  </si>
  <si>
    <t>진영HNS화장실</t>
    <phoneticPr fontId="1" type="noConversion"/>
  </si>
  <si>
    <t>위딘 회의실</t>
    <phoneticPr fontId="1" type="noConversion"/>
  </si>
  <si>
    <t>지안SMP</t>
    <phoneticPr fontId="1" type="noConversion"/>
  </si>
  <si>
    <t>제니스코딩 교습소</t>
    <phoneticPr fontId="1" type="noConversion"/>
  </si>
  <si>
    <t>고성이발소</t>
    <phoneticPr fontId="1" type="noConversion"/>
  </si>
  <si>
    <t>유니시티1단지 수학교습소</t>
    <phoneticPr fontId="1" type="noConversion"/>
  </si>
  <si>
    <t>코아텍시스템즈</t>
    <phoneticPr fontId="1" type="noConversion"/>
  </si>
  <si>
    <t>가로수길 바버샵</t>
    <phoneticPr fontId="1" type="noConversion"/>
  </si>
  <si>
    <t>신화철강 샘플하우스</t>
    <phoneticPr fontId="1" type="noConversion"/>
  </si>
  <si>
    <t>아모레퍼시픽</t>
    <phoneticPr fontId="1" type="noConversion"/>
  </si>
  <si>
    <t>창녕바당돌담</t>
    <phoneticPr fontId="1" type="noConversion"/>
  </si>
  <si>
    <t>그롭코리아 회의실</t>
    <phoneticPr fontId="1" type="noConversion"/>
  </si>
  <si>
    <t>지엔티인테리어</t>
    <phoneticPr fontId="1" type="noConversion"/>
  </si>
  <si>
    <t>창녕미용실</t>
    <phoneticPr fontId="1" type="noConversion"/>
  </si>
  <si>
    <t>청도면 요고리농막</t>
    <phoneticPr fontId="1" type="noConversion"/>
  </si>
  <si>
    <t>삼육오 인테리어</t>
    <phoneticPr fontId="1" type="noConversion"/>
  </si>
  <si>
    <t>그롭코리아 리모델링</t>
    <phoneticPr fontId="1" type="noConversion"/>
  </si>
  <si>
    <t>상남동 미용실 인테리어</t>
    <phoneticPr fontId="1" type="noConversion"/>
  </si>
  <si>
    <t>율하피부샵인테리어</t>
    <phoneticPr fontId="1" type="noConversion"/>
  </si>
  <si>
    <t>지엔티1공장 2층</t>
    <phoneticPr fontId="1" type="noConversion"/>
  </si>
  <si>
    <t>한국샌드빅 창고가벽</t>
    <phoneticPr fontId="1" type="noConversion"/>
  </si>
  <si>
    <t>한국샌드빅 회의실 흡음재</t>
    <phoneticPr fontId="1" type="noConversion"/>
  </si>
  <si>
    <t>보원산업2층</t>
    <phoneticPr fontId="1" type="noConversion"/>
  </si>
  <si>
    <t>셰플러코리아 구내식당</t>
    <phoneticPr fontId="1" type="noConversion"/>
  </si>
  <si>
    <t>야마자키마작 사무실</t>
    <phoneticPr fontId="1" type="noConversion"/>
  </si>
  <si>
    <t xml:space="preserve">함안군수실 </t>
    <phoneticPr fontId="1" type="noConversion"/>
  </si>
  <si>
    <t>혜성정밀</t>
    <phoneticPr fontId="1" type="noConversion"/>
  </si>
  <si>
    <t>보원산업추가공사</t>
    <phoneticPr fontId="1" type="noConversion"/>
  </si>
  <si>
    <t>제주낙천리</t>
    <phoneticPr fontId="1" type="noConversion"/>
  </si>
  <si>
    <t>김해테일러샵</t>
    <phoneticPr fontId="1" type="noConversion"/>
  </si>
  <si>
    <t>마린애시앙 학원</t>
    <phoneticPr fontId="1" type="noConversion"/>
  </si>
  <si>
    <t>신월동 배달음식점</t>
    <phoneticPr fontId="1" type="noConversion"/>
  </si>
  <si>
    <t>가음정 미용실</t>
    <phoneticPr fontId="1" type="noConversion"/>
  </si>
  <si>
    <t>밀양 청학리 농막</t>
    <phoneticPr fontId="1" type="noConversion"/>
  </si>
  <si>
    <t>본파이어베이프</t>
    <phoneticPr fontId="1" type="noConversion"/>
  </si>
  <si>
    <t>일진사무동</t>
    <phoneticPr fontId="1" type="noConversion"/>
  </si>
  <si>
    <t>대낭숲 북면</t>
    <phoneticPr fontId="1" type="noConversion"/>
  </si>
  <si>
    <t>큰나래 당리동</t>
    <phoneticPr fontId="1" type="noConversion"/>
  </si>
  <si>
    <t>한일타운 리모델링</t>
    <phoneticPr fontId="1" type="noConversion"/>
  </si>
  <si>
    <t>합성동 디스튜디오 뷰티아카데미</t>
    <phoneticPr fontId="1" type="noConversion"/>
  </si>
  <si>
    <t>합포구 회원동북로52</t>
    <phoneticPr fontId="1" type="noConversion"/>
  </si>
  <si>
    <t xml:space="preserve">어반브릭스 보루 </t>
    <phoneticPr fontId="1" type="noConversion"/>
  </si>
  <si>
    <t>밀양 단장면 국전리 농막</t>
    <phoneticPr fontId="1" type="noConversion"/>
  </si>
  <si>
    <t>태룡리 소형주택 신축</t>
    <phoneticPr fontId="1" type="noConversion"/>
  </si>
  <si>
    <t>함안미용실</t>
    <phoneticPr fontId="1" type="noConversion"/>
  </si>
  <si>
    <t>서상동미용실</t>
    <phoneticPr fontId="1" type="noConversion"/>
  </si>
  <si>
    <t>케이비엠툴스 사무실</t>
    <phoneticPr fontId="1" type="noConversion"/>
  </si>
  <si>
    <t>후사포리 농막</t>
    <phoneticPr fontId="1" type="noConversion"/>
  </si>
  <si>
    <t>도계동테리하우스</t>
    <phoneticPr fontId="1" type="noConversion"/>
  </si>
  <si>
    <t>롯데캐슬 해쉬커피</t>
    <phoneticPr fontId="1" type="noConversion"/>
  </si>
  <si>
    <t>삼성생명</t>
    <phoneticPr fontId="1" type="noConversion"/>
  </si>
  <si>
    <t>롯데캐슬네일샵</t>
    <phoneticPr fontId="1" type="noConversion"/>
  </si>
  <si>
    <t>벽돌집</t>
    <phoneticPr fontId="1" type="noConversion"/>
  </si>
  <si>
    <t>부북면 위양리 107-1 농막</t>
    <phoneticPr fontId="1" type="noConversion"/>
  </si>
  <si>
    <t>보은헤어</t>
    <phoneticPr fontId="1" type="noConversion"/>
  </si>
  <si>
    <t>대낭숲 사무실</t>
    <phoneticPr fontId="1" type="noConversion"/>
  </si>
  <si>
    <t>바모스 부산</t>
    <phoneticPr fontId="1" type="noConversion"/>
  </si>
  <si>
    <t>유엔테크사무실</t>
    <phoneticPr fontId="1" type="noConversion"/>
  </si>
  <si>
    <t>제이엠모터스인테리어</t>
    <phoneticPr fontId="1" type="noConversion"/>
  </si>
  <si>
    <t>창녕 사회복지타운 카운터교체</t>
    <phoneticPr fontId="1" type="noConversion"/>
  </si>
  <si>
    <t>헤어샵오늘</t>
    <phoneticPr fontId="1" type="noConversion"/>
  </si>
  <si>
    <t>공사명</t>
    <phoneticPr fontId="1" type="noConversion"/>
  </si>
  <si>
    <t>고객명</t>
    <phoneticPr fontId="1" type="noConversion"/>
  </si>
  <si>
    <t>금액</t>
    <phoneticPr fontId="1" type="noConversion"/>
  </si>
  <si>
    <t>김해 테일러샵</t>
    <phoneticPr fontId="1" type="noConversion"/>
  </si>
  <si>
    <t>권소영</t>
    <phoneticPr fontId="1" type="noConversion"/>
  </si>
  <si>
    <t>윤정남</t>
    <phoneticPr fontId="1" type="noConversion"/>
  </si>
  <si>
    <t>마린애시앙학원</t>
    <phoneticPr fontId="1" type="noConversion"/>
  </si>
  <si>
    <t>김지욱</t>
    <phoneticPr fontId="1" type="noConversion"/>
  </si>
  <si>
    <t>가음정미용실</t>
    <phoneticPr fontId="1" type="noConversion"/>
  </si>
  <si>
    <t>이은주</t>
    <phoneticPr fontId="1" type="noConversion"/>
  </si>
  <si>
    <t>밀양청학리농막리모델링</t>
    <phoneticPr fontId="1" type="noConversion"/>
  </si>
  <si>
    <t>김은하</t>
    <phoneticPr fontId="1" type="noConversion"/>
  </si>
  <si>
    <t>본파이어베이프 마산</t>
    <phoneticPr fontId="1" type="noConversion"/>
  </si>
  <si>
    <t>진영균</t>
    <phoneticPr fontId="1" type="noConversion"/>
  </si>
  <si>
    <t>일진G&amp;S㈜사무동 리모델링</t>
    <phoneticPr fontId="1" type="noConversion"/>
  </si>
  <si>
    <t>일진G&amp;S㈜</t>
    <phoneticPr fontId="1" type="noConversion"/>
  </si>
  <si>
    <t>대낭숲리모델링</t>
    <phoneticPr fontId="1" type="noConversion"/>
  </si>
  <si>
    <t>이미리</t>
    <phoneticPr fontId="1" type="noConversion"/>
  </si>
  <si>
    <t>큰나래학원(당리동)</t>
    <phoneticPr fontId="1" type="noConversion"/>
  </si>
  <si>
    <t>김양우</t>
    <phoneticPr fontId="1" type="noConversion"/>
  </si>
  <si>
    <t>정재훈</t>
    <phoneticPr fontId="1" type="noConversion"/>
  </si>
  <si>
    <t>이서율</t>
    <phoneticPr fontId="1" type="noConversion"/>
  </si>
  <si>
    <t>마산 합포구 회원동북로52 1층</t>
    <phoneticPr fontId="1" type="noConversion"/>
  </si>
  <si>
    <t>김담희</t>
    <phoneticPr fontId="1" type="noConversion"/>
  </si>
  <si>
    <t xml:space="preserve">본파이어베이프 장유 </t>
    <phoneticPr fontId="1" type="noConversion"/>
  </si>
  <si>
    <t>본 파이어 베이프 장유점</t>
    <phoneticPr fontId="1" type="noConversion"/>
  </si>
  <si>
    <t>어반브릭스 보루 창원의창점</t>
    <phoneticPr fontId="1" type="noConversion"/>
  </si>
  <si>
    <t>이건중</t>
    <phoneticPr fontId="1" type="noConversion"/>
  </si>
  <si>
    <t>울루카페</t>
    <phoneticPr fontId="1" type="noConversion"/>
  </si>
  <si>
    <t>울루카페인테리어</t>
    <phoneticPr fontId="1" type="noConversion"/>
  </si>
  <si>
    <t>황용택</t>
    <phoneticPr fontId="1" type="noConversion"/>
  </si>
  <si>
    <t>윤윤수</t>
    <phoneticPr fontId="1" type="noConversion"/>
  </si>
  <si>
    <t>태룡리 소형주택 신축공사</t>
    <phoneticPr fontId="1" type="noConversion"/>
  </si>
  <si>
    <t>정인태</t>
    <phoneticPr fontId="1" type="noConversion"/>
  </si>
  <si>
    <t>최홍철</t>
    <phoneticPr fontId="1" type="noConversion"/>
  </si>
  <si>
    <t>서상동 미용실</t>
    <phoneticPr fontId="1" type="noConversion"/>
  </si>
  <si>
    <t>장용제</t>
    <phoneticPr fontId="1" type="noConversion"/>
  </si>
  <si>
    <t>케이비엠툴스㈜창원사무실인테리어</t>
    <phoneticPr fontId="1" type="noConversion"/>
  </si>
  <si>
    <t>케이비엠툴스㈜</t>
    <phoneticPr fontId="1" type="noConversion"/>
  </si>
  <si>
    <t>주태진</t>
    <phoneticPr fontId="1" type="noConversion"/>
  </si>
  <si>
    <t>도계동 태리하우스인테리어</t>
    <phoneticPr fontId="1" type="noConversion"/>
  </si>
  <si>
    <t>김혜린</t>
    <phoneticPr fontId="1" type="noConversion"/>
  </si>
  <si>
    <t>롯데캐슬 해쉬커피 인테리어</t>
    <phoneticPr fontId="1" type="noConversion"/>
  </si>
  <si>
    <t>한서윤</t>
    <phoneticPr fontId="1" type="noConversion"/>
  </si>
  <si>
    <t>㈜삼성생명금융서비스보험대리점</t>
    <phoneticPr fontId="1" type="noConversion"/>
  </si>
  <si>
    <t>롯데캐슬상가136호 네일샾 인테리어</t>
    <phoneticPr fontId="1" type="noConversion"/>
  </si>
  <si>
    <t>안영은</t>
    <phoneticPr fontId="1" type="noConversion"/>
  </si>
  <si>
    <t>이경아</t>
    <phoneticPr fontId="1" type="noConversion"/>
  </si>
  <si>
    <t>박미정</t>
    <phoneticPr fontId="1" type="noConversion"/>
  </si>
  <si>
    <t xml:space="preserve">보은헤어 </t>
    <phoneticPr fontId="1" type="noConversion"/>
  </si>
  <si>
    <t>코아텍 시스템즈</t>
    <phoneticPr fontId="1" type="noConversion"/>
  </si>
  <si>
    <t>김도형</t>
    <phoneticPr fontId="1" type="noConversion"/>
  </si>
  <si>
    <t>바모스 부산 인테리어</t>
    <phoneticPr fontId="1" type="noConversion"/>
  </si>
  <si>
    <t>성기훈</t>
    <phoneticPr fontId="1" type="noConversion"/>
  </si>
  <si>
    <t>㈜유엔테크 사무실 인테리어</t>
    <phoneticPr fontId="1" type="noConversion"/>
  </si>
  <si>
    <t>㈜유엔테크</t>
    <phoneticPr fontId="1" type="noConversion"/>
  </si>
  <si>
    <t>주식회사 제이엠모터스 인테리어</t>
    <phoneticPr fontId="1" type="noConversion"/>
  </si>
  <si>
    <t>주식회사 제이엠모터스</t>
    <phoneticPr fontId="1" type="noConversion"/>
  </si>
  <si>
    <t>창녕 사회복지타운 카운터 교체</t>
    <phoneticPr fontId="1" type="noConversion"/>
  </si>
  <si>
    <t>이량하</t>
    <phoneticPr fontId="1" type="noConversion"/>
  </si>
  <si>
    <t>헤어 오늘 헤어숍인테리어</t>
    <phoneticPr fontId="1" type="noConversion"/>
  </si>
  <si>
    <t>박지혜</t>
    <phoneticPr fontId="1" type="noConversion"/>
  </si>
  <si>
    <t>2022년</t>
    <phoneticPr fontId="1" type="noConversion"/>
  </si>
  <si>
    <t>고객</t>
    <phoneticPr fontId="1" type="noConversion"/>
  </si>
  <si>
    <t>소답동 미용실 인테리어</t>
    <phoneticPr fontId="1" type="noConversion"/>
  </si>
  <si>
    <t>이한솔</t>
    <phoneticPr fontId="1" type="noConversion"/>
  </si>
  <si>
    <t>교방동 누리학원 인테리어 공사</t>
    <phoneticPr fontId="1" type="noConversion"/>
  </si>
  <si>
    <t>이누리</t>
    <phoneticPr fontId="1" type="noConversion"/>
  </si>
  <si>
    <t>경남대학교 평생교육관 미래라이프대학 강의실 및 실습실 구축공사</t>
    <phoneticPr fontId="1" type="noConversion"/>
  </si>
  <si>
    <t>경남대학교 총장</t>
    <phoneticPr fontId="1" type="noConversion"/>
  </si>
  <si>
    <t>소답동 카페 인테리어</t>
    <phoneticPr fontId="1" type="noConversion"/>
  </si>
  <si>
    <t>김혜진</t>
    <phoneticPr fontId="1" type="noConversion"/>
  </si>
  <si>
    <t xml:space="preserve">엠에스이 회의실 인테리어 </t>
    <phoneticPr fontId="1" type="noConversion"/>
  </si>
  <si>
    <t>엠에스이주식회사</t>
    <phoneticPr fontId="1" type="noConversion"/>
  </si>
  <si>
    <t xml:space="preserve">앨리스 인테리어 공사 </t>
    <phoneticPr fontId="1" type="noConversion"/>
  </si>
  <si>
    <t xml:space="preserve">박연주 </t>
    <phoneticPr fontId="1" type="noConversion"/>
  </si>
  <si>
    <t>진영HNS로비/접견실 인테리어</t>
    <phoneticPr fontId="1" type="noConversion"/>
  </si>
  <si>
    <t>㈜진영에이치앤에스</t>
    <phoneticPr fontId="1" type="noConversion"/>
  </si>
  <si>
    <t>헤어샾 인테리어 공사</t>
    <phoneticPr fontId="1" type="noConversion"/>
  </si>
  <si>
    <t>정혜진</t>
    <phoneticPr fontId="1" type="noConversion"/>
  </si>
  <si>
    <t>정다정</t>
    <phoneticPr fontId="1" type="noConversion"/>
  </si>
  <si>
    <t>더 베이커스 인테리어</t>
    <phoneticPr fontId="1" type="noConversion"/>
  </si>
  <si>
    <t>홍성희</t>
    <phoneticPr fontId="1" type="noConversion"/>
  </si>
  <si>
    <t>진해삼성영어학원 인테리어</t>
    <phoneticPr fontId="1" type="noConversion"/>
  </si>
  <si>
    <t>주식회사 삼일기술단 인테리어</t>
    <phoneticPr fontId="1" type="noConversion"/>
  </si>
  <si>
    <t>김미란</t>
    <phoneticPr fontId="1" type="noConversion"/>
  </si>
  <si>
    <t>더강해진수학교습소 인테리어</t>
    <phoneticPr fontId="1" type="noConversion"/>
  </si>
  <si>
    <t>착한미용실 인테리어</t>
    <phoneticPr fontId="1" type="noConversion"/>
  </si>
  <si>
    <t>김보연</t>
    <phoneticPr fontId="1" type="noConversion"/>
  </si>
  <si>
    <t>낙동강유역환경청 1층 인테리어 공사</t>
    <phoneticPr fontId="1" type="noConversion"/>
  </si>
  <si>
    <t>주식회사 에스지 정공</t>
    <phoneticPr fontId="1" type="noConversion"/>
  </si>
  <si>
    <t>박현민</t>
    <phoneticPr fontId="1" type="noConversion"/>
  </si>
  <si>
    <t>주식회사 모드텍 인테리어 공사</t>
    <phoneticPr fontId="1" type="noConversion"/>
  </si>
  <si>
    <t>이상재</t>
    <phoneticPr fontId="1" type="noConversion"/>
  </si>
  <si>
    <t>화연제과 반송점 인테리어 공사</t>
    <phoneticPr fontId="1" type="noConversion"/>
  </si>
  <si>
    <t>심유진</t>
    <phoneticPr fontId="1" type="noConversion"/>
  </si>
  <si>
    <t>JD윙스 505호 인테리어 공사</t>
    <phoneticPr fontId="1" type="noConversion"/>
  </si>
  <si>
    <t>정윤정</t>
    <phoneticPr fontId="1" type="noConversion"/>
  </si>
  <si>
    <t>낙동강유역환경청 2층 부분 인테리어 공사</t>
    <phoneticPr fontId="1" type="noConversion"/>
  </si>
  <si>
    <t>창원 북면 학원인테리어</t>
    <phoneticPr fontId="1" type="noConversion"/>
  </si>
  <si>
    <t>임성진</t>
    <phoneticPr fontId="1" type="noConversion"/>
  </si>
  <si>
    <t>JD윙스 504호 인테리어 공사</t>
    <phoneticPr fontId="1" type="noConversion"/>
  </si>
  <si>
    <t>고은영</t>
    <phoneticPr fontId="1" type="noConversion"/>
  </si>
  <si>
    <t>SK테크노파크 618호 사무실인테리어</t>
    <phoneticPr fontId="1" type="noConversion"/>
  </si>
  <si>
    <t>조우영</t>
    <phoneticPr fontId="1" type="noConversion"/>
  </si>
  <si>
    <t>창원 한국샌드빅㈜회의실 환경개선공사</t>
    <phoneticPr fontId="1" type="noConversion"/>
  </si>
  <si>
    <t>한국샌드빅㈜</t>
    <phoneticPr fontId="1" type="noConversion"/>
  </si>
  <si>
    <t>손길헤어 인테리어 공사</t>
    <phoneticPr fontId="1" type="noConversion"/>
  </si>
  <si>
    <t>강송이</t>
    <phoneticPr fontId="1" type="noConversion"/>
  </si>
  <si>
    <t>미래환경㈜인테리어공사</t>
    <phoneticPr fontId="1" type="noConversion"/>
  </si>
  <si>
    <t>김일</t>
    <phoneticPr fontId="1" type="noConversion"/>
  </si>
  <si>
    <t>서유진</t>
    <phoneticPr fontId="1" type="noConversion"/>
  </si>
  <si>
    <t>휴텍스코리아</t>
    <phoneticPr fontId="1" type="noConversion"/>
  </si>
  <si>
    <t>휴텍스 코리아</t>
    <phoneticPr fontId="1" type="noConversion"/>
  </si>
  <si>
    <t>한수교</t>
    <phoneticPr fontId="1" type="noConversion"/>
  </si>
  <si>
    <t>㈜지엔티 인테리어 공사</t>
    <phoneticPr fontId="1" type="noConversion"/>
  </si>
  <si>
    <t>㈜지엔티</t>
    <phoneticPr fontId="1" type="noConversion"/>
  </si>
  <si>
    <t>창원 북면 감계 푸르지오 교습소인테리어</t>
    <phoneticPr fontId="1" type="noConversion"/>
  </si>
  <si>
    <t>박명민</t>
    <phoneticPr fontId="1" type="noConversion"/>
  </si>
  <si>
    <t>창원 마산합포구 산호남로 17-1 철거</t>
    <phoneticPr fontId="1" type="noConversion"/>
  </si>
  <si>
    <t>JM건축인테리어</t>
    <phoneticPr fontId="1" type="noConversion"/>
  </si>
  <si>
    <t>청춘푸줏간 인테리어</t>
    <phoneticPr fontId="1" type="noConversion"/>
  </si>
  <si>
    <t>유주환</t>
    <phoneticPr fontId="1" type="noConversion"/>
  </si>
  <si>
    <t xml:space="preserve">창원 힐스테이트 미용실 인테리어 </t>
    <phoneticPr fontId="1" type="noConversion"/>
  </si>
  <si>
    <t>구년근</t>
    <phoneticPr fontId="1" type="noConversion"/>
  </si>
  <si>
    <t>세영수학교습소 인테리어</t>
    <phoneticPr fontId="1" type="noConversion"/>
  </si>
  <si>
    <t>정혜선</t>
    <phoneticPr fontId="1" type="noConversion"/>
  </si>
  <si>
    <t>아름드리숲상담센터 인테리어</t>
    <phoneticPr fontId="1" type="noConversion"/>
  </si>
  <si>
    <t>김유진</t>
    <phoneticPr fontId="1" type="noConversion"/>
  </si>
  <si>
    <t>에이치케이금융파트너스 경남사업단 인테리어 및 원상복구</t>
    <phoneticPr fontId="1" type="noConversion"/>
  </si>
  <si>
    <t>에이치케이금융파트너스 대표이사 신용준</t>
    <phoneticPr fontId="1" type="noConversion"/>
  </si>
  <si>
    <t>문소영 수학관리학원인테리어</t>
    <phoneticPr fontId="1" type="noConversion"/>
  </si>
  <si>
    <t xml:space="preserve">주식회사 다원이엔씨 사무실 인테리어 </t>
    <phoneticPr fontId="1" type="noConversion"/>
  </si>
  <si>
    <t>주식회사 다원이엔씨</t>
    <phoneticPr fontId="1" type="noConversion"/>
  </si>
  <si>
    <t>태웅산전 사무실 인테리어</t>
    <phoneticPr fontId="1" type="noConversion"/>
  </si>
  <si>
    <t>주식회사 태웅산전</t>
    <phoneticPr fontId="1" type="noConversion"/>
  </si>
  <si>
    <t>HSC공장 사무동 계단 및 복도 보수공사</t>
    <phoneticPr fontId="1" type="noConversion"/>
  </si>
  <si>
    <t>대표이사 여인표</t>
    <phoneticPr fontId="1" type="noConversion"/>
  </si>
  <si>
    <t>삼명기계공업주식회사 환경개선공사</t>
    <phoneticPr fontId="1" type="noConversion"/>
  </si>
  <si>
    <t>삼명기계공업㈜</t>
    <phoneticPr fontId="1" type="noConversion"/>
  </si>
  <si>
    <t>에이치케이금융파트너스 대구사업단 인테리어</t>
    <phoneticPr fontId="1" type="noConversion"/>
  </si>
  <si>
    <t>에이치케이 안동</t>
    <phoneticPr fontId="1" type="noConversion"/>
  </si>
  <si>
    <t>에이치케이금융파트너스 대구사업단 안동주재팀 인테리어</t>
    <phoneticPr fontId="1" type="noConversion"/>
  </si>
  <si>
    <t xml:space="preserve">윤앤오 음악학원 인테리어 </t>
    <phoneticPr fontId="1" type="noConversion"/>
  </si>
  <si>
    <t>윤정은</t>
    <phoneticPr fontId="1" type="noConversion"/>
  </si>
  <si>
    <t>PNU 펜토미노 교육과정 사업 바이오소재과학과 강의실 환경개선 공사</t>
    <phoneticPr fontId="1" type="noConversion"/>
  </si>
  <si>
    <t xml:space="preserve">진해 자은동 교습소 인테리어 </t>
    <phoneticPr fontId="1" type="noConversion"/>
  </si>
  <si>
    <t xml:space="preserve">최선희 </t>
    <phoneticPr fontId="1" type="noConversion"/>
  </si>
  <si>
    <t>재니스코딩 교습소 인테리어</t>
    <phoneticPr fontId="1" type="noConversion"/>
  </si>
  <si>
    <t>이지연</t>
    <phoneticPr fontId="1" type="noConversion"/>
  </si>
  <si>
    <t xml:space="preserve">고성이발소 인테리어 </t>
    <phoneticPr fontId="1" type="noConversion"/>
  </si>
  <si>
    <t>한나경</t>
    <phoneticPr fontId="1" type="noConversion"/>
  </si>
  <si>
    <t>김언진</t>
    <phoneticPr fontId="1" type="noConversion"/>
  </si>
  <si>
    <t>㈜코아텍시스템즈</t>
    <phoneticPr fontId="1" type="noConversion"/>
  </si>
  <si>
    <t>가로수길 바버샾</t>
    <phoneticPr fontId="1" type="noConversion"/>
  </si>
  <si>
    <t>하경호</t>
    <phoneticPr fontId="1" type="noConversion"/>
  </si>
  <si>
    <t xml:space="preserve">신화철강 샘플하우스 인테리어 </t>
    <phoneticPr fontId="1" type="noConversion"/>
  </si>
  <si>
    <t>㈜STEEL BANK</t>
    <phoneticPr fontId="1" type="noConversion"/>
  </si>
  <si>
    <t xml:space="preserve">아모레퍼시픽 인테리어 </t>
    <phoneticPr fontId="1" type="noConversion"/>
  </si>
  <si>
    <t>신현웅</t>
    <phoneticPr fontId="1" type="noConversion"/>
  </si>
  <si>
    <t xml:space="preserve">창녕 바당돌담 인테리어 </t>
    <phoneticPr fontId="1" type="noConversion"/>
  </si>
  <si>
    <t>최필호</t>
    <phoneticPr fontId="1" type="noConversion"/>
  </si>
  <si>
    <t xml:space="preserve">그롭코리아 회의실 인테리어 </t>
    <phoneticPr fontId="1" type="noConversion"/>
  </si>
  <si>
    <t xml:space="preserve">그롭코리아 주식회사 </t>
    <phoneticPr fontId="1" type="noConversion"/>
  </si>
  <si>
    <t>창녕미용실 인테리어 공사</t>
    <phoneticPr fontId="1" type="noConversion"/>
  </si>
  <si>
    <t>하재령</t>
    <phoneticPr fontId="1" type="noConversion"/>
  </si>
  <si>
    <t>청도면 요고리 농막</t>
    <phoneticPr fontId="1" type="noConversion"/>
  </si>
  <si>
    <t>황용순</t>
    <phoneticPr fontId="1" type="noConversion"/>
  </si>
  <si>
    <t>보원산업 F동 2층 사무실</t>
    <phoneticPr fontId="1" type="noConversion"/>
  </si>
  <si>
    <t>보원산업 F동 2층 사무실공사</t>
    <phoneticPr fontId="1" type="noConversion"/>
  </si>
  <si>
    <t>보원산업</t>
    <phoneticPr fontId="1" type="noConversion"/>
  </si>
  <si>
    <t>보원산업 A동 2층 난간공사</t>
    <phoneticPr fontId="1" type="noConversion"/>
  </si>
  <si>
    <t>보원산업 A동 난간</t>
    <phoneticPr fontId="1" type="noConversion"/>
  </si>
  <si>
    <t>㈜삼백육십오 인테리어 공사</t>
    <phoneticPr fontId="1" type="noConversion"/>
  </si>
  <si>
    <t>조준호</t>
    <phoneticPr fontId="1" type="noConversion"/>
  </si>
  <si>
    <t>그롭코리아 리모델링 공사</t>
    <phoneticPr fontId="1" type="noConversion"/>
  </si>
  <si>
    <t xml:space="preserve">그롭코리아 </t>
    <phoneticPr fontId="1" type="noConversion"/>
  </si>
  <si>
    <t>상남동 미용실 인테리어 공사</t>
    <phoneticPr fontId="1" type="noConversion"/>
  </si>
  <si>
    <t>박혜숙</t>
    <phoneticPr fontId="1" type="noConversion"/>
  </si>
  <si>
    <t>율하피부샵 인테리어공사</t>
    <phoneticPr fontId="1" type="noConversion"/>
  </si>
  <si>
    <t>양연수</t>
    <phoneticPr fontId="1" type="noConversion"/>
  </si>
  <si>
    <t xml:space="preserve">㈜지엔티1공장 2층 인테리어 </t>
    <phoneticPr fontId="1" type="noConversion"/>
  </si>
  <si>
    <t>창원 한국샌드빅㈜창고가벽체 및 단열공사</t>
    <phoneticPr fontId="1" type="noConversion"/>
  </si>
  <si>
    <t>창원 한국샌드빅㈜회의실 흡음재 공사</t>
    <phoneticPr fontId="1" type="noConversion"/>
  </si>
  <si>
    <t>보원산업 2층 사무실공사</t>
    <phoneticPr fontId="1" type="noConversion"/>
  </si>
  <si>
    <t>㈜보원산업</t>
    <phoneticPr fontId="1" type="noConversion"/>
  </si>
  <si>
    <t>창원 야마자키마작 사무실 인테리어</t>
    <phoneticPr fontId="1" type="noConversion"/>
  </si>
  <si>
    <t>한국야마자키마작㈜</t>
    <phoneticPr fontId="1" type="noConversion"/>
  </si>
  <si>
    <t xml:space="preserve">진영HNS경비동 철거 </t>
    <phoneticPr fontId="1" type="noConversion"/>
  </si>
  <si>
    <t xml:space="preserve">혜성정밀 사무실 인테리어 </t>
    <phoneticPr fontId="1" type="noConversion"/>
  </si>
  <si>
    <t>이을식</t>
    <phoneticPr fontId="1" type="noConversion"/>
  </si>
  <si>
    <t>DS동산㈜사무동 리모델링 공사</t>
    <phoneticPr fontId="1" type="noConversion"/>
  </si>
  <si>
    <t>DS동산㈜</t>
    <phoneticPr fontId="1" type="noConversion"/>
  </si>
  <si>
    <t>보원산업 추가공사</t>
    <phoneticPr fontId="1" type="noConversion"/>
  </si>
  <si>
    <t>주식회사 위딘 4층 회의실 인테리어작업</t>
    <phoneticPr fontId="1" type="noConversion"/>
  </si>
  <si>
    <t>주식회사 위딘</t>
    <phoneticPr fontId="1" type="noConversion"/>
  </si>
  <si>
    <t>제주 낙천리 목조주택 기초 및 토목공사</t>
    <phoneticPr fontId="1" type="noConversion"/>
  </si>
  <si>
    <t>이영희</t>
    <phoneticPr fontId="1" type="noConversion"/>
  </si>
  <si>
    <t>진영HNS화장실 인테리어공사</t>
    <phoneticPr fontId="1" type="noConversion"/>
  </si>
  <si>
    <t>헥사곤 사무실인테리어 공사</t>
    <phoneticPr fontId="1" type="noConversion"/>
  </si>
  <si>
    <t>한국헥사곤메트롤리지 유한회사</t>
    <phoneticPr fontId="1" type="noConversion"/>
  </si>
  <si>
    <t xml:space="preserve">요리수수학교습소 인테리어 </t>
    <phoneticPr fontId="1" type="noConversion"/>
  </si>
  <si>
    <t>요리수수학학원</t>
    <phoneticPr fontId="1" type="noConversion"/>
  </si>
  <si>
    <t>지안SMP인테리어 공사</t>
    <phoneticPr fontId="1" type="noConversion"/>
  </si>
  <si>
    <t>지안SMP아카데미</t>
    <phoneticPr fontId="1" type="noConversion"/>
  </si>
  <si>
    <t>2021년</t>
    <phoneticPr fontId="1" type="noConversion"/>
  </si>
  <si>
    <t>대성 프리존텔 402호</t>
    <phoneticPr fontId="1" type="noConversion"/>
  </si>
  <si>
    <t>양혜진</t>
    <phoneticPr fontId="1" type="noConversion"/>
  </si>
  <si>
    <t>진해우림필유 미용실</t>
    <phoneticPr fontId="1" type="noConversion"/>
  </si>
  <si>
    <t>진해우림필유상가 미용실</t>
    <phoneticPr fontId="1" type="noConversion"/>
  </si>
  <si>
    <t>이승훈</t>
    <phoneticPr fontId="1" type="noConversion"/>
  </si>
  <si>
    <t>대한토목설계사무소</t>
    <phoneticPr fontId="1" type="noConversion"/>
  </si>
  <si>
    <t>최희철</t>
    <phoneticPr fontId="1" type="noConversion"/>
  </si>
  <si>
    <t>떡메치는 조서방</t>
    <phoneticPr fontId="1" type="noConversion"/>
  </si>
  <si>
    <t>떡메치는조서방</t>
    <phoneticPr fontId="1" type="noConversion"/>
  </si>
  <si>
    <t>조현태</t>
    <phoneticPr fontId="1" type="noConversion"/>
  </si>
  <si>
    <t>명성수학교습소</t>
    <phoneticPr fontId="1" type="noConversion"/>
  </si>
  <si>
    <t>박진호</t>
    <phoneticPr fontId="1" type="noConversion"/>
  </si>
  <si>
    <t>금돌부동산중개</t>
    <phoneticPr fontId="1" type="noConversion"/>
  </si>
  <si>
    <t>이지윤</t>
    <phoneticPr fontId="1" type="noConversion"/>
  </si>
  <si>
    <t>북면과학학원</t>
    <phoneticPr fontId="1" type="noConversion"/>
  </si>
  <si>
    <t>박창환</t>
    <phoneticPr fontId="1" type="noConversion"/>
  </si>
  <si>
    <t>북면떡볶이</t>
    <phoneticPr fontId="1" type="noConversion"/>
  </si>
  <si>
    <t>오희은</t>
    <phoneticPr fontId="1" type="noConversion"/>
  </si>
  <si>
    <t>비앤지사원아파트</t>
    <phoneticPr fontId="1" type="noConversion"/>
  </si>
  <si>
    <t>비앤지사원아파트506호</t>
    <phoneticPr fontId="1" type="noConversion"/>
  </si>
  <si>
    <t>박지성</t>
    <phoneticPr fontId="1" type="noConversion"/>
  </si>
  <si>
    <t>제이엠모터스사무실</t>
    <phoneticPr fontId="1" type="noConversion"/>
  </si>
  <si>
    <t>사무실리모델링</t>
    <phoneticPr fontId="1" type="noConversion"/>
  </si>
  <si>
    <t>주식회사 제이엠모터스펌프(이영훈)</t>
    <phoneticPr fontId="1" type="noConversion"/>
  </si>
  <si>
    <t>어반브릭스 오피스동학원</t>
    <phoneticPr fontId="1" type="noConversion"/>
  </si>
  <si>
    <t>어반브릭스 오피스동 학원</t>
    <phoneticPr fontId="1" type="noConversion"/>
  </si>
  <si>
    <t>김경민</t>
    <phoneticPr fontId="1" type="noConversion"/>
  </si>
  <si>
    <t>씨와이에서 사무실</t>
    <phoneticPr fontId="1" type="noConversion"/>
  </si>
  <si>
    <t>사무동 내부인테리어</t>
    <phoneticPr fontId="1" type="noConversion"/>
  </si>
  <si>
    <t>주식회사 씨와이에스</t>
    <phoneticPr fontId="1" type="noConversion"/>
  </si>
  <si>
    <t>제이엠모터스 공장동판넬</t>
    <phoneticPr fontId="1" type="noConversion"/>
  </si>
  <si>
    <t>공장동 판넬공사</t>
    <phoneticPr fontId="1" type="noConversion"/>
  </si>
  <si>
    <t xml:space="preserve">빵긋 베이커리 </t>
    <phoneticPr fontId="1" type="noConversion"/>
  </si>
  <si>
    <t xml:space="preserve">빵긋 인테리어 </t>
    <phoneticPr fontId="1" type="noConversion"/>
  </si>
  <si>
    <t>장혜인</t>
    <phoneticPr fontId="1" type="noConversion"/>
  </si>
  <si>
    <t>장유 바모스</t>
    <phoneticPr fontId="1" type="noConversion"/>
  </si>
  <si>
    <t>장유 관동 바모스 인테리어</t>
    <phoneticPr fontId="1" type="noConversion"/>
  </si>
  <si>
    <t>바이엘 크롭 사무실</t>
    <phoneticPr fontId="1" type="noConversion"/>
  </si>
  <si>
    <t>바이엘 크롭 사이언스</t>
    <phoneticPr fontId="1" type="noConversion"/>
  </si>
  <si>
    <t>산호동 교습소</t>
    <phoneticPr fontId="1" type="noConversion"/>
  </si>
  <si>
    <t>산호동 삼성아파트 교습소 인테리어</t>
    <phoneticPr fontId="1" type="noConversion"/>
  </si>
  <si>
    <t>김해영</t>
    <phoneticPr fontId="1" type="noConversion"/>
  </si>
  <si>
    <t>팔용동 힐스테이트미용실</t>
    <phoneticPr fontId="1" type="noConversion"/>
  </si>
  <si>
    <t>팔용동 힐스테이트미용실 인테리어</t>
    <phoneticPr fontId="1" type="noConversion"/>
  </si>
  <si>
    <t>김나경</t>
    <phoneticPr fontId="1" type="noConversion"/>
  </si>
  <si>
    <t>합성동 희쁘다 미용실</t>
    <phoneticPr fontId="1" type="noConversion"/>
  </si>
  <si>
    <t>합성동 희쁘다 미용실 인테리어</t>
    <phoneticPr fontId="1" type="noConversion"/>
  </si>
  <si>
    <t>안성희</t>
    <phoneticPr fontId="1" type="noConversion"/>
  </si>
  <si>
    <t>부산 큰나래 학원</t>
    <phoneticPr fontId="1" type="noConversion"/>
  </si>
  <si>
    <t xml:space="preserve">김양우 </t>
    <phoneticPr fontId="1" type="noConversion"/>
  </si>
  <si>
    <t xml:space="preserve">사림동 미용실 </t>
    <phoneticPr fontId="1" type="noConversion"/>
  </si>
  <si>
    <t>사림동 144-9 헤어샵 인테리어</t>
    <phoneticPr fontId="1" type="noConversion"/>
  </si>
  <si>
    <t>이지흠</t>
    <phoneticPr fontId="1" type="noConversion"/>
  </si>
  <si>
    <t>월영동 미용실</t>
    <phoneticPr fontId="1" type="noConversion"/>
  </si>
  <si>
    <t>조은샘</t>
    <phoneticPr fontId="1" type="noConversion"/>
  </si>
  <si>
    <t>마산내서스튜디오</t>
    <phoneticPr fontId="1" type="noConversion"/>
  </si>
  <si>
    <t>손주현</t>
    <phoneticPr fontId="1" type="noConversion"/>
  </si>
  <si>
    <t>대방동 덕산2차</t>
    <phoneticPr fontId="1" type="noConversion"/>
  </si>
  <si>
    <t>성산구 대방동 덕산 2차 207동 1704호</t>
    <phoneticPr fontId="1" type="noConversion"/>
  </si>
  <si>
    <t>김민건</t>
    <phoneticPr fontId="1" type="noConversion"/>
  </si>
  <si>
    <t>샐러디 상남점</t>
    <phoneticPr fontId="1" type="noConversion"/>
  </si>
  <si>
    <t>샐러디 창원상남점</t>
    <phoneticPr fontId="1" type="noConversion"/>
  </si>
  <si>
    <t>조호성</t>
    <phoneticPr fontId="1" type="noConversion"/>
  </si>
  <si>
    <t>곽두리 쪽갈비</t>
    <phoneticPr fontId="1" type="noConversion"/>
  </si>
  <si>
    <t>차욱진</t>
    <phoneticPr fontId="1" type="noConversion"/>
  </si>
  <si>
    <t>메트로미용실</t>
    <phoneticPr fontId="1" type="noConversion"/>
  </si>
  <si>
    <t>박재만</t>
    <phoneticPr fontId="1" type="noConversion"/>
  </si>
  <si>
    <t>미코미용실</t>
    <phoneticPr fontId="1" type="noConversion"/>
  </si>
  <si>
    <t>김양경</t>
    <phoneticPr fontId="1" type="noConversion"/>
  </si>
  <si>
    <t>진주스포츠가치센터 대강당 환경개선공사</t>
    <phoneticPr fontId="1" type="noConversion"/>
  </si>
  <si>
    <t>조현재</t>
    <phoneticPr fontId="1" type="noConversion"/>
  </si>
  <si>
    <t>사업자구분</t>
    <phoneticPr fontId="1" type="noConversion"/>
  </si>
  <si>
    <t>개인</t>
    <phoneticPr fontId="1" type="noConversion"/>
  </si>
  <si>
    <t>오브제</t>
    <phoneticPr fontId="1" type="noConversion"/>
  </si>
  <si>
    <t>법인</t>
    <phoneticPr fontId="1" type="noConversion"/>
  </si>
  <si>
    <t>도계한마음코아</t>
    <phoneticPr fontId="1" type="noConversion"/>
  </si>
  <si>
    <t>도계동 한마음코아 102동 301호</t>
    <phoneticPr fontId="1" type="noConversion"/>
  </si>
  <si>
    <t>현인숙</t>
    <phoneticPr fontId="1" type="noConversion"/>
  </si>
  <si>
    <t>장미공원2층</t>
    <phoneticPr fontId="1" type="noConversion"/>
  </si>
  <si>
    <t>성산구 동산로 115, 장미상가 2층</t>
    <phoneticPr fontId="1" type="noConversion"/>
  </si>
  <si>
    <t>박원규</t>
    <phoneticPr fontId="1" type="noConversion"/>
  </si>
  <si>
    <t>일동아파트 12동 207호</t>
    <phoneticPr fontId="1" type="noConversion"/>
  </si>
  <si>
    <t xml:space="preserve">성산구 용호동 일동아파트 12동 207호 </t>
    <phoneticPr fontId="1" type="noConversion"/>
  </si>
  <si>
    <t>반초록</t>
    <phoneticPr fontId="1" type="noConversion"/>
  </si>
  <si>
    <t>오부리또</t>
    <phoneticPr fontId="1" type="noConversion"/>
  </si>
  <si>
    <t xml:space="preserve">오 부리또 </t>
    <phoneticPr fontId="1" type="noConversion"/>
  </si>
  <si>
    <t>윤선화</t>
    <phoneticPr fontId="1" type="noConversion"/>
  </si>
  <si>
    <t xml:space="preserve">용호동 카페 </t>
    <phoneticPr fontId="1" type="noConversion"/>
  </si>
  <si>
    <t>조민희</t>
    <phoneticPr fontId="1" type="noConversion"/>
  </si>
  <si>
    <t>현대크랭크 탈의실 및 샤워실 보수공사</t>
    <phoneticPr fontId="1" type="noConversion"/>
  </si>
  <si>
    <t>HCS공장 탈의실 및 샤워실 보수공사</t>
    <phoneticPr fontId="1" type="noConversion"/>
  </si>
  <si>
    <t>대표이사 여인표</t>
    <phoneticPr fontId="1" type="noConversion"/>
  </si>
  <si>
    <t>합성동네일샵</t>
    <phoneticPr fontId="1" type="noConversion"/>
  </si>
  <si>
    <t>더 젤 네일샵 인테리어</t>
    <phoneticPr fontId="1" type="noConversion"/>
  </si>
  <si>
    <t xml:space="preserve">더 젤 </t>
    <phoneticPr fontId="1" type="noConversion"/>
  </si>
  <si>
    <t>북면교습소</t>
    <phoneticPr fontId="1" type="noConversion"/>
  </si>
  <si>
    <t>교습소인테리어</t>
    <phoneticPr fontId="1" type="noConversion"/>
  </si>
  <si>
    <t>시안영어교습소</t>
    <phoneticPr fontId="1" type="noConversion"/>
  </si>
  <si>
    <t>블루돌핀어학원</t>
    <phoneticPr fontId="1" type="noConversion"/>
  </si>
  <si>
    <t>블루돌핀어학원인테리어</t>
    <phoneticPr fontId="1" type="noConversion"/>
  </si>
  <si>
    <t>손모아</t>
    <phoneticPr fontId="1" type="noConversion"/>
  </si>
  <si>
    <t xml:space="preserve">터보링크 </t>
    <phoneticPr fontId="1" type="noConversion"/>
  </si>
  <si>
    <t xml:space="preserve">계단실 인테리어 </t>
    <phoneticPr fontId="1" type="noConversion"/>
  </si>
  <si>
    <t>㈜터보링크</t>
    <phoneticPr fontId="1" type="noConversion"/>
  </si>
  <si>
    <t>합계</t>
    <phoneticPr fontId="1" type="noConversion"/>
  </si>
  <si>
    <t>JD505 LT수학</t>
    <phoneticPr fontId="1" type="noConversion"/>
  </si>
  <si>
    <t>JD504 리드인</t>
    <phoneticPr fontId="1" type="noConversion"/>
  </si>
  <si>
    <t>순이익</t>
    <phoneticPr fontId="1" type="noConversion"/>
  </si>
  <si>
    <t>디오오토갤러리</t>
    <phoneticPr fontId="1" type="noConversion"/>
  </si>
  <si>
    <t>사무실인테리어</t>
    <phoneticPr fontId="1" type="noConversion"/>
  </si>
  <si>
    <t>주식회사 제이제이진단보증</t>
    <phoneticPr fontId="1" type="noConversion"/>
  </si>
  <si>
    <t>개인사업자</t>
    <phoneticPr fontId="1" type="noConversion"/>
  </si>
  <si>
    <t>현장 주소</t>
    <phoneticPr fontId="3" type="noConversion"/>
  </si>
  <si>
    <t>공사유형</t>
    <phoneticPr fontId="3" type="noConversion"/>
  </si>
  <si>
    <t>도급 종류</t>
    <phoneticPr fontId="3" type="noConversion"/>
  </si>
  <si>
    <t>계약일</t>
    <phoneticPr fontId="1" type="noConversion"/>
  </si>
  <si>
    <t>발주자 명</t>
    <phoneticPr fontId="3" type="noConversion"/>
  </si>
  <si>
    <t>대표자 명</t>
    <phoneticPr fontId="3" type="noConversion"/>
  </si>
  <si>
    <t xml:space="preserve">전화번호 </t>
    <phoneticPr fontId="3" type="noConversion"/>
  </si>
  <si>
    <t>사업자등록증(주민등록증)</t>
    <phoneticPr fontId="3" type="noConversion"/>
  </si>
  <si>
    <t>법인등록번호</t>
    <phoneticPr fontId="3" type="noConversion"/>
  </si>
  <si>
    <t>비고</t>
    <phoneticPr fontId="1" type="noConversion"/>
  </si>
  <si>
    <t>010-8600-4162</t>
    <phoneticPr fontId="1" type="noConversion"/>
  </si>
  <si>
    <t>경남 창원시 마산회원구 315대로 지하 758.l열6-2호</t>
    <phoneticPr fontId="1" type="noConversion"/>
  </si>
  <si>
    <t>원도급</t>
    <phoneticPr fontId="1" type="noConversion"/>
  </si>
  <si>
    <t>유지보수</t>
    <phoneticPr fontId="1" type="noConversion"/>
  </si>
  <si>
    <t>김지현</t>
    <phoneticPr fontId="1" type="noConversion"/>
  </si>
  <si>
    <t>804-68-00270</t>
    <phoneticPr fontId="1" type="noConversion"/>
  </si>
  <si>
    <t>x</t>
    <phoneticPr fontId="1" type="noConversion"/>
  </si>
  <si>
    <t>양산타코야끼 인테리어</t>
    <phoneticPr fontId="1" type="noConversion"/>
  </si>
  <si>
    <t>오찬우</t>
    <phoneticPr fontId="1" type="noConversion"/>
  </si>
  <si>
    <t>구분</t>
    <phoneticPr fontId="1" type="noConversion"/>
  </si>
  <si>
    <t xml:space="preserve">개인 </t>
    <phoneticPr fontId="1" type="noConversion"/>
  </si>
  <si>
    <t>경남 양산시 물금읍 물금로 가촌리 1275-7 102호</t>
    <phoneticPr fontId="1" type="noConversion"/>
  </si>
  <si>
    <t>010-8528-9107</t>
    <phoneticPr fontId="1" type="noConversion"/>
  </si>
  <si>
    <t>951121-1</t>
    <phoneticPr fontId="1" type="noConversion"/>
  </si>
  <si>
    <t>서상동사무실</t>
    <phoneticPr fontId="1" type="noConversion"/>
  </si>
  <si>
    <t xml:space="preserve">라온메디칼 사무실 인테리어 </t>
    <phoneticPr fontId="1" type="noConversion"/>
  </si>
  <si>
    <t>MH에탄올 사무실 인테리어</t>
    <phoneticPr fontId="1" type="noConversion"/>
  </si>
  <si>
    <t>MH에탄올</t>
  </si>
  <si>
    <t>법인사업자</t>
    <phoneticPr fontId="1" type="noConversion"/>
  </si>
  <si>
    <t>608-81-03800</t>
    <phoneticPr fontId="1" type="noConversion"/>
  </si>
  <si>
    <t>190111-0003563</t>
    <phoneticPr fontId="1" type="noConversion"/>
  </si>
  <si>
    <t>경남 창원시 마산회원구 내서읍 광려천남로 25,1층</t>
    <phoneticPr fontId="1" type="noConversion"/>
  </si>
  <si>
    <t>최동호</t>
    <phoneticPr fontId="1" type="noConversion"/>
  </si>
  <si>
    <t>055-231-0701</t>
    <phoneticPr fontId="1" type="noConversion"/>
  </si>
  <si>
    <t>010-2997-2019</t>
    <phoneticPr fontId="1" type="noConversion"/>
  </si>
  <si>
    <t>311-21-02295</t>
    <phoneticPr fontId="1" type="noConversion"/>
  </si>
  <si>
    <t>279-25-00860</t>
    <phoneticPr fontId="1" type="noConversion"/>
  </si>
  <si>
    <t>양진열</t>
    <phoneticPr fontId="1" type="noConversion"/>
  </si>
  <si>
    <t>055-241-1123</t>
    <phoneticPr fontId="1" type="noConversion"/>
  </si>
  <si>
    <t>경상남도 창원시 의창구 서상동 666-6,502호</t>
    <phoneticPr fontId="1" type="noConversion"/>
  </si>
  <si>
    <t>지엔티 가구</t>
    <phoneticPr fontId="1" type="noConversion"/>
  </si>
  <si>
    <t>지엔티</t>
    <phoneticPr fontId="1" type="noConversion"/>
  </si>
  <si>
    <t>계약서x</t>
    <phoneticPr fontId="1" type="noConversion"/>
  </si>
  <si>
    <t xml:space="preserve">HD프랭크샤프트 가구 </t>
  </si>
  <si>
    <t>웨딩홀 도면작업</t>
    <phoneticPr fontId="1" type="noConversion"/>
  </si>
  <si>
    <t>보다(PLUS)</t>
    <phoneticPr fontId="1" type="noConversion"/>
  </si>
  <si>
    <t>4,000원 미입금 총 99,247,000원으로 마감,세금계산서 99,247,000원으로 수정발행 완료</t>
  </si>
  <si>
    <t>비코 부경</t>
    <phoneticPr fontId="1" type="noConversion"/>
  </si>
  <si>
    <t>MH에탄올 본관 2,3층 사무실</t>
    <phoneticPr fontId="1" type="noConversion"/>
  </si>
  <si>
    <t xml:space="preserve">진주유스호스텔 복도 </t>
    <phoneticPr fontId="1" type="noConversion"/>
  </si>
  <si>
    <t>2.24-12-27</t>
    <phoneticPr fontId="1" type="noConversion"/>
  </si>
  <si>
    <t>복도인테리어</t>
    <phoneticPr fontId="1" type="noConversion"/>
  </si>
  <si>
    <t>㈜한우건설</t>
    <phoneticPr fontId="1" type="noConversion"/>
  </si>
  <si>
    <t>㈜MH에탄올</t>
    <phoneticPr fontId="1" type="noConversion"/>
  </si>
  <si>
    <t xml:space="preserve">㈜MH에탄올 사무실 인테리어 </t>
    <phoneticPr fontId="1" type="noConversion"/>
  </si>
  <si>
    <t>본 공사 금액</t>
    <phoneticPr fontId="1" type="noConversion"/>
  </si>
  <si>
    <t>추가 공사 금액</t>
    <phoneticPr fontId="1" type="noConversion"/>
  </si>
  <si>
    <t>최동호</t>
  </si>
  <si>
    <t>법인사업자</t>
  </si>
  <si>
    <t>190111-0003563</t>
  </si>
  <si>
    <t>608-81-03800</t>
  </si>
  <si>
    <t>다구리 109번지 근린생활시설 신축공사</t>
    <phoneticPr fontId="1" type="noConversion"/>
  </si>
  <si>
    <t>민지현</t>
    <phoneticPr fontId="1" type="noConversion"/>
  </si>
  <si>
    <t>780901-2824441</t>
    <phoneticPr fontId="1" type="noConversion"/>
  </si>
  <si>
    <t>경남 창원시 마산합포구 진동면 다구리 109번지</t>
    <phoneticPr fontId="1" type="noConversion"/>
  </si>
  <si>
    <t>010-9193-7870</t>
    <phoneticPr fontId="1" type="noConversion"/>
  </si>
  <si>
    <t>신설</t>
    <phoneticPr fontId="1" type="noConversion"/>
  </si>
  <si>
    <t>여인표</t>
    <phoneticPr fontId="1" type="noConversion"/>
  </si>
  <si>
    <t>견적서o</t>
    <phoneticPr fontId="1" type="noConversion"/>
  </si>
  <si>
    <t>추가 공사 계약서o</t>
    <phoneticPr fontId="1" type="noConversion"/>
  </si>
  <si>
    <t>추가 공사 계약서x 250320</t>
    <phoneticPr fontId="1" type="noConversion"/>
  </si>
  <si>
    <t>키움에셋플래너</t>
    <phoneticPr fontId="1" type="noConversion"/>
  </si>
  <si>
    <t>창원 키움에셋플레너 인테리어</t>
    <phoneticPr fontId="1" type="noConversion"/>
  </si>
  <si>
    <t>키움에셋플레너 주식회사</t>
    <phoneticPr fontId="1" type="noConversion"/>
  </si>
  <si>
    <t>조용학</t>
    <phoneticPr fontId="1" type="noConversion"/>
  </si>
  <si>
    <t>211-87-33738</t>
    <phoneticPr fontId="1" type="noConversion"/>
  </si>
  <si>
    <t>경남 창원시 의창구 팔용로 428,605(드림피아상가)</t>
    <phoneticPr fontId="1" type="noConversion"/>
  </si>
  <si>
    <t>010-7723-5954</t>
    <phoneticPr fontId="1" type="noConversion"/>
  </si>
  <si>
    <t>보루</t>
    <phoneticPr fontId="1" type="noConversion"/>
  </si>
  <si>
    <t>구산면 카페 철거</t>
    <phoneticPr fontId="1" type="noConversion"/>
  </si>
  <si>
    <t>비고1</t>
    <phoneticPr fontId="1" type="noConversion"/>
  </si>
  <si>
    <t>철거 빽마진</t>
    <phoneticPr fontId="1" type="noConversion"/>
  </si>
  <si>
    <t>부분 인테리어</t>
    <phoneticPr fontId="1" type="noConversion"/>
  </si>
  <si>
    <t>110111-2776445</t>
    <phoneticPr fontId="1" type="noConversion"/>
  </si>
  <si>
    <t>보루(어반브릭스)인테리어</t>
    <phoneticPr fontId="1" type="noConversion"/>
  </si>
  <si>
    <t>보루 창원의창점</t>
    <phoneticPr fontId="1" type="noConversion"/>
  </si>
  <si>
    <t>521-48-00794</t>
    <phoneticPr fontId="1" type="noConversion"/>
  </si>
  <si>
    <t>경상남도 창원시 의창구 중동중앙로 47,1층 1008호</t>
  </si>
  <si>
    <t>010-6410-3837</t>
    <phoneticPr fontId="1" type="noConversion"/>
  </si>
  <si>
    <t>미테리어</t>
    <phoneticPr fontId="1" type="noConversion"/>
  </si>
  <si>
    <t>밀양 네일샵</t>
    <phoneticPr fontId="1" type="noConversion"/>
  </si>
  <si>
    <t>현동 네일샵</t>
    <phoneticPr fontId="1" type="noConversion"/>
  </si>
  <si>
    <t>함안 네일샵</t>
    <phoneticPr fontId="1" type="noConversion"/>
  </si>
  <si>
    <t>네일샵 인테리어</t>
    <phoneticPr fontId="1" type="noConversion"/>
  </si>
  <si>
    <t>박소연</t>
    <phoneticPr fontId="1" type="noConversion"/>
  </si>
  <si>
    <t>경남 밀양시 내이동 770-2,1층</t>
    <phoneticPr fontId="1" type="noConversion"/>
  </si>
  <si>
    <t>0106238-4532</t>
    <phoneticPr fontId="1" type="noConversion"/>
  </si>
  <si>
    <t>조선윤</t>
    <phoneticPr fontId="1" type="noConversion"/>
  </si>
  <si>
    <t>네일유니비</t>
    <phoneticPr fontId="1" type="noConversion"/>
  </si>
  <si>
    <t>394-50-01011</t>
    <phoneticPr fontId="1" type="noConversion"/>
  </si>
  <si>
    <t>경남 창원시 마산합포구 현동 7길 22,1층 114호</t>
    <phoneticPr fontId="1" type="noConversion"/>
  </si>
  <si>
    <t>010-9684-8587</t>
    <phoneticPr fontId="1" type="noConversion"/>
  </si>
  <si>
    <t>숲칼프(두피탈모관리샵)인테리어</t>
    <phoneticPr fontId="1" type="noConversion"/>
  </si>
  <si>
    <t>조현영</t>
    <phoneticPr fontId="1" type="noConversion"/>
  </si>
  <si>
    <t>숲칼프 함안점</t>
    <phoneticPr fontId="1" type="noConversion"/>
  </si>
  <si>
    <t>464-11-02682</t>
    <phoneticPr fontId="1" type="noConversion"/>
  </si>
  <si>
    <t>경남 함안군 가야읍 성내북길 10,102호</t>
    <phoneticPr fontId="1" type="noConversion"/>
  </si>
  <si>
    <t>010-3501-2715</t>
    <phoneticPr fontId="1" type="noConversion"/>
  </si>
  <si>
    <t>용호동(정우상가)뷰티샵</t>
    <phoneticPr fontId="1" type="noConversion"/>
  </si>
  <si>
    <t>인테리어 도면</t>
    <phoneticPr fontId="1" type="noConversion"/>
  </si>
  <si>
    <t>경남산소</t>
    <phoneticPr fontId="1" type="noConversion"/>
  </si>
  <si>
    <t>셀포렙 라헨느 인테리어</t>
    <phoneticPr fontId="1" type="noConversion"/>
  </si>
  <si>
    <t>686-37-01449</t>
    <phoneticPr fontId="1" type="noConversion"/>
  </si>
  <si>
    <t>경남 창원시 성산구 원이대로 587,2층 4호</t>
    <phoneticPr fontId="1" type="noConversion"/>
  </si>
  <si>
    <t>010-4617-3301</t>
    <phoneticPr fontId="1" type="noConversion"/>
  </si>
  <si>
    <t>진해 누룽지삼계탕</t>
    <phoneticPr fontId="1" type="noConversion"/>
  </si>
  <si>
    <t>합성동 이자카야</t>
    <phoneticPr fontId="1" type="noConversion"/>
  </si>
  <si>
    <t>상남동 금다방 빙수 철거</t>
    <phoneticPr fontId="1" type="noConversion"/>
  </si>
  <si>
    <t>상남동 금다방 빙수</t>
    <phoneticPr fontId="1" type="noConversion"/>
  </si>
  <si>
    <t>이홍열법률사무소</t>
    <phoneticPr fontId="1" type="noConversion"/>
  </si>
  <si>
    <t>이홍열법률사무소 인테리어</t>
    <phoneticPr fontId="1" type="noConversion"/>
  </si>
  <si>
    <t>이홍열</t>
  </si>
  <si>
    <t>이우철한방누릉지삼계탕(진해점)</t>
    <phoneticPr fontId="1" type="noConversion"/>
  </si>
  <si>
    <t>김성남</t>
    <phoneticPr fontId="1" type="noConversion"/>
  </si>
  <si>
    <t>584-71-00662</t>
    <phoneticPr fontId="1" type="noConversion"/>
  </si>
  <si>
    <t>경남 창원시 진해구 천자로 393</t>
    <phoneticPr fontId="1" type="noConversion"/>
  </si>
  <si>
    <t>010-3857-0574</t>
    <phoneticPr fontId="1" type="noConversion"/>
  </si>
  <si>
    <t>도만 카페 인테리어</t>
    <phoneticPr fontId="1" type="noConversion"/>
  </si>
  <si>
    <t>경남산소 사무실 리모델링</t>
    <phoneticPr fontId="1" type="noConversion"/>
  </si>
  <si>
    <t>이종석</t>
    <phoneticPr fontId="1" type="noConversion"/>
  </si>
  <si>
    <t>제일전자공업㈜ 전시실 인테리어</t>
    <phoneticPr fontId="1" type="noConversion"/>
  </si>
  <si>
    <t>제일전자공업㈜</t>
    <phoneticPr fontId="1" type="noConversion"/>
  </si>
  <si>
    <t>진주스포츠센터</t>
    <phoneticPr fontId="1" type="noConversion"/>
  </si>
  <si>
    <t>팔용동 사진관</t>
    <phoneticPr fontId="1" type="noConversion"/>
  </si>
  <si>
    <t>스포츠가치센터 이용자 휴게공간 및 흡연부스 공사</t>
    <phoneticPr fontId="1" type="noConversion"/>
  </si>
  <si>
    <t>서울올림픽기념국민체육진흥공단</t>
    <phoneticPr fontId="1" type="noConversion"/>
  </si>
  <si>
    <t>최형도</t>
    <phoneticPr fontId="1" type="noConversion"/>
  </si>
  <si>
    <t>공공기간</t>
    <phoneticPr fontId="1" type="noConversion"/>
  </si>
  <si>
    <t>02-410-1222</t>
    <phoneticPr fontId="1" type="noConversion"/>
  </si>
  <si>
    <t>디에프</t>
    <phoneticPr fontId="1" type="noConversion"/>
  </si>
  <si>
    <t>이강우</t>
    <phoneticPr fontId="1" type="noConversion"/>
  </si>
  <si>
    <t>418-54-00368</t>
    <phoneticPr fontId="1" type="noConversion"/>
  </si>
  <si>
    <t>경남 창원시 의창구 의창대로 180번길 2,1층</t>
    <phoneticPr fontId="1" type="noConversion"/>
  </si>
  <si>
    <t>010-5295-6035</t>
    <phoneticPr fontId="1" type="noConversion"/>
  </si>
  <si>
    <t>나라장터 입찰 계약</t>
    <phoneticPr fontId="1" type="noConversion"/>
  </si>
  <si>
    <t>이우철 누수보수작업</t>
    <phoneticPr fontId="1" type="noConversion"/>
  </si>
  <si>
    <t>마산종말이</t>
    <phoneticPr fontId="1" type="noConversion"/>
  </si>
  <si>
    <t>정민철</t>
    <phoneticPr fontId="1" type="noConversion"/>
  </si>
  <si>
    <t>개인사업자</t>
  </si>
  <si>
    <t>160-12-02394</t>
    <phoneticPr fontId="1" type="noConversion"/>
  </si>
  <si>
    <t>주식회사 좋은</t>
    <phoneticPr fontId="1" type="noConversion"/>
  </si>
  <si>
    <t>디자인마산</t>
    <phoneticPr fontId="1" type="noConversion"/>
  </si>
  <si>
    <t>진례 제일전자공업</t>
    <phoneticPr fontId="1" type="noConversion"/>
  </si>
  <si>
    <t>현대마린엔진</t>
    <phoneticPr fontId="1" type="noConversion"/>
  </si>
  <si>
    <t>중동 미용실</t>
    <phoneticPr fontId="1" type="noConversion"/>
  </si>
  <si>
    <t>중동 미용실 인테리어</t>
    <phoneticPr fontId="1" type="noConversion"/>
  </si>
  <si>
    <t>안예나</t>
    <phoneticPr fontId="1" type="noConversion"/>
  </si>
  <si>
    <t>HD현대마린엔진 생활관 탈의실 개선 및 가구 교체 공사</t>
    <phoneticPr fontId="1" type="noConversion"/>
  </si>
  <si>
    <t>HD현대마린엔진</t>
    <phoneticPr fontId="1" type="noConversion"/>
  </si>
  <si>
    <t>강 영</t>
    <phoneticPr fontId="1" type="noConversion"/>
  </si>
  <si>
    <t>609-81-48213</t>
    <phoneticPr fontId="1" type="noConversion"/>
  </si>
  <si>
    <t>부산대학교</t>
    <phoneticPr fontId="1" type="noConversion"/>
  </si>
  <si>
    <t>세영 테크노벨리</t>
    <phoneticPr fontId="1" type="noConversion"/>
  </si>
  <si>
    <t>터보링크</t>
    <phoneticPr fontId="1" type="noConversion"/>
  </si>
  <si>
    <t>계단실 인테리어</t>
    <phoneticPr fontId="1" type="noConversion"/>
  </si>
  <si>
    <t>사파동 변호사 사무실</t>
    <phoneticPr fontId="1" type="noConversion"/>
  </si>
  <si>
    <t>주식회사 세영테크놀러지</t>
    <phoneticPr fontId="1" type="noConversion"/>
  </si>
  <si>
    <t>경남 창원시 성산구 창곡로 108번길 15-20(신촌동)</t>
    <phoneticPr fontId="1" type="noConversion"/>
  </si>
  <si>
    <t>유지보수</t>
  </si>
  <si>
    <t>원도급</t>
  </si>
  <si>
    <t>010-3412-7005</t>
    <phoneticPr fontId="1" type="noConversion"/>
  </si>
  <si>
    <t>한국산업단지공단</t>
    <phoneticPr fontId="1" type="noConversion"/>
  </si>
  <si>
    <t>롯대백화점</t>
    <phoneticPr fontId="1" type="noConversion"/>
  </si>
  <si>
    <t>진동 목조주택</t>
    <phoneticPr fontId="1" type="noConversion"/>
  </si>
  <si>
    <t>진해 펍카페</t>
    <phoneticPr fontId="1" type="noConversion"/>
  </si>
  <si>
    <t>순이익 금액</t>
    <phoneticPr fontId="1" type="noConversion"/>
  </si>
  <si>
    <t>%</t>
    <phoneticPr fontId="1" type="noConversion"/>
  </si>
  <si>
    <t>부산대학교 생명자원과학대학 원예학과</t>
    <phoneticPr fontId="1" type="noConversion"/>
  </si>
  <si>
    <t>부산대학교 생명자원과학대학 바이오소재과학관</t>
    <phoneticPr fontId="1" type="noConversion"/>
  </si>
  <si>
    <t>카페디아크마린 인테리어</t>
    <phoneticPr fontId="1" type="noConversion"/>
  </si>
  <si>
    <t>경남 창원시 진해구 동진로 61번길 16,3층</t>
    <phoneticPr fontId="1" type="noConversion"/>
  </si>
  <si>
    <t>010-4589-5259</t>
    <phoneticPr fontId="1" type="noConversion"/>
  </si>
  <si>
    <t>2025 PNU 펜토미노 교육과정 바이오소재과학과 강의실 환경개선 공사</t>
    <phoneticPr fontId="1" type="noConversion"/>
  </si>
  <si>
    <t>2025 PNU 펜토미노 교육과정 원예생명과학과 강의실 환경개선 공사</t>
    <phoneticPr fontId="1" type="noConversion"/>
  </si>
  <si>
    <t>621-83-00678</t>
    <phoneticPr fontId="1" type="noConversion"/>
  </si>
  <si>
    <t>최재원</t>
    <phoneticPr fontId="1" type="noConversion"/>
  </si>
  <si>
    <t>하현천</t>
    <phoneticPr fontId="1" type="noConversion"/>
  </si>
  <si>
    <t>609-81-46495</t>
    <phoneticPr fontId="1" type="noConversion"/>
  </si>
  <si>
    <t>이홍열</t>
    <phoneticPr fontId="1" type="noConversion"/>
  </si>
  <si>
    <t>경남 밀양시 삼랑진읍 삼랑진로 1268-50 부산대학교 밀양캠퍼스 생명자원과학관 3434호</t>
    <phoneticPr fontId="1" type="noConversion"/>
  </si>
  <si>
    <t>경남 밀양시 삼랑진읍 삼랑진로 1268-50 부산대학교 밀양캠퍼스 생명자원과학관 3612호,3651호</t>
    <phoneticPr fontId="1" type="noConversion"/>
  </si>
  <si>
    <t>055-350-5174</t>
  </si>
  <si>
    <t>법무법인 디에이치</t>
    <phoneticPr fontId="1" type="noConversion"/>
  </si>
  <si>
    <t>법무법인 디에이치 인테리어</t>
    <phoneticPr fontId="1" type="noConversion"/>
  </si>
  <si>
    <t>정성원</t>
    <phoneticPr fontId="1" type="noConversion"/>
  </si>
  <si>
    <t>194246-0010296</t>
    <phoneticPr fontId="1" type="noConversion"/>
  </si>
  <si>
    <t>688-86-02118</t>
    <phoneticPr fontId="1" type="noConversion"/>
  </si>
  <si>
    <t>010-2734-8667</t>
    <phoneticPr fontId="1" type="noConversion"/>
  </si>
  <si>
    <t>경상남도 창원시 성산구 창이대로 689번길 8,101호(사파동,동양빌딩)</t>
    <phoneticPr fontId="1" type="noConversion"/>
  </si>
  <si>
    <t>회원동 교습소</t>
    <phoneticPr fontId="1" type="noConversion"/>
  </si>
  <si>
    <t>한국산업단지공단(인테리어)</t>
    <phoneticPr fontId="1" type="noConversion"/>
  </si>
  <si>
    <t>진영 HNS 온수기</t>
    <phoneticPr fontId="1" type="noConversion"/>
  </si>
  <si>
    <t>진영 HNS 휴게실</t>
    <phoneticPr fontId="1" type="noConversion"/>
  </si>
  <si>
    <t>회원동 교습소 인테리어</t>
    <phoneticPr fontId="1" type="noConversion"/>
  </si>
  <si>
    <t>최민기</t>
    <phoneticPr fontId="1" type="noConversion"/>
  </si>
  <si>
    <t>821030-1822111</t>
    <phoneticPr fontId="1" type="noConversion"/>
  </si>
  <si>
    <t>KICXUP AI LOUNGE 구축 실내 인테리어 공사</t>
    <phoneticPr fontId="1" type="noConversion"/>
  </si>
  <si>
    <t>경남 창원시 의창구 대산면 주남로 503번길 116</t>
    <phoneticPr fontId="1" type="noConversion"/>
  </si>
  <si>
    <t>진영에이치엔에스</t>
    <phoneticPr fontId="1" type="noConversion"/>
  </si>
  <si>
    <t>070-8895-7141</t>
    <phoneticPr fontId="1" type="noConversion"/>
  </si>
  <si>
    <t>010-6273-6331</t>
    <phoneticPr fontId="1" type="noConversion"/>
  </si>
  <si>
    <t>진주 수학 학원</t>
    <phoneticPr fontId="1" type="noConversion"/>
  </si>
  <si>
    <t>진주 서경방송</t>
    <phoneticPr fontId="1" type="noConversion"/>
  </si>
  <si>
    <t>주남 앨리브</t>
    <phoneticPr fontId="1" type="noConversion"/>
  </si>
  <si>
    <t xml:space="preserve">구산면 도만 카페 </t>
    <phoneticPr fontId="1" type="noConversion"/>
  </si>
  <si>
    <t>구산면 카페 건축</t>
    <phoneticPr fontId="1" type="noConversion"/>
  </si>
  <si>
    <t>부산대 작년 미수금</t>
    <phoneticPr fontId="1" type="noConversion"/>
  </si>
  <si>
    <t>진주 수학학원 인테리어</t>
    <phoneticPr fontId="1" type="noConversion"/>
  </si>
  <si>
    <t>㈜수박</t>
    <phoneticPr fontId="1" type="noConversion"/>
  </si>
  <si>
    <t>이수호</t>
    <phoneticPr fontId="1" type="noConversion"/>
  </si>
  <si>
    <t>191111-0067740</t>
    <phoneticPr fontId="1" type="noConversion"/>
  </si>
  <si>
    <t>323-88-00124</t>
    <phoneticPr fontId="1" type="noConversion"/>
  </si>
  <si>
    <t>내동교습소</t>
    <phoneticPr fontId="1" type="noConversion"/>
  </si>
  <si>
    <t>서경방송 2층 사무실 인테리어</t>
    <phoneticPr fontId="1" type="noConversion"/>
  </si>
  <si>
    <t>경남 진주시 진양호로 532 (삼광빌딩 2층)</t>
  </si>
  <si>
    <t>055-740-3001</t>
    <phoneticPr fontId="1" type="noConversion"/>
  </si>
  <si>
    <t>내동 교습소 인테리어</t>
    <phoneticPr fontId="1" type="noConversion"/>
  </si>
  <si>
    <t>이도겸</t>
    <phoneticPr fontId="1" type="noConversion"/>
  </si>
  <si>
    <t>㈜서경방송</t>
    <phoneticPr fontId="1" type="noConversion"/>
  </si>
  <si>
    <t>윤철지</t>
    <phoneticPr fontId="1" type="noConversion"/>
  </si>
  <si>
    <t>613-81-15007</t>
    <phoneticPr fontId="1" type="noConversion"/>
  </si>
  <si>
    <t>동전산단 사무실</t>
    <phoneticPr fontId="1" type="noConversion"/>
  </si>
  <si>
    <t>에이지로보틱스 사무실</t>
    <phoneticPr fontId="1" type="noConversion"/>
  </si>
  <si>
    <t>주남 엘리브 인테리어 공사</t>
    <phoneticPr fontId="1" type="noConversion"/>
  </si>
  <si>
    <t>주식회사 엘리브</t>
    <phoneticPr fontId="1" type="noConversion"/>
  </si>
  <si>
    <t>강연대</t>
    <phoneticPr fontId="1" type="noConversion"/>
  </si>
  <si>
    <t>동전산단 사무실 인테리어</t>
    <phoneticPr fontId="1" type="noConversion"/>
  </si>
  <si>
    <t>인터내셔널f/s</t>
    <phoneticPr fontId="1" type="noConversion"/>
  </si>
  <si>
    <t>전재이</t>
    <phoneticPr fontId="1" type="noConversion"/>
  </si>
  <si>
    <t>에이지로보틱스 사무실 인테리어</t>
    <phoneticPr fontId="1" type="noConversion"/>
  </si>
  <si>
    <t>에이지 로보틱스 주식회사</t>
    <phoneticPr fontId="1" type="noConversion"/>
  </si>
  <si>
    <t>조경식</t>
    <phoneticPr fontId="1" type="noConversion"/>
  </si>
  <si>
    <t>194211-0307448</t>
    <phoneticPr fontId="1" type="noConversion"/>
  </si>
  <si>
    <t>151-86-01640</t>
    <phoneticPr fontId="1" type="noConversion"/>
  </si>
  <si>
    <t>010-3543-1369</t>
    <phoneticPr fontId="1" type="noConversion"/>
  </si>
  <si>
    <t>경남 창원시 의창구 창원대로 18번길 46 경남창원과학기술진흥원 1018호,1019호,1013호</t>
    <phoneticPr fontId="1" type="noConversion"/>
  </si>
  <si>
    <t>경상남도 창원시 의창구 동읍 주남로 71번길 3</t>
    <phoneticPr fontId="1" type="noConversion"/>
  </si>
  <si>
    <t>010-3067-0007</t>
    <phoneticPr fontId="1" type="noConversion"/>
  </si>
  <si>
    <t>경남 진주시 진주역로 73번길 38</t>
  </si>
  <si>
    <t>창원시 성산구 내동 산33-1번지 힐스에비뉴 창원 더퍼스트 128동 206호</t>
  </si>
  <si>
    <t>010-7204-4300</t>
    <phoneticPr fontId="1" type="noConversion"/>
  </si>
  <si>
    <t>226-34-00776</t>
    <phoneticPr fontId="1" type="noConversion"/>
  </si>
  <si>
    <t>010-7774-8187</t>
    <phoneticPr fontId="1" type="noConversion"/>
  </si>
  <si>
    <t>경상남도 창원시 의창구 대산면 봉강가술로 596</t>
    <phoneticPr fontId="1" type="noConversion"/>
  </si>
  <si>
    <t>055-710-7000</t>
    <phoneticPr fontId="1" type="noConversion"/>
  </si>
  <si>
    <t>010-4320-7350</t>
    <phoneticPr fontId="1" type="noConversion"/>
  </si>
  <si>
    <t>김영규</t>
    <phoneticPr fontId="1" type="noConversion"/>
  </si>
  <si>
    <t>609-81-89169</t>
    <phoneticPr fontId="1" type="noConversion"/>
  </si>
  <si>
    <t>김숙영</t>
    <phoneticPr fontId="1" type="noConversion"/>
  </si>
  <si>
    <t>102-05-94546</t>
    <phoneticPr fontId="1" type="noConversion"/>
  </si>
  <si>
    <t xml:space="preserve">나라정보시스템 </t>
    <phoneticPr fontId="1" type="noConversion"/>
  </si>
  <si>
    <t>나라정보시스템 인테리어</t>
    <phoneticPr fontId="1" type="noConversion"/>
  </si>
  <si>
    <t>㈜나라정보시스템</t>
    <phoneticPr fontId="1" type="noConversion"/>
  </si>
  <si>
    <t>구태호</t>
    <phoneticPr fontId="1" type="noConversion"/>
  </si>
  <si>
    <t>609-86-24064</t>
    <phoneticPr fontId="1" type="noConversion"/>
  </si>
  <si>
    <t>창원시 성산구 원이대로 320,제 3층 제티-306호(대원동,더시티세븐)</t>
    <phoneticPr fontId="1" type="noConversion"/>
  </si>
  <si>
    <t>010-6338-1719</t>
    <phoneticPr fontId="1" type="noConversion"/>
  </si>
  <si>
    <t>인테리어도면(11/11입금)</t>
    <phoneticPr fontId="1" type="noConversion"/>
  </si>
  <si>
    <t>인테리어 도면(10/28입금)</t>
    <phoneticPr fontId="1" type="noConversion"/>
  </si>
  <si>
    <t>인테리어 도면(10/23입금)</t>
    <phoneticPr fontId="1" type="noConversion"/>
  </si>
  <si>
    <t>계약서x</t>
  </si>
  <si>
    <t>현동 바버샵</t>
    <phoneticPr fontId="1" type="noConversion"/>
  </si>
  <si>
    <t>리화바버샵 인테리어</t>
    <phoneticPr fontId="1" type="noConversion"/>
  </si>
  <si>
    <t>이준철</t>
    <phoneticPr fontId="1" type="noConversion"/>
  </si>
  <si>
    <t>경상남도 창원시 마산합포구 현동7길 18,1층</t>
    <phoneticPr fontId="1" type="noConversion"/>
  </si>
  <si>
    <t>010-3065-8511</t>
    <phoneticPr fontId="1" type="noConversion"/>
  </si>
  <si>
    <t>363-16-02477</t>
    <phoneticPr fontId="1" type="noConversion"/>
  </si>
  <si>
    <t>대상힐스 미용실</t>
    <phoneticPr fontId="1" type="noConversion"/>
  </si>
  <si>
    <t>무동 토킹영어학원</t>
    <phoneticPr fontId="1" type="noConversion"/>
  </si>
  <si>
    <t>대상힐스미용실 인테리어</t>
    <phoneticPr fontId="1" type="noConversion"/>
  </si>
  <si>
    <t>이정현</t>
    <phoneticPr fontId="1" type="noConversion"/>
  </si>
  <si>
    <t>경남 창원시 성산구 내동 산 33-1 대상 힐스에비뉴 창원 더 퍼스트상가 128동 110호</t>
    <phoneticPr fontId="1" type="noConversion"/>
  </si>
  <si>
    <t>010-8617-6919</t>
    <phoneticPr fontId="1" type="noConversion"/>
  </si>
  <si>
    <t>무동 토킹영어학원 인테리어</t>
    <phoneticPr fontId="1" type="noConversion"/>
  </si>
  <si>
    <t>부산대 원예학과</t>
    <phoneticPr fontId="1" type="noConversion"/>
  </si>
  <si>
    <t>서경방송 1,8층 디자인</t>
    <phoneticPr fontId="1" type="noConversion"/>
  </si>
  <si>
    <t>㈜서경방송 1,8층 도면작업</t>
  </si>
  <si>
    <t>서경방송</t>
    <phoneticPr fontId="1" type="noConversion"/>
  </si>
  <si>
    <t>부산대 바이오소재 작년 잔금</t>
    <phoneticPr fontId="1" type="noConversion"/>
  </si>
  <si>
    <t>2025 PNU 펜토미노 융합전공 원예생명과학과 환경개선 공사</t>
    <phoneticPr fontId="1" type="noConversion"/>
  </si>
  <si>
    <t>경남 밀양시 삼랑진읍 삼랑진로 1268-50 부산대학교 밀양캠퍼스 생명자원과학관 4층 복도(3451호 앞)</t>
    <phoneticPr fontId="1" type="noConversion"/>
  </si>
  <si>
    <t>경상남도 진주시 내동면 삼계로 360, 스포츠가치센터</t>
    <phoneticPr fontId="1" type="noConversion"/>
  </si>
  <si>
    <t>194211-0046286</t>
    <phoneticPr fontId="1" type="noConversion"/>
  </si>
  <si>
    <t>카페 도만 사업자로 세금계산서 발행</t>
    <phoneticPr fontId="1" type="noConversion"/>
  </si>
  <si>
    <t>도만</t>
  </si>
  <si>
    <t xml:space="preserve">민지현 주민번호 82,500,000 82,500,000, 82,500,000 /,카페 도만 27,500,000,12,617,000원 발행 </t>
    <phoneticPr fontId="1" type="noConversion"/>
  </si>
  <si>
    <t>386-88-03326</t>
  </si>
  <si>
    <t>법무법인 시그널</t>
    <phoneticPr fontId="1" type="noConversion"/>
  </si>
  <si>
    <t>경상남도 창원시 성산구 창이대로 689번길 4-4,301호</t>
  </si>
  <si>
    <t>나라장터 입찰 계약&lt;승인요청함</t>
    <phoneticPr fontId="1" type="noConversion"/>
  </si>
  <si>
    <t>596-87-00268</t>
    <phoneticPr fontId="1" type="noConversion"/>
  </si>
  <si>
    <t>194211-0250407</t>
    <phoneticPr fontId="1" type="noConversion"/>
  </si>
  <si>
    <t>194211-0048381</t>
  </si>
  <si>
    <t>055-240-0200</t>
  </si>
  <si>
    <t>경상남도 창원시 성산구 적현로 222(신촌동)</t>
  </si>
  <si>
    <t>경남 창원시 성산구 창원대로 754</t>
  </si>
  <si>
    <t>경남 창원시 성산구 창원대로 754</t>
    <phoneticPr fontId="1" type="noConversion"/>
  </si>
  <si>
    <t>경상남도 창원시 마산 회원구 회원동 403-10, 2층</t>
    <phoneticPr fontId="1" type="noConversion"/>
  </si>
  <si>
    <t>현금영수증 매출</t>
    <phoneticPr fontId="1" type="noConversion"/>
  </si>
  <si>
    <t>경남 진주시 진주역로 73번길 38</t>
    <phoneticPr fontId="1" type="noConversion"/>
  </si>
  <si>
    <t>창원시 성산구 내동 산33-1번지 힐스에비뉴 창원 더퍼스트 128동 206호</t>
    <phoneticPr fontId="1" type="noConversion"/>
  </si>
  <si>
    <t>26년도 실적신고</t>
    <phoneticPr fontId="1" type="noConversion"/>
  </si>
  <si>
    <t xml:space="preserve">26년 실적신고에서 25년도 세금계산서는 누락분으로 신고  </t>
    <phoneticPr fontId="1" type="noConversion"/>
  </si>
  <si>
    <t>분류</t>
    <phoneticPr fontId="1" type="noConversion"/>
  </si>
  <si>
    <t>우편</t>
    <phoneticPr fontId="1" type="noConversion"/>
  </si>
  <si>
    <t>서울시 강남구 명동대로 424,5층 키움에셋플레너 경영지원팀 이준대리</t>
    <phoneticPr fontId="1" type="noConversion"/>
  </si>
  <si>
    <t>경남 김해시 진례면 고모로216번길 59-5</t>
  </si>
  <si>
    <t>010-2978-3493</t>
    <phoneticPr fontId="1" type="noConversion"/>
  </si>
  <si>
    <t>기타학원 인테리어</t>
    <phoneticPr fontId="1" type="noConversion"/>
  </si>
  <si>
    <t>어반브릭스 기타학원</t>
    <phoneticPr fontId="1" type="noConversion"/>
  </si>
  <si>
    <t>최지원</t>
    <phoneticPr fontId="1" type="noConversion"/>
  </si>
  <si>
    <t>881105-1</t>
    <phoneticPr fontId="1" type="noConversion"/>
  </si>
  <si>
    <t>경남 창원시 의창구 의창대로 835</t>
    <phoneticPr fontId="1" type="noConversion"/>
  </si>
  <si>
    <t>010-2592-0813</t>
    <phoneticPr fontId="1" type="noConversion"/>
  </si>
  <si>
    <t>승락서</t>
    <phoneticPr fontId="1" type="noConversion"/>
  </si>
  <si>
    <t>경남 밀양시 삼랑진읍 삼랑진로 1268-50 부산대학교 밀양캠퍼스 바이오소재학과</t>
    <phoneticPr fontId="1" type="noConversion"/>
  </si>
  <si>
    <t>받으러 오라함</t>
    <phoneticPr fontId="1" type="noConversion"/>
  </si>
  <si>
    <t>출장중 불가</t>
    <phoneticPr fontId="1" type="noConversion"/>
  </si>
  <si>
    <t>010-2978-3493</t>
    <phoneticPr fontId="1" type="noConversion"/>
  </si>
  <si>
    <t>제이디윙스 6층</t>
    <phoneticPr fontId="1" type="noConversion"/>
  </si>
  <si>
    <t>2026년도 실적신고</t>
    <phoneticPr fontId="1" type="noConversion"/>
  </si>
  <si>
    <t>경상남도 창원시 마산합포구 현동7길 18,1층</t>
  </si>
  <si>
    <t>RISE 기능성푸드평가 동물조직분석실 교육 환경 개선 공사</t>
  </si>
  <si>
    <t>현대마린엔진 대표실</t>
    <phoneticPr fontId="1" type="noConversion"/>
  </si>
  <si>
    <t>장유사무실</t>
    <phoneticPr fontId="1" type="noConversion"/>
  </si>
  <si>
    <t xml:space="preserve">지엔티 회의테이블구매 </t>
    <phoneticPr fontId="1" type="noConversion"/>
  </si>
  <si>
    <t>지엔티 책상구매</t>
    <phoneticPr fontId="1" type="noConversion"/>
  </si>
  <si>
    <t>주식회사 대한재해예방 인테리어</t>
    <phoneticPr fontId="1" type="noConversion"/>
  </si>
  <si>
    <t>주식회사 대한재해예방</t>
    <phoneticPr fontId="1" type="noConversion"/>
  </si>
  <si>
    <t>김종호</t>
    <phoneticPr fontId="1" type="noConversion"/>
  </si>
  <si>
    <t>195511-0277404</t>
    <phoneticPr fontId="1" type="noConversion"/>
  </si>
  <si>
    <t>565-86-02533</t>
    <phoneticPr fontId="1" type="noConversion"/>
  </si>
  <si>
    <t xml:space="preserve">경남 김해시 대청동 번화1로 40, 파로스타워 206호 </t>
    <phoneticPr fontId="1" type="noConversion"/>
  </si>
  <si>
    <t>HD현대마린엔진 대표이사실 개선 공사</t>
    <phoneticPr fontId="1" type="noConversion"/>
  </si>
  <si>
    <t>강영</t>
    <phoneticPr fontId="1" type="noConversion"/>
  </si>
  <si>
    <t>경남 창원시 성산구 적현로 222</t>
    <phoneticPr fontId="1" type="noConversion"/>
  </si>
  <si>
    <t xml:space="preserve">감계아파트 203동 1305호 </t>
    <phoneticPr fontId="1" type="noConversion"/>
  </si>
  <si>
    <t>영어학원인테리어</t>
    <phoneticPr fontId="1" type="noConversion"/>
  </si>
  <si>
    <t>박은혜</t>
    <phoneticPr fontId="1" type="noConversion"/>
  </si>
  <si>
    <t>경남 테크노파크</t>
    <phoneticPr fontId="1" type="noConversion"/>
  </si>
  <si>
    <t>가로수길 촌놈스시(디자인)</t>
    <phoneticPr fontId="1" type="noConversion"/>
  </si>
  <si>
    <t>가로수길 촌놈스시</t>
    <phoneticPr fontId="1" type="noConversion"/>
  </si>
  <si>
    <t>정맹근</t>
    <phoneticPr fontId="1" type="noConversion"/>
  </si>
  <si>
    <t xml:space="preserve">감계아파트 202동 605호 </t>
    <phoneticPr fontId="1" type="noConversion"/>
  </si>
  <si>
    <t>고용산재금액</t>
    <phoneticPr fontId="1" type="noConversion"/>
  </si>
  <si>
    <t>고용산재보험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</si>
</sst>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yyyy/mm/dd;@"/>
    <numFmt numFmtId="177" formatCode="#,##0_);\(#,##0\)"/>
    <numFmt numFmtId="178" formatCode="0.0%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2"/>
      <color theme="9" tint="-0.499984740745262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4" tint="0.39997558519241921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</cellStyleXfs>
  <cellXfs count="30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0" fillId="3" borderId="1" xfId="0" applyFill="1" applyBorder="1">
      <alignment vertical="center"/>
    </xf>
    <xf numFmtId="0" fontId="0" fillId="3" borderId="0" xfId="0" applyFill="1">
      <alignment vertical="center"/>
    </xf>
    <xf numFmtId="3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77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78" fontId="0" fillId="0" borderId="0" xfId="0" applyNumberFormat="1">
      <alignment vertical="center"/>
    </xf>
    <xf numFmtId="178" fontId="0" fillId="0" borderId="1" xfId="0" applyNumberFormat="1" applyBorder="1">
      <alignment vertical="center"/>
    </xf>
    <xf numFmtId="0" fontId="0" fillId="4" borderId="0" xfId="0" applyFill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76" fontId="0" fillId="5" borderId="2" xfId="0" applyNumberForma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8" fontId="0" fillId="0" borderId="20" xfId="0" applyNumberFormat="1" applyBorder="1">
      <alignment vertical="center"/>
    </xf>
    <xf numFmtId="178" fontId="0" fillId="3" borderId="20" xfId="0" applyNumberFormat="1" applyFill="1" applyBorder="1">
      <alignment vertical="center"/>
    </xf>
    <xf numFmtId="14" fontId="0" fillId="5" borderId="2" xfId="0" applyNumberFormat="1" applyFill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76" fontId="0" fillId="5" borderId="7" xfId="0" applyNumberFormat="1" applyFill="1" applyBorder="1" applyAlignment="1">
      <alignment horizontal="center" vertical="center"/>
    </xf>
    <xf numFmtId="14" fontId="0" fillId="5" borderId="7" xfId="0" applyNumberFormat="1" applyFill="1" applyBorder="1" applyAlignment="1">
      <alignment horizontal="center" vertical="center"/>
    </xf>
    <xf numFmtId="6" fontId="0" fillId="0" borderId="2" xfId="0" applyNumberForma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77" fontId="5" fillId="0" borderId="5" xfId="0" applyNumberFormat="1" applyFont="1" applyBorder="1" applyAlignment="1">
      <alignment horizontal="center" vertical="center"/>
    </xf>
    <xf numFmtId="9" fontId="5" fillId="0" borderId="11" xfId="1" applyFont="1" applyBorder="1" applyAlignment="1">
      <alignment horizontal="center" vertical="center"/>
    </xf>
    <xf numFmtId="42" fontId="5" fillId="0" borderId="5" xfId="0" applyNumberFormat="1" applyFont="1" applyBorder="1" applyAlignment="1">
      <alignment horizontal="center" vertical="center"/>
    </xf>
    <xf numFmtId="42" fontId="5" fillId="0" borderId="21" xfId="0" applyNumberFormat="1" applyFont="1" applyBorder="1" applyAlignment="1">
      <alignment horizontal="center" vertical="center"/>
    </xf>
    <xf numFmtId="9" fontId="5" fillId="0" borderId="13" xfId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/>
    </xf>
    <xf numFmtId="9" fontId="5" fillId="0" borderId="17" xfId="1" applyFont="1" applyBorder="1" applyAlignment="1">
      <alignment horizontal="center" vertical="center"/>
    </xf>
    <xf numFmtId="177" fontId="5" fillId="0" borderId="22" xfId="0" applyNumberFormat="1" applyFont="1" applyBorder="1" applyAlignment="1">
      <alignment horizontal="center" vertical="center"/>
    </xf>
    <xf numFmtId="42" fontId="5" fillId="0" borderId="6" xfId="0" applyNumberFormat="1" applyFont="1" applyBorder="1" applyAlignment="1">
      <alignment horizontal="center" vertical="center"/>
    </xf>
    <xf numFmtId="42" fontId="5" fillId="0" borderId="22" xfId="0" applyNumberFormat="1" applyFont="1" applyBorder="1" applyAlignment="1">
      <alignment horizontal="center" vertical="center"/>
    </xf>
    <xf numFmtId="9" fontId="5" fillId="0" borderId="14" xfId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9" fontId="5" fillId="0" borderId="18" xfId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42" fontId="5" fillId="0" borderId="7" xfId="0" applyNumberFormat="1" applyFont="1" applyBorder="1" applyAlignment="1">
      <alignment horizontal="center" vertical="center"/>
    </xf>
    <xf numFmtId="42" fontId="5" fillId="0" borderId="23" xfId="0" applyNumberFormat="1" applyFont="1" applyBorder="1" applyAlignment="1">
      <alignment horizontal="center" vertical="center"/>
    </xf>
    <xf numFmtId="9" fontId="5" fillId="0" borderId="15" xfId="1" applyFont="1" applyBorder="1" applyAlignment="1">
      <alignment horizontal="center" vertical="center"/>
    </xf>
    <xf numFmtId="176" fontId="5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9" fontId="5" fillId="5" borderId="18" xfId="1" applyFont="1" applyFill="1" applyBorder="1" applyAlignment="1">
      <alignment horizontal="center" vertical="center"/>
    </xf>
    <xf numFmtId="42" fontId="5" fillId="5" borderId="2" xfId="0" applyNumberFormat="1" applyFont="1" applyFill="1" applyBorder="1" applyAlignment="1">
      <alignment horizontal="center" vertical="center"/>
    </xf>
    <xf numFmtId="42" fontId="5" fillId="5" borderId="23" xfId="0" applyNumberFormat="1" applyFont="1" applyFill="1" applyBorder="1" applyAlignment="1">
      <alignment horizontal="center" vertical="center"/>
    </xf>
    <xf numFmtId="9" fontId="5" fillId="5" borderId="15" xfId="1" applyFont="1" applyFill="1" applyBorder="1" applyAlignment="1">
      <alignment horizontal="center" vertical="center"/>
    </xf>
    <xf numFmtId="42" fontId="5" fillId="0" borderId="2" xfId="0" applyNumberFormat="1" applyFont="1" applyBorder="1" applyAlignment="1">
      <alignment horizontal="center" vertical="center"/>
    </xf>
    <xf numFmtId="14" fontId="5" fillId="5" borderId="2" xfId="0" applyNumberFormat="1" applyFont="1" applyFill="1" applyBorder="1" applyAlignment="1">
      <alignment horizontal="center" vertical="center"/>
    </xf>
    <xf numFmtId="42" fontId="5" fillId="0" borderId="25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42" fontId="5" fillId="0" borderId="18" xfId="0" applyNumberFormat="1" applyFont="1" applyBorder="1" applyAlignment="1">
      <alignment horizontal="center" vertical="center"/>
    </xf>
    <xf numFmtId="42" fontId="5" fillId="5" borderId="4" xfId="0" applyNumberFormat="1" applyFont="1" applyFill="1" applyBorder="1" applyAlignment="1">
      <alignment horizontal="center" vertical="center"/>
    </xf>
    <xf numFmtId="41" fontId="5" fillId="5" borderId="2" xfId="2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9" fontId="5" fillId="0" borderId="19" xfId="1" applyFont="1" applyBorder="1" applyAlignment="1">
      <alignment horizontal="center" vertical="center"/>
    </xf>
    <xf numFmtId="42" fontId="5" fillId="0" borderId="3" xfId="0" applyNumberFormat="1" applyFont="1" applyBorder="1" applyAlignment="1">
      <alignment horizontal="center" vertical="center"/>
    </xf>
    <xf numFmtId="42" fontId="5" fillId="0" borderId="24" xfId="0" applyNumberFormat="1" applyFont="1" applyBorder="1" applyAlignment="1">
      <alignment horizontal="center" vertical="center"/>
    </xf>
    <xf numFmtId="9" fontId="5" fillId="0" borderId="16" xfId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9" fontId="5" fillId="0" borderId="12" xfId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77" fontId="7" fillId="0" borderId="4" xfId="0" applyNumberFormat="1" applyFont="1" applyBorder="1" applyAlignment="1">
      <alignment horizontal="center" vertical="center"/>
    </xf>
    <xf numFmtId="9" fontId="7" fillId="0" borderId="17" xfId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42" fontId="7" fillId="0" borderId="6" xfId="0" applyNumberFormat="1" applyFont="1" applyBorder="1" applyAlignment="1">
      <alignment horizontal="center" vertical="center"/>
    </xf>
    <xf numFmtId="42" fontId="7" fillId="0" borderId="22" xfId="0" applyNumberFormat="1" applyFont="1" applyBorder="1" applyAlignment="1">
      <alignment horizontal="center" vertical="center"/>
    </xf>
    <xf numFmtId="9" fontId="7" fillId="0" borderId="14" xfId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2" fontId="5" fillId="5" borderId="10" xfId="0" applyNumberFormat="1" applyFont="1" applyFill="1" applyBorder="1" applyAlignment="1">
      <alignment horizontal="center" vertical="center"/>
    </xf>
    <xf numFmtId="42" fontId="5" fillId="5" borderId="26" xfId="0" applyNumberFormat="1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42" fontId="5" fillId="0" borderId="29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42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42" fontId="5" fillId="6" borderId="32" xfId="0" applyNumberFormat="1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42" fontId="5" fillId="0" borderId="34" xfId="0" applyNumberFormat="1" applyFont="1" applyBorder="1" applyAlignment="1">
      <alignment horizontal="center" vertical="center"/>
    </xf>
    <xf numFmtId="42" fontId="5" fillId="5" borderId="18" xfId="0" applyNumberFormat="1" applyFont="1" applyFill="1" applyBorder="1" applyAlignment="1">
      <alignment horizontal="center" vertical="center"/>
    </xf>
    <xf numFmtId="9" fontId="5" fillId="0" borderId="15" xfId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4" fillId="0" borderId="35" xfId="1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176" fontId="5" fillId="3" borderId="2" xfId="0" applyNumberFormat="1" applyFont="1" applyFill="1" applyBorder="1" applyAlignment="1">
      <alignment horizontal="center" vertical="center"/>
    </xf>
    <xf numFmtId="14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9" fontId="5" fillId="3" borderId="18" xfId="1" applyFont="1" applyFill="1" applyBorder="1" applyAlignment="1">
      <alignment horizontal="center" vertical="center"/>
    </xf>
    <xf numFmtId="42" fontId="5" fillId="3" borderId="2" xfId="0" applyNumberFormat="1" applyFont="1" applyFill="1" applyBorder="1" applyAlignment="1">
      <alignment horizontal="center" vertical="center"/>
    </xf>
    <xf numFmtId="42" fontId="5" fillId="3" borderId="23" xfId="0" applyNumberFormat="1" applyFont="1" applyFill="1" applyBorder="1" applyAlignment="1">
      <alignment horizontal="center" vertical="center"/>
    </xf>
    <xf numFmtId="9" fontId="5" fillId="3" borderId="15" xfId="1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2" fontId="8" fillId="0" borderId="4" xfId="0" applyNumberFormat="1" applyFont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42" fontId="8" fillId="5" borderId="4" xfId="0" applyNumberFormat="1" applyFont="1" applyFill="1" applyBorder="1" applyAlignment="1">
      <alignment horizontal="center" vertical="center"/>
    </xf>
    <xf numFmtId="9" fontId="5" fillId="0" borderId="12" xfId="2" applyNumberFormat="1" applyFont="1" applyBorder="1" applyAlignment="1">
      <alignment horizontal="center" vertical="center"/>
    </xf>
    <xf numFmtId="9" fontId="5" fillId="0" borderId="13" xfId="2" applyNumberFormat="1" applyFont="1" applyBorder="1" applyAlignment="1">
      <alignment horizontal="center" vertical="center"/>
    </xf>
    <xf numFmtId="9" fontId="8" fillId="0" borderId="4" xfId="2" applyNumberFormat="1" applyFont="1" applyBorder="1" applyAlignment="1">
      <alignment horizontal="center" vertical="center"/>
    </xf>
    <xf numFmtId="9" fontId="8" fillId="5" borderId="4" xfId="2" applyNumberFormat="1" applyFont="1" applyFill="1" applyBorder="1" applyAlignment="1">
      <alignment horizontal="center" vertical="center"/>
    </xf>
    <xf numFmtId="9" fontId="5" fillId="0" borderId="15" xfId="2" applyNumberFormat="1" applyFont="1" applyBorder="1" applyAlignment="1">
      <alignment horizontal="center" vertical="center"/>
    </xf>
    <xf numFmtId="9" fontId="5" fillId="0" borderId="16" xfId="2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9" fontId="5" fillId="2" borderId="18" xfId="1" applyFont="1" applyFill="1" applyBorder="1" applyAlignment="1">
      <alignment horizontal="center" vertical="center"/>
    </xf>
    <xf numFmtId="42" fontId="5" fillId="2" borderId="2" xfId="0" applyNumberFormat="1" applyFont="1" applyFill="1" applyBorder="1" applyAlignment="1">
      <alignment horizontal="center" vertical="center"/>
    </xf>
    <xf numFmtId="42" fontId="5" fillId="2" borderId="23" xfId="0" applyNumberFormat="1" applyFont="1" applyFill="1" applyBorder="1" applyAlignment="1">
      <alignment horizontal="center" vertical="center"/>
    </xf>
    <xf numFmtId="9" fontId="5" fillId="2" borderId="15" xfId="1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42" fontId="7" fillId="2" borderId="22" xfId="0" applyNumberFormat="1" applyFont="1" applyFill="1" applyBorder="1" applyAlignment="1">
      <alignment horizontal="center" vertical="center"/>
    </xf>
    <xf numFmtId="14" fontId="0" fillId="2" borderId="7" xfId="0" applyNumberFormat="1" applyFill="1" applyBorder="1" applyAlignment="1">
      <alignment horizontal="center" vertical="center"/>
    </xf>
    <xf numFmtId="177" fontId="5" fillId="2" borderId="4" xfId="0" applyNumberFormat="1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42" fontId="5" fillId="2" borderId="7" xfId="0" applyNumberFormat="1" applyFont="1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7" fillId="9" borderId="3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176" fontId="7" fillId="2" borderId="4" xfId="0" applyNumberFormat="1" applyFont="1" applyFill="1" applyBorder="1" applyAlignment="1">
      <alignment horizontal="center" vertical="center"/>
    </xf>
    <xf numFmtId="14" fontId="7" fillId="2" borderId="4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77" fontId="7" fillId="2" borderId="4" xfId="0" applyNumberFormat="1" applyFont="1" applyFill="1" applyBorder="1" applyAlignment="1">
      <alignment horizontal="center" vertical="center"/>
    </xf>
    <xf numFmtId="9" fontId="7" fillId="2" borderId="17" xfId="1" applyFont="1" applyFill="1" applyBorder="1" applyAlignment="1">
      <alignment horizontal="center" vertical="center"/>
    </xf>
    <xf numFmtId="177" fontId="7" fillId="2" borderId="22" xfId="0" applyNumberFormat="1" applyFont="1" applyFill="1" applyBorder="1" applyAlignment="1">
      <alignment horizontal="center" vertical="center"/>
    </xf>
    <xf numFmtId="42" fontId="7" fillId="2" borderId="6" xfId="0" applyNumberFormat="1" applyFont="1" applyFill="1" applyBorder="1" applyAlignment="1">
      <alignment horizontal="center" vertical="center"/>
    </xf>
    <xf numFmtId="9" fontId="7" fillId="2" borderId="14" xfId="1" applyFont="1" applyFill="1" applyBorder="1" applyAlignment="1">
      <alignment horizontal="center" vertical="center"/>
    </xf>
    <xf numFmtId="177" fontId="6" fillId="2" borderId="6" xfId="0" applyNumberFormat="1" applyFont="1" applyFill="1" applyBorder="1" applyAlignment="1">
      <alignment horizontal="center" vertical="center"/>
    </xf>
    <xf numFmtId="177" fontId="6" fillId="2" borderId="4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5" fillId="9" borderId="36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/>
    </xf>
    <xf numFmtId="176" fontId="5" fillId="2" borderId="4" xfId="0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9" fontId="5" fillId="2" borderId="17" xfId="1" applyFont="1" applyFill="1" applyBorder="1" applyAlignment="1">
      <alignment horizontal="center" vertical="center"/>
    </xf>
    <xf numFmtId="177" fontId="5" fillId="2" borderId="22" xfId="0" applyNumberFormat="1" applyFont="1" applyFill="1" applyBorder="1" applyAlignment="1">
      <alignment horizontal="center" vertical="center"/>
    </xf>
    <xf numFmtId="42" fontId="5" fillId="2" borderId="6" xfId="0" applyNumberFormat="1" applyFont="1" applyFill="1" applyBorder="1" applyAlignment="1">
      <alignment horizontal="center" vertical="center"/>
    </xf>
    <xf numFmtId="42" fontId="5" fillId="2" borderId="22" xfId="0" applyNumberFormat="1" applyFont="1" applyFill="1" applyBorder="1" applyAlignment="1">
      <alignment horizontal="center" vertical="center"/>
    </xf>
    <xf numFmtId="9" fontId="5" fillId="2" borderId="14" xfId="1" applyFont="1" applyFill="1" applyBorder="1" applyAlignment="1">
      <alignment horizontal="center" vertical="center"/>
    </xf>
    <xf numFmtId="177" fontId="0" fillId="2" borderId="6" xfId="0" applyNumberFormat="1" applyFill="1" applyBorder="1" applyAlignment="1">
      <alignment horizontal="center" vertical="center"/>
    </xf>
    <xf numFmtId="177" fontId="0" fillId="2" borderId="4" xfId="0" applyNumberFormat="1" applyFill="1" applyBorder="1" applyAlignment="1">
      <alignment horizontal="center" vertical="center"/>
    </xf>
    <xf numFmtId="42" fontId="10" fillId="0" borderId="21" xfId="0" applyNumberFormat="1" applyFont="1" applyBorder="1" applyAlignment="1">
      <alignment horizontal="center" vertical="center"/>
    </xf>
    <xf numFmtId="42" fontId="10" fillId="2" borderId="22" xfId="0" applyNumberFormat="1" applyFont="1" applyFill="1" applyBorder="1" applyAlignment="1">
      <alignment horizontal="center" vertical="center"/>
    </xf>
    <xf numFmtId="42" fontId="10" fillId="0" borderId="23" xfId="0" applyNumberFormat="1" applyFont="1" applyBorder="1" applyAlignment="1">
      <alignment horizontal="center" vertical="center"/>
    </xf>
    <xf numFmtId="42" fontId="10" fillId="2" borderId="23" xfId="0" applyNumberFormat="1" applyFont="1" applyFill="1" applyBorder="1" applyAlignment="1">
      <alignment horizontal="center" vertical="center"/>
    </xf>
    <xf numFmtId="42" fontId="10" fillId="5" borderId="23" xfId="0" applyNumberFormat="1" applyFont="1" applyFill="1" applyBorder="1" applyAlignment="1">
      <alignment horizontal="center" vertical="center"/>
    </xf>
    <xf numFmtId="42" fontId="10" fillId="3" borderId="23" xfId="0" applyNumberFormat="1" applyFont="1" applyFill="1" applyBorder="1" applyAlignment="1">
      <alignment horizontal="center" vertical="center"/>
    </xf>
    <xf numFmtId="42" fontId="10" fillId="5" borderId="18" xfId="0" applyNumberFormat="1" applyFont="1" applyFill="1" applyBorder="1" applyAlignment="1">
      <alignment horizontal="center" vertical="center"/>
    </xf>
    <xf numFmtId="42" fontId="10" fillId="5" borderId="26" xfId="0" applyNumberFormat="1" applyFont="1" applyFill="1" applyBorder="1" applyAlignment="1">
      <alignment horizontal="center" vertical="center"/>
    </xf>
    <xf numFmtId="42" fontId="10" fillId="0" borderId="24" xfId="0" applyNumberFormat="1" applyFont="1" applyBorder="1" applyAlignment="1">
      <alignment horizontal="center" vertical="center"/>
    </xf>
    <xf numFmtId="42" fontId="10" fillId="0" borderId="0" xfId="0" applyNumberFormat="1" applyFont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4" fontId="0" fillId="2" borderId="10" xfId="0" applyNumberFormat="1" applyFill="1" applyBorder="1" applyAlignment="1">
      <alignment horizontal="center" vertical="center"/>
    </xf>
    <xf numFmtId="176" fontId="5" fillId="2" borderId="10" xfId="0" applyNumberFormat="1" applyFont="1" applyFill="1" applyBorder="1" applyAlignment="1">
      <alignment horizontal="center" vertical="center"/>
    </xf>
    <xf numFmtId="14" fontId="5" fillId="2" borderId="10" xfId="0" applyNumberFormat="1" applyFont="1" applyFill="1" applyBorder="1" applyAlignment="1">
      <alignment horizontal="center" vertical="center"/>
    </xf>
    <xf numFmtId="9" fontId="5" fillId="2" borderId="37" xfId="1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42" fontId="5" fillId="2" borderId="25" xfId="0" applyNumberFormat="1" applyFont="1" applyFill="1" applyBorder="1" applyAlignment="1">
      <alignment horizontal="center" vertical="center"/>
    </xf>
    <xf numFmtId="42" fontId="5" fillId="2" borderId="26" xfId="0" applyNumberFormat="1" applyFont="1" applyFill="1" applyBorder="1" applyAlignment="1">
      <alignment horizontal="center" vertical="center"/>
    </xf>
    <xf numFmtId="42" fontId="10" fillId="2" borderId="26" xfId="0" applyNumberFormat="1" applyFont="1" applyFill="1" applyBorder="1" applyAlignment="1">
      <alignment horizontal="center" vertical="center"/>
    </xf>
    <xf numFmtId="9" fontId="5" fillId="2" borderId="38" xfId="1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76" fontId="0" fillId="5" borderId="6" xfId="0" applyNumberFormat="1" applyFill="1" applyBorder="1" applyAlignment="1">
      <alignment horizontal="center" vertical="center"/>
    </xf>
    <xf numFmtId="176" fontId="5" fillId="5" borderId="4" xfId="0" applyNumberFormat="1" applyFont="1" applyFill="1" applyBorder="1" applyAlignment="1">
      <alignment horizontal="center" vertical="center"/>
    </xf>
    <xf numFmtId="9" fontId="5" fillId="5" borderId="17" xfId="1" applyFont="1" applyFill="1" applyBorder="1" applyAlignment="1">
      <alignment horizontal="center" vertical="center"/>
    </xf>
    <xf numFmtId="42" fontId="5" fillId="5" borderId="22" xfId="0" applyNumberFormat="1" applyFont="1" applyFill="1" applyBorder="1" applyAlignment="1">
      <alignment horizontal="center" vertical="center"/>
    </xf>
    <xf numFmtId="42" fontId="10" fillId="5" borderId="22" xfId="0" applyNumberFormat="1" applyFont="1" applyFill="1" applyBorder="1" applyAlignment="1">
      <alignment horizontal="center" vertical="center"/>
    </xf>
    <xf numFmtId="9" fontId="5" fillId="5" borderId="14" xfId="1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5" fillId="9" borderId="39" xfId="0" applyFont="1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14" fontId="0" fillId="2" borderId="41" xfId="0" applyNumberFormat="1" applyFill="1" applyBorder="1" applyAlignment="1">
      <alignment horizontal="center" vertical="center"/>
    </xf>
    <xf numFmtId="176" fontId="5" fillId="2" borderId="42" xfId="0" applyNumberFormat="1" applyFont="1" applyFill="1" applyBorder="1" applyAlignment="1">
      <alignment horizontal="center" vertical="center"/>
    </xf>
    <xf numFmtId="14" fontId="5" fillId="2" borderId="42" xfId="0" applyNumberFormat="1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9" fontId="5" fillId="2" borderId="40" xfId="1" applyFont="1" applyFill="1" applyBorder="1" applyAlignment="1">
      <alignment horizontal="center" vertical="center"/>
    </xf>
    <xf numFmtId="177" fontId="5" fillId="2" borderId="42" xfId="0" applyNumberFormat="1" applyFont="1" applyFill="1" applyBorder="1" applyAlignment="1">
      <alignment horizontal="center" vertical="center"/>
    </xf>
    <xf numFmtId="42" fontId="5" fillId="2" borderId="42" xfId="0" applyNumberFormat="1" applyFont="1" applyFill="1" applyBorder="1" applyAlignment="1">
      <alignment horizontal="center" vertical="center"/>
    </xf>
    <xf numFmtId="42" fontId="5" fillId="2" borderId="43" xfId="0" applyNumberFormat="1" applyFont="1" applyFill="1" applyBorder="1" applyAlignment="1">
      <alignment horizontal="center" vertical="center"/>
    </xf>
    <xf numFmtId="42" fontId="10" fillId="2" borderId="43" xfId="0" applyNumberFormat="1" applyFont="1" applyFill="1" applyBorder="1" applyAlignment="1">
      <alignment horizontal="center" vertical="center"/>
    </xf>
    <xf numFmtId="9" fontId="5" fillId="2" borderId="44" xfId="1" applyFont="1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14" fontId="0" fillId="2" borderId="42" xfId="0" applyNumberFormat="1" applyFill="1" applyBorder="1" applyAlignment="1">
      <alignment horizontal="center" vertical="center"/>
    </xf>
    <xf numFmtId="42" fontId="5" fillId="2" borderId="0" xfId="0" applyNumberFormat="1" applyFont="1" applyFill="1" applyAlignment="1">
      <alignment horizontal="center" vertical="center"/>
    </xf>
    <xf numFmtId="42" fontId="5" fillId="2" borderId="18" xfId="0" applyNumberFormat="1" applyFont="1" applyFill="1" applyBorder="1" applyAlignment="1">
      <alignment horizontal="center" vertical="center"/>
    </xf>
    <xf numFmtId="42" fontId="10" fillId="2" borderId="18" xfId="0" applyNumberFormat="1" applyFont="1" applyFill="1" applyBorder="1" applyAlignment="1">
      <alignment horizontal="center" vertical="center"/>
    </xf>
    <xf numFmtId="42" fontId="5" fillId="2" borderId="10" xfId="0" applyNumberFormat="1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14" fontId="0" fillId="10" borderId="4" xfId="0" applyNumberFormat="1" applyFill="1" applyBorder="1" applyAlignment="1">
      <alignment horizontal="center" vertical="center"/>
    </xf>
    <xf numFmtId="176" fontId="5" fillId="10" borderId="4" xfId="0" applyNumberFormat="1" applyFont="1" applyFill="1" applyBorder="1" applyAlignment="1">
      <alignment horizontal="center" vertical="center"/>
    </xf>
    <xf numFmtId="14" fontId="5" fillId="10" borderId="4" xfId="0" applyNumberFormat="1" applyFont="1" applyFill="1" applyBorder="1" applyAlignment="1">
      <alignment horizontal="center" vertical="center"/>
    </xf>
    <xf numFmtId="9" fontId="5" fillId="10" borderId="17" xfId="1" applyFont="1" applyFill="1" applyBorder="1" applyAlignment="1">
      <alignment horizontal="center" vertical="center"/>
    </xf>
    <xf numFmtId="42" fontId="5" fillId="10" borderId="4" xfId="0" applyNumberFormat="1" applyFont="1" applyFill="1" applyBorder="1" applyAlignment="1">
      <alignment horizontal="center" vertical="center"/>
    </xf>
    <xf numFmtId="42" fontId="5" fillId="10" borderId="22" xfId="0" applyNumberFormat="1" applyFont="1" applyFill="1" applyBorder="1" applyAlignment="1">
      <alignment horizontal="center" vertical="center"/>
    </xf>
    <xf numFmtId="42" fontId="10" fillId="10" borderId="22" xfId="0" applyNumberFormat="1" applyFont="1" applyFill="1" applyBorder="1" applyAlignment="1">
      <alignment horizontal="center" vertical="center"/>
    </xf>
    <xf numFmtId="9" fontId="5" fillId="10" borderId="14" xfId="1" applyFont="1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0" xfId="0" applyFill="1">
      <alignment vertical="center"/>
    </xf>
    <xf numFmtId="177" fontId="6" fillId="0" borderId="4" xfId="0" applyNumberFormat="1" applyFon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177" fontId="6" fillId="0" borderId="6" xfId="0" applyNumberFormat="1" applyFon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7" fontId="0" fillId="0" borderId="46" xfId="0" applyNumberForma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6" fontId="0" fillId="2" borderId="2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9" fontId="4" fillId="2" borderId="35" xfId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9" fontId="7" fillId="0" borderId="18" xfId="1" applyFont="1" applyBorder="1" applyAlignment="1">
      <alignment horizontal="center" vertical="center"/>
    </xf>
    <xf numFmtId="42" fontId="7" fillId="0" borderId="2" xfId="0" applyNumberFormat="1" applyFont="1" applyBorder="1" applyAlignment="1">
      <alignment horizontal="center" vertical="center"/>
    </xf>
    <xf numFmtId="42" fontId="7" fillId="0" borderId="23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42" fontId="5" fillId="3" borderId="7" xfId="0" applyNumberFormat="1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14" fontId="0" fillId="3" borderId="7" xfId="0" applyNumberFormat="1" applyFill="1" applyBorder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3" borderId="2" xfId="0" applyNumberFormat="1" applyFont="1" applyFill="1" applyBorder="1" applyAlignment="1">
      <alignment horizontal="center" vertical="center"/>
    </xf>
    <xf numFmtId="177" fontId="8" fillId="0" borderId="4" xfId="0" applyNumberFormat="1" applyFont="1" applyBorder="1" applyAlignment="1">
      <alignment horizontal="center" vertical="center"/>
    </xf>
    <xf numFmtId="177" fontId="8" fillId="0" borderId="10" xfId="0" applyNumberFormat="1" applyFont="1" applyBorder="1" applyAlignment="1">
      <alignment horizontal="center" vertical="center"/>
    </xf>
    <xf numFmtId="177" fontId="0" fillId="0" borderId="47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0" fillId="3" borderId="2" xfId="0" applyNumberFormat="1" applyFill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</cellXfs>
  <cellStyles count="3">
    <cellStyle name="백분율" xfId="1" builtinId="5"/>
    <cellStyle name="쉼표 [0]" xfId="2" builtinId="6"/>
    <cellStyle name="표준" xfId="0" builtinId="0"/>
  </cellStyles>
  <dxfs count="129"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177" formatCode="#,##0_);\(#,##0\)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맑은 고딕"/>
        <family val="3"/>
        <charset val="129"/>
        <scheme val="minor"/>
      </font>
      <numFmt numFmtId="177" formatCode="#,##0_);\(#,##0\)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76" formatCode="yyyy/mm/dd;@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thick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thick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9" tint="-0.499984740745262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top style="thin">
          <color indexed="64"/>
        </top>
      </border>
    </dxf>
    <dxf>
      <numFmt numFmtId="177" formatCode="#,##0_);\(#,##0\)"/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numFmt numFmtId="177" formatCode="#,##0_);\(#,##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76" formatCode="yyyy/mm/dd;@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thick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thick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top style="thin">
          <color indexed="64"/>
        </top>
      </border>
    </dxf>
    <dxf>
      <numFmt numFmtId="177" formatCode="#,##0_);\(#,##0\)"/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numFmt numFmtId="177" formatCode="#,##0_);\(#,##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76" formatCode="yyyy/mm/dd;@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theme="1"/>
        <name val="맑은 고딕"/>
        <family val="3"/>
        <charset val="129"/>
        <scheme val="minor"/>
      </font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thick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thick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color theme="1"/>
        <name val="맑은 고딕"/>
        <family val="3"/>
        <charset val="129"/>
        <scheme val="minor"/>
      </font>
      <numFmt numFmtId="177" formatCode="#,##0_);\(#,##0\)"/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numFmt numFmtId="177" formatCode="#,##0_);\(#,##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1_&#54924;&#44228;\02_&#54788;&#51109;&#48324;%20&#51060;&#51061;&#44288;&#47532;\&#51652;&#54665;%20&#54788;&#51109;\260226_&#44592;&#53440;&#54617;&#50896;%20&#49692;&#51060;&#51061;.xlsx" TargetMode="External"/><Relationship Id="rId1" Type="http://schemas.openxmlformats.org/officeDocument/2006/relationships/externalLinkPath" Target="/001_&#54924;&#44228;/02_&#54788;&#51109;&#48324;%20&#51060;&#51061;&#44288;&#47532;/&#51652;&#54665;%20&#54788;&#51109;/260226_&#44592;&#53440;&#54617;&#50896;%20&#49692;&#51060;&#51061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1_&#54924;&#44228;\02_&#54788;&#51109;&#48324;%20&#51060;&#51061;&#44288;&#47532;\&#51652;&#54665;%20&#54788;&#51109;\260219_JD&#50969;&#49828;%206&#52789;%20&#50689;&#50612;&#54617;&#50896;%20&#49692;&#51060;&#51061;.xlsb" TargetMode="External"/><Relationship Id="rId1" Type="http://schemas.openxmlformats.org/officeDocument/2006/relationships/externalLinkPath" Target="/001_&#54924;&#44228;/02_&#54788;&#51109;&#48324;%20&#51060;&#51061;&#44288;&#47532;/&#51652;&#54665;%20&#54788;&#51109;/260219_JD&#50969;&#49828;%206&#52789;%20&#50689;&#50612;&#54617;&#50896;%20&#49692;&#51060;&#51061;.xlsb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1_&#54924;&#44228;\02_&#54788;&#51109;&#48324;%20&#51060;&#51061;&#44288;&#47532;\&#51652;&#54665;%20&#54788;&#51109;\260213_&#44048;&#44228;%20&#50500;&#45236;%20202&#46041;%20605&#54840;%20_&#49552;&#51061;&#44228;&#49328;.xlsb" TargetMode="External"/><Relationship Id="rId1" Type="http://schemas.openxmlformats.org/officeDocument/2006/relationships/externalLinkPath" Target="/001_&#54924;&#44228;/02_&#54788;&#51109;&#48324;%20&#51060;&#51061;&#44288;&#47532;/&#51652;&#54665;%20&#54788;&#51109;/260213_&#44048;&#44228;%20&#50500;&#45236;%20202&#46041;%20605&#54840;%20_&#49552;&#51061;&#44228;&#49328;.xlsb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1_&#54924;&#44228;\02_&#54788;&#51109;&#48324;%20&#51060;&#51061;&#44288;&#47532;\&#51652;&#54665;%20&#54788;&#51109;\260209_&#48512;&#49328;&#45824;%20&#48148;&#51060;&#50724;&#49548;&#51116;&#54617;&#44284;_&#49692;&#51060;&#51061;.xlsb" TargetMode="External"/><Relationship Id="rId1" Type="http://schemas.openxmlformats.org/officeDocument/2006/relationships/externalLinkPath" Target="/001_&#54924;&#44228;/02_&#54788;&#51109;&#48324;%20&#51060;&#51061;&#44288;&#47532;/&#51652;&#54665;%20&#54788;&#51109;/260209_&#48512;&#49328;&#45824;%20&#48148;&#51060;&#50724;&#49548;&#51116;&#54617;&#44284;_&#49692;&#51060;&#51061;.xlsb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1_&#54924;&#44228;\02_&#54788;&#51109;&#48324;%20&#51060;&#51061;&#44288;&#47532;\&#51652;&#54665;%20&#54788;&#51109;\260204_&#54788;&#45824;&#47560;&#47536;&#50644;&#51652;&#45824;&#54364;&#49892;(&#49399;&#49884;)&#49692;&#51060;&#51061;.xlsb" TargetMode="External"/><Relationship Id="rId1" Type="http://schemas.openxmlformats.org/officeDocument/2006/relationships/externalLinkPath" Target="/001_&#54924;&#44228;/02_&#54788;&#51109;&#48324;%20&#51060;&#51061;&#44288;&#47532;/&#51652;&#54665;%20&#54788;&#51109;/260204_&#54788;&#45824;&#47560;&#47536;&#50644;&#51652;&#45824;&#54364;&#49892;(&#49399;&#49884;)&#49692;&#51060;&#51061;.xlsb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1_&#54924;&#44228;\02_&#54788;&#51109;&#48324;%20&#51060;&#51061;&#44288;&#47532;\&#51652;&#54665;%20&#54788;&#51109;\260302_&#51109;&#50976;&#45824;&#52397;&#46041;%20&#49324;&#47924;&#49892;&#49692;&#51060;&#51061;.xlsb" TargetMode="External"/><Relationship Id="rId1" Type="http://schemas.openxmlformats.org/officeDocument/2006/relationships/externalLinkPath" Target="/001_&#54924;&#44228;/02_&#54788;&#51109;&#48324;%20&#51060;&#51061;&#44288;&#47532;/&#51652;&#54665;%20&#54788;&#51109;/260302_&#51109;&#50976;&#45824;&#52397;&#46041;%20&#49324;&#47924;&#49892;&#49692;&#51060;&#51061;.xlsb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1_&#54924;&#44228;\02_&#54788;&#51109;&#48324;%20&#51060;&#51061;&#44288;&#47532;\&#51652;&#54665;%20&#54788;&#51109;\260305_&#44221;&#45224;%20&#53580;&#53356;&#45432;&#54028;&#53356;%20&#49692;&#51060;&#51061;.xlsb" TargetMode="External"/><Relationship Id="rId1" Type="http://schemas.openxmlformats.org/officeDocument/2006/relationships/externalLinkPath" Target="/001_&#54924;&#44228;/02_&#54788;&#51109;&#48324;%20&#51060;&#51061;&#44288;&#47532;/&#51652;&#54665;%20&#54788;&#51109;/260305_&#44221;&#45224;%20&#53580;&#53356;&#45432;&#54028;&#53356;%20&#49692;&#51060;&#51061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갑지"/>
      <sheetName val="내역서"/>
      <sheetName val="식음료 및 차량 내역서"/>
    </sheetNames>
    <sheetDataSet>
      <sheetData sheetId="0"/>
      <sheetData sheetId="1">
        <row r="4">
          <cell r="Q4">
            <v>5919811</v>
          </cell>
          <cell r="R4">
            <v>0.55016830855018584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갑지"/>
      <sheetName val="공종별집계표"/>
      <sheetName val="내역서"/>
      <sheetName val="식음료 및 차량내역서"/>
    </sheetNames>
    <sheetDataSet>
      <sheetData sheetId="0"/>
      <sheetData sheetId="1"/>
      <sheetData sheetId="2">
        <row r="4">
          <cell r="Q4">
            <v>5218661</v>
          </cell>
          <cell r="R4">
            <v>0.41984400643604186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갑지"/>
      <sheetName val="공종별집계표"/>
      <sheetName val="내역서"/>
      <sheetName val="식음료 및 차량 내역서 "/>
    </sheetNames>
    <sheetDataSet>
      <sheetData sheetId="0"/>
      <sheetData sheetId="1"/>
      <sheetData sheetId="2">
        <row r="4">
          <cell r="Q4">
            <v>5860348</v>
          </cell>
          <cell r="R4">
            <v>0.48273047775947281</v>
          </cell>
        </row>
      </sheetData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갑지"/>
      <sheetName val="공종별집계표"/>
      <sheetName val="내역서"/>
      <sheetName val="식음료 및 차량 내역서 "/>
    </sheetNames>
    <sheetDataSet>
      <sheetData sheetId="0"/>
      <sheetData sheetId="1"/>
      <sheetData sheetId="2">
        <row r="4">
          <cell r="Q4">
            <v>4471732</v>
          </cell>
          <cell r="R4">
            <v>0.49085971459934136</v>
          </cell>
        </row>
      </sheetData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갑지"/>
      <sheetName val="공종별집계표"/>
      <sheetName val="내역서"/>
      <sheetName val="식음료 및 차량 내역서"/>
    </sheetNames>
    <sheetDataSet>
      <sheetData sheetId="0"/>
      <sheetData sheetId="1"/>
      <sheetData sheetId="2">
        <row r="4">
          <cell r="Q4">
            <v>6181116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갑지"/>
      <sheetName val="공종별집계표"/>
      <sheetName val="내역서"/>
      <sheetName val="식음료 및 차량 내역서"/>
    </sheetNames>
    <sheetDataSet>
      <sheetData sheetId="0"/>
      <sheetData sheetId="1"/>
      <sheetData sheetId="2">
        <row r="4">
          <cell r="Q4">
            <v>21733030</v>
          </cell>
          <cell r="R4">
            <v>0.90215981735159823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갑지"/>
      <sheetName val="공종별집계표"/>
      <sheetName val="내역서"/>
      <sheetName val="식음료 및 차량 내역서 "/>
    </sheetNames>
    <sheetDataSet>
      <sheetData sheetId="0"/>
      <sheetData sheetId="1"/>
      <sheetData sheetId="2">
        <row r="4">
          <cell r="Q4">
            <v>3506403</v>
          </cell>
          <cell r="R4">
            <v>0.90371211340206181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766A91-9C9B-424D-A043-4D3518FDBAA5}" name="표1_4" displayName="표1_4" ref="D7:T80" totalsRowShown="0" headerRowDxfId="128" dataDxfId="126" headerRowBorderDxfId="127" tableBorderDxfId="125">
  <autoFilter ref="D7:T80" xr:uid="{0E15D0DE-F2EC-44A7-89D9-E7BA9BC6C2CA}"/>
  <tableColumns count="17">
    <tableColumn id="1" xr3:uid="{55D6F4AD-CF01-40DB-9CA1-5E1AE1DE4EB1}" name="준공일 " dataDxfId="124" totalsRowDxfId="123"/>
    <tableColumn id="2" xr3:uid="{31ED11AD-EEE6-42E6-A7C7-5BDF976B36B6}" name="공사명" dataDxfId="122" totalsRowDxfId="121"/>
    <tableColumn id="3" xr3:uid="{1A14A397-96B9-4F62-B7E2-9115C705F621}" name="발주자 명" dataDxfId="120" totalsRowDxfId="119"/>
    <tableColumn id="9" xr3:uid="{C4922CFD-F670-4472-9FA4-47220E7B07A5}" name="대표자 명" dataDxfId="118" totalsRowDxfId="117"/>
    <tableColumn id="10" xr3:uid="{059C572E-7773-4187-91FF-81089CBD483B}" name="구분" dataDxfId="116" totalsRowDxfId="115" dataCellStyle="백분율"/>
    <tableColumn id="12" xr3:uid="{43154E17-75A9-41CD-9D0A-B14EE7F51DD1}" name="법인등록번호" dataDxfId="114" totalsRowDxfId="113" dataCellStyle="백분율"/>
    <tableColumn id="14" xr3:uid="{816D1E89-1779-4F07-A6E6-34A17DB20B8A}" name="사업자등록증(주민등록증)" dataDxfId="112" totalsRowDxfId="111"/>
    <tableColumn id="20" xr3:uid="{E53ED24B-17B0-4AB7-A1E5-A460A2177FB6}" name="본 공사 금액" dataDxfId="110" totalsRowDxfId="109"/>
    <tableColumn id="11" xr3:uid="{5BFE36D2-A363-455F-9B8D-ACCE831B3F96}" name="추가 공사 금액" dataDxfId="108" totalsRowDxfId="107"/>
    <tableColumn id="8" xr3:uid="{2F2B24C2-E8E1-4265-B231-D69222E424D1}" name="순이익 금액" dataDxfId="106" totalsRowDxfId="105"/>
    <tableColumn id="4" xr3:uid="{99CD0167-2C3A-48F9-A670-D1A91646CB7D}" name="%" dataDxfId="104" totalsRowDxfId="103" dataCellStyle="쉼표 [0]"/>
    <tableColumn id="5" xr3:uid="{1752C4E9-FC0E-44BE-8A67-0FC5A9447033}" name="현장 주소" dataDxfId="102" totalsRowDxfId="101"/>
    <tableColumn id="6" xr3:uid="{33337521-2C08-4BB6-B153-DF4B962F5591}" name="공사유형" dataDxfId="100" totalsRowDxfId="99"/>
    <tableColumn id="7" xr3:uid="{46E2BF44-F698-4369-ABC9-169C32BE218E}" name="도급 종류" dataDxfId="98" totalsRowDxfId="97"/>
    <tableColumn id="13" xr3:uid="{64F26289-B263-449D-BCE7-6366571DF6B9}" name="전화번호 " dataDxfId="96" totalsRowDxfId="95"/>
    <tableColumn id="19" xr3:uid="{C65AF370-D10A-47B0-88C1-270E648A869E}" name="비고1" dataDxfId="94" totalsRowDxfId="93"/>
    <tableColumn id="15" xr3:uid="{3347FD5D-4231-468D-8939-CBA6FA53C879}" name="고용산재금액" dataDxfId="3" totalsRow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F9F0EB-74F2-46A2-AA55-3FDCCF7FA7CD}" name="표2_5" displayName="표2_5" ref="A7:C80" totalsRowShown="0" dataDxfId="91" headerRowBorderDxfId="92" tableBorderDxfId="90">
  <autoFilter ref="A7:C80" xr:uid="{3C21DB58-31B7-4754-9399-3E4FDE638F99}"/>
  <tableColumns count="3">
    <tableColumn id="2" xr3:uid="{70BEE386-A465-418A-BC57-A01173F4301F}" name="현장명" dataDxfId="89"/>
    <tableColumn id="4" xr3:uid="{5FC083E9-EBBB-4C0F-AC92-BD9C4CAAAA47}" name="계약일" dataDxfId="88"/>
    <tableColumn id="3" xr3:uid="{0C259214-D117-41A0-8E57-EC300940DD4D}" name="시작일" dataDxfId="8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15D0DE-F2EC-44A7-89D9-E7BA9BC6C2CA}" name="표1" displayName="표1" ref="D7:T80" totalsRowShown="0" headerRowDxfId="86" dataDxfId="84" headerRowBorderDxfId="85" tableBorderDxfId="83">
  <autoFilter ref="D7:T80" xr:uid="{0E15D0DE-F2EC-44A7-89D9-E7BA9BC6C2CA}"/>
  <tableColumns count="17">
    <tableColumn id="1" xr3:uid="{561EF223-A06F-4A44-A328-15B8BA78A123}" name="준공일 " dataDxfId="82" totalsRowDxfId="81"/>
    <tableColumn id="2" xr3:uid="{78DAFB55-F492-45A6-96DF-2CA93A36809A}" name="공사명" dataDxfId="80" totalsRowDxfId="79"/>
    <tableColumn id="3" xr3:uid="{770117DB-81AB-4FBF-8557-0759D37407A4}" name="발주자 명" dataDxfId="78" totalsRowDxfId="77"/>
    <tableColumn id="9" xr3:uid="{64818D5E-EB95-4229-B4C8-C0EED7CC1203}" name="대표자 명" dataDxfId="76" totalsRowDxfId="75"/>
    <tableColumn id="10" xr3:uid="{3BDB392F-F70B-4EAB-A443-6EDDE707F4A2}" name="구분" dataDxfId="74" totalsRowDxfId="73" dataCellStyle="백분율"/>
    <tableColumn id="12" xr3:uid="{9A95D4EE-7726-440F-854D-358BB7318862}" name="법인등록번호" dataDxfId="72" totalsRowDxfId="71" dataCellStyle="백분율"/>
    <tableColumn id="14" xr3:uid="{FF0E0F07-81CC-4173-A6F3-4623D7A5DC31}" name="사업자등록증(주민등록증)" dataDxfId="70" totalsRowDxfId="69"/>
    <tableColumn id="20" xr3:uid="{BD26E2AF-80DB-4D2B-A2F7-FCC6066E1A14}" name="본 공사 금액" dataDxfId="68" totalsRowDxfId="67"/>
    <tableColumn id="11" xr3:uid="{BF7AD47C-442A-4DA1-9A17-43688431CD65}" name="추가 공사 금액" dataDxfId="66" totalsRowDxfId="65"/>
    <tableColumn id="8" xr3:uid="{6C5DFAF5-D14D-4A58-9DCA-43046889561F}" name="순이익 금액" dataDxfId="64" totalsRowDxfId="63"/>
    <tableColumn id="4" xr3:uid="{19DAF34E-542E-4014-90A0-EFD47FB2C400}" name="%" dataDxfId="62" totalsRowDxfId="61" dataCellStyle="백분율"/>
    <tableColumn id="5" xr3:uid="{E00FBDB8-4F6C-4A68-9CCD-66EC55AA732C}" name="현장 주소" dataDxfId="60" totalsRowDxfId="59"/>
    <tableColumn id="6" xr3:uid="{9C04A43F-B379-43B0-B198-2005B9B314DD}" name="공사유형" dataDxfId="58" totalsRowDxfId="57"/>
    <tableColumn id="7" xr3:uid="{63A19FE0-709F-4686-B197-0EB7373549A8}" name="도급 종류" dataDxfId="56" totalsRowDxfId="55"/>
    <tableColumn id="13" xr3:uid="{700D6597-D47C-47B6-B00B-9B6379BCB071}" name="전화번호 " dataDxfId="54" totalsRowDxfId="53"/>
    <tableColumn id="19" xr3:uid="{305A045A-B247-49C4-88B2-A873A76344D7}" name="비고1" dataDxfId="52" totalsRowDxfId="51"/>
    <tableColumn id="15" xr3:uid="{5749D3C0-820F-4EC6-9D58-B62BD767BF72}" name="고용산재보험" dataDxfId="1" totalsRow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21DB58-31B7-4754-9399-3E4FDE638F99}" name="표2" displayName="표2" ref="A7:C80" totalsRowShown="0" headerRowBorderDxfId="50" tableBorderDxfId="49">
  <autoFilter ref="A7:C80" xr:uid="{3C21DB58-31B7-4754-9399-3E4FDE638F99}"/>
  <tableColumns count="3">
    <tableColumn id="2" xr3:uid="{548320E6-736D-42A1-BAB8-3F4B8B56EF00}" name="현장명" dataDxfId="48"/>
    <tableColumn id="4" xr3:uid="{10228A59-242B-4267-BD94-8862E8CAAA9A}" name="계약일" dataDxfId="47"/>
    <tableColumn id="3" xr3:uid="{76A92CFC-C3B6-44D7-881A-22955303E8BC}" name="시작일" dataDxfId="4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5E6152-314D-4C02-B538-E1F616BF2D5C}" name="표1_6" displayName="표1_6" ref="E1:U74" totalsRowShown="0" headerRowDxfId="45" dataDxfId="43" headerRowBorderDxfId="44" tableBorderDxfId="42">
  <autoFilter ref="E1:U74" xr:uid="{515E6152-314D-4C02-B538-E1F616BF2D5C}"/>
  <tableColumns count="17">
    <tableColumn id="1" xr3:uid="{3919A053-0795-406F-8DDA-C8867CBD567C}" name="준공일 " dataDxfId="41" totalsRowDxfId="40"/>
    <tableColumn id="2" xr3:uid="{625D33C3-CFBA-423B-BEF1-E748DD08225E}" name="공사명" dataDxfId="39" totalsRowDxfId="38"/>
    <tableColumn id="3" xr3:uid="{BC87CD91-4F4A-40E0-9237-5ABCCF69DD8D}" name="발주자 명" dataDxfId="37" totalsRowDxfId="36"/>
    <tableColumn id="9" xr3:uid="{AE3FAA77-4F0A-462E-82BD-7F97E2617A76}" name="대표자 명" dataDxfId="35" totalsRowDxfId="34"/>
    <tableColumn id="10" xr3:uid="{C412188B-D305-47E2-838A-7F0105BDFFBD}" name="구분" dataDxfId="33" totalsRowDxfId="32" dataCellStyle="백분율"/>
    <tableColumn id="12" xr3:uid="{E07A1DF5-5015-48B1-B8B3-E73F93FE0B6C}" name="법인등록번호" dataDxfId="31" totalsRowDxfId="30" dataCellStyle="백분율"/>
    <tableColumn id="14" xr3:uid="{1B2D995C-E02F-4B82-A40C-8B4A44CEF95C}" name="사업자등록증(주민등록증)" dataDxfId="29" totalsRowDxfId="28"/>
    <tableColumn id="20" xr3:uid="{ABEAD754-2CD3-4EAD-8FDF-256135D7F3A7}" name="본 공사 금액" dataDxfId="27" totalsRowDxfId="26"/>
    <tableColumn id="11" xr3:uid="{F90C26EA-0F2F-4717-BCC6-E99CDF40C8FA}" name="추가 공사 금액" dataDxfId="25" totalsRowDxfId="24"/>
    <tableColumn id="15" xr3:uid="{3EE42501-02D9-4402-991B-CC5D02F76E30}" name="합계" dataDxfId="23">
      <calculatedColumnFormula>SUM(표1_6[[#This Row],[본 공사 금액]:[추가 공사 금액]])</calculatedColumnFormula>
    </tableColumn>
    <tableColumn id="8" xr3:uid="{54DB3F9A-2B0B-4FD3-8396-872FCB86D00F}" name="순이익 금액" dataDxfId="22" totalsRowDxfId="21"/>
    <tableColumn id="4" xr3:uid="{5CE4E2D6-F588-4136-8D52-92446CEC84A4}" name="%" dataDxfId="20" totalsRowDxfId="19" dataCellStyle="백분율"/>
    <tableColumn id="5" xr3:uid="{52E23AA2-48F2-4ED5-A187-FCB7B5258A02}" name="현장 주소" dataDxfId="18" totalsRowDxfId="17"/>
    <tableColumn id="6" xr3:uid="{0EE2BAFF-B859-4F52-B9D4-61528F53BDFC}" name="공사유형" dataDxfId="16" totalsRowDxfId="15"/>
    <tableColumn id="7" xr3:uid="{44B1AD16-A051-4B9C-B038-8037B9339ED3}" name="도급 종류" dataDxfId="14" totalsRowDxfId="13"/>
    <tableColumn id="13" xr3:uid="{E5849939-A6B4-4777-8DEF-647C4CDCDBA1}" name="전화번호 " dataDxfId="12" totalsRowDxfId="11"/>
    <tableColumn id="19" xr3:uid="{06375914-0E90-4B10-B819-92713EC92644}" name="비고1" dataDxfId="10" totalsRow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4D0CB39-3995-49AC-BFA7-1A591599A775}" name="표2_7" displayName="표2_7" ref="B1:D74" totalsRowShown="0" headerRowBorderDxfId="8" tableBorderDxfId="7">
  <autoFilter ref="B1:D74" xr:uid="{24D0CB39-3995-49AC-BFA7-1A591599A775}"/>
  <tableColumns count="3">
    <tableColumn id="2" xr3:uid="{98C558F1-2310-4192-88C1-B6CAB0E247D5}" name="현장명" dataDxfId="6"/>
    <tableColumn id="4" xr3:uid="{D2701C2F-3033-428A-8068-09209D4EDC96}" name="계약일" dataDxfId="5"/>
    <tableColumn id="3" xr3:uid="{50B84D1C-376F-43FE-9737-1D1044451A72}" name="시작일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5EDDE-B88D-4EB5-BF1A-A634E2310876}">
  <dimension ref="A1:T80"/>
  <sheetViews>
    <sheetView tabSelected="1" zoomScale="70" zoomScaleNormal="70" zoomScaleSheetLayoutView="70" workbookViewId="0">
      <selection activeCell="E28" sqref="E28"/>
    </sheetView>
  </sheetViews>
  <sheetFormatPr defaultRowHeight="17.25" x14ac:dyDescent="0.3"/>
  <cols>
    <col min="1" max="1" width="54.625" style="11" bestFit="1" customWidth="1"/>
    <col min="2" max="2" width="18.625" style="11" bestFit="1" customWidth="1"/>
    <col min="3" max="3" width="13.75" style="94" bestFit="1" customWidth="1"/>
    <col min="4" max="4" width="14.375" style="95" bestFit="1" customWidth="1"/>
    <col min="5" max="5" width="69.25" style="96" customWidth="1"/>
    <col min="6" max="6" width="34.625" style="96" hidden="1" customWidth="1"/>
    <col min="7" max="7" width="16.375" style="96" hidden="1" customWidth="1"/>
    <col min="8" max="8" width="12.125" style="97" hidden="1" customWidth="1"/>
    <col min="9" max="9" width="20" style="96" hidden="1" customWidth="1"/>
    <col min="10" max="10" width="18.375" style="96" hidden="1" customWidth="1"/>
    <col min="11" max="11" width="23.875" style="82" hidden="1" customWidth="1"/>
    <col min="12" max="12" width="19.5" style="82" hidden="1" customWidth="1"/>
    <col min="13" max="13" width="15.875" style="82" hidden="1" customWidth="1"/>
    <col min="14" max="14" width="15.125" style="149" hidden="1" customWidth="1"/>
    <col min="15" max="15" width="87.625" style="11" hidden="1" customWidth="1"/>
    <col min="16" max="17" width="12.125" style="11" hidden="1" customWidth="1"/>
    <col min="18" max="18" width="15.875" style="11" customWidth="1"/>
    <col min="19" max="19" width="24.875" style="11" customWidth="1"/>
    <col min="20" max="20" width="18.75" bestFit="1" customWidth="1"/>
  </cols>
  <sheetData>
    <row r="1" spans="1:20" x14ac:dyDescent="0.3">
      <c r="D1" s="96"/>
      <c r="E1" s="97"/>
      <c r="H1" s="82"/>
      <c r="I1" s="11"/>
      <c r="J1"/>
      <c r="K1"/>
      <c r="L1"/>
      <c r="M1"/>
      <c r="N1"/>
      <c r="O1"/>
      <c r="P1"/>
      <c r="Q1"/>
      <c r="R1"/>
      <c r="S1"/>
    </row>
    <row r="2" spans="1:20" x14ac:dyDescent="0.3">
      <c r="A2" s="113" t="s">
        <v>486</v>
      </c>
      <c r="B2" s="114">
        <f>SUM(표1_4[본 공사 금액])</f>
        <v>154518000</v>
      </c>
      <c r="C2" s="96"/>
      <c r="D2" s="96"/>
      <c r="F2" s="82"/>
      <c r="G2" s="82"/>
      <c r="H2" s="82"/>
      <c r="I2"/>
      <c r="J2"/>
      <c r="K2"/>
      <c r="L2"/>
      <c r="M2"/>
      <c r="N2"/>
      <c r="O2"/>
      <c r="P2"/>
      <c r="Q2"/>
      <c r="R2"/>
      <c r="S2"/>
    </row>
    <row r="3" spans="1:20" x14ac:dyDescent="0.3">
      <c r="A3" s="115" t="s">
        <v>487</v>
      </c>
      <c r="B3" s="116">
        <f>SUM(표1_4[추가 공사 금액])</f>
        <v>2816000</v>
      </c>
      <c r="C3" s="96"/>
      <c r="D3" s="96"/>
      <c r="F3" s="82"/>
      <c r="G3" s="82"/>
      <c r="H3" s="82"/>
      <c r="I3"/>
      <c r="J3"/>
      <c r="K3"/>
      <c r="L3"/>
      <c r="M3"/>
      <c r="N3"/>
      <c r="O3"/>
      <c r="P3"/>
      <c r="Q3"/>
      <c r="R3"/>
      <c r="S3"/>
    </row>
    <row r="4" spans="1:20" x14ac:dyDescent="0.3">
      <c r="A4" s="117" t="s">
        <v>423</v>
      </c>
      <c r="B4" s="118">
        <f>SUM(B2:B3)</f>
        <v>157334000</v>
      </c>
      <c r="D4" s="96"/>
      <c r="E4" s="97"/>
      <c r="H4" s="82"/>
      <c r="I4" s="11"/>
      <c r="J4"/>
      <c r="K4"/>
      <c r="L4"/>
      <c r="M4"/>
      <c r="N4"/>
      <c r="O4"/>
      <c r="P4"/>
      <c r="Q4"/>
      <c r="R4"/>
      <c r="S4"/>
    </row>
    <row r="5" spans="1:20" x14ac:dyDescent="0.3">
      <c r="A5" s="119" t="s">
        <v>606</v>
      </c>
      <c r="B5" s="120">
        <f>SUM(M8:M80)</f>
        <v>84148821</v>
      </c>
      <c r="C5" s="294">
        <f>B5/B4</f>
        <v>0.53484193499180088</v>
      </c>
      <c r="D5" s="96"/>
      <c r="E5" s="97"/>
      <c r="H5" s="82"/>
      <c r="I5" s="11"/>
      <c r="J5"/>
      <c r="K5"/>
      <c r="L5"/>
      <c r="M5"/>
      <c r="N5"/>
      <c r="O5"/>
      <c r="P5"/>
      <c r="Q5"/>
      <c r="R5"/>
      <c r="S5"/>
    </row>
    <row r="6" spans="1:20" x14ac:dyDescent="0.3">
      <c r="A6" s="11" t="s">
        <v>786</v>
      </c>
      <c r="B6" s="7">
        <f>SUM(표1_4[고용산재금액])</f>
        <v>1614998</v>
      </c>
      <c r="I6" s="11"/>
      <c r="J6" s="11"/>
      <c r="K6" s="11"/>
      <c r="L6" s="11"/>
      <c r="M6"/>
      <c r="N6"/>
      <c r="O6"/>
      <c r="P6"/>
      <c r="Q6"/>
      <c r="R6"/>
      <c r="S6"/>
    </row>
    <row r="7" spans="1:20" x14ac:dyDescent="0.3">
      <c r="A7" s="30" t="s">
        <v>0</v>
      </c>
      <c r="B7" s="29" t="s">
        <v>434</v>
      </c>
      <c r="C7" s="48" t="s">
        <v>1</v>
      </c>
      <c r="D7" s="49" t="s">
        <v>2</v>
      </c>
      <c r="E7" s="50" t="s">
        <v>113</v>
      </c>
      <c r="F7" s="51" t="s">
        <v>435</v>
      </c>
      <c r="G7" s="51" t="s">
        <v>436</v>
      </c>
      <c r="H7" s="52" t="s">
        <v>450</v>
      </c>
      <c r="I7" s="51" t="s">
        <v>439</v>
      </c>
      <c r="J7" s="51" t="s">
        <v>438</v>
      </c>
      <c r="K7" s="53" t="s">
        <v>486</v>
      </c>
      <c r="L7" s="54" t="s">
        <v>487</v>
      </c>
      <c r="M7" s="54" t="s">
        <v>606</v>
      </c>
      <c r="N7" s="150" t="s">
        <v>607</v>
      </c>
      <c r="O7" s="33" t="s">
        <v>431</v>
      </c>
      <c r="P7" s="31" t="s">
        <v>432</v>
      </c>
      <c r="Q7" s="31" t="s">
        <v>433</v>
      </c>
      <c r="R7" s="31" t="s">
        <v>437</v>
      </c>
      <c r="S7" s="30" t="s">
        <v>511</v>
      </c>
      <c r="T7" s="301" t="s">
        <v>785</v>
      </c>
    </row>
    <row r="8" spans="1:20" ht="16.5" x14ac:dyDescent="0.3">
      <c r="A8" s="137" t="s">
        <v>708</v>
      </c>
      <c r="B8" s="138">
        <v>46024</v>
      </c>
      <c r="C8" s="138">
        <v>46025</v>
      </c>
      <c r="D8" s="138">
        <v>46046</v>
      </c>
      <c r="E8" s="137" t="s">
        <v>710</v>
      </c>
      <c r="F8" s="137" t="s">
        <v>711</v>
      </c>
      <c r="G8" s="137" t="s">
        <v>711</v>
      </c>
      <c r="H8" s="137" t="s">
        <v>391</v>
      </c>
      <c r="I8" s="137"/>
      <c r="J8" s="137"/>
      <c r="K8" s="146">
        <v>30800000</v>
      </c>
      <c r="L8" s="146"/>
      <c r="M8" s="146">
        <v>13308492</v>
      </c>
      <c r="N8" s="151">
        <v>0.48</v>
      </c>
      <c r="O8" s="137" t="s">
        <v>712</v>
      </c>
      <c r="P8" s="137" t="s">
        <v>599</v>
      </c>
      <c r="Q8" s="137" t="s">
        <v>600</v>
      </c>
      <c r="R8" s="137" t="s">
        <v>713</v>
      </c>
      <c r="S8" s="137"/>
      <c r="T8" s="299">
        <v>481403</v>
      </c>
    </row>
    <row r="9" spans="1:20" ht="16.5" x14ac:dyDescent="0.3">
      <c r="A9" s="147" t="s">
        <v>709</v>
      </c>
      <c r="B9" s="147" t="s">
        <v>473</v>
      </c>
      <c r="C9" s="147" t="s">
        <v>473</v>
      </c>
      <c r="D9" s="147" t="s">
        <v>473</v>
      </c>
      <c r="E9" s="147" t="s">
        <v>714</v>
      </c>
      <c r="F9" s="147"/>
      <c r="G9" s="147"/>
      <c r="H9" s="147"/>
      <c r="I9" s="147"/>
      <c r="J9" s="147"/>
      <c r="K9" s="148">
        <v>4862000</v>
      </c>
      <c r="L9" s="148"/>
      <c r="M9" s="148">
        <v>2371297</v>
      </c>
      <c r="N9" s="152">
        <v>0.54</v>
      </c>
      <c r="O9" s="147"/>
      <c r="P9" s="147"/>
      <c r="Q9" s="147"/>
      <c r="R9" s="147"/>
      <c r="S9" s="147"/>
      <c r="T9" s="297">
        <v>100083</v>
      </c>
    </row>
    <row r="10" spans="1:20" ht="16.5" x14ac:dyDescent="0.3">
      <c r="A10" s="137" t="s">
        <v>715</v>
      </c>
      <c r="B10" s="138">
        <v>46038</v>
      </c>
      <c r="C10" s="138">
        <v>46038</v>
      </c>
      <c r="D10" s="138">
        <v>46051</v>
      </c>
      <c r="E10" s="137" t="s">
        <v>720</v>
      </c>
      <c r="F10" s="137" t="s">
        <v>592</v>
      </c>
      <c r="G10" s="137" t="s">
        <v>616</v>
      </c>
      <c r="H10" s="25" t="s">
        <v>444</v>
      </c>
      <c r="I10" s="25" t="s">
        <v>443</v>
      </c>
      <c r="J10" s="25" t="s">
        <v>622</v>
      </c>
      <c r="K10" s="146">
        <v>24000000</v>
      </c>
      <c r="L10" s="146"/>
      <c r="M10" s="146">
        <v>11972528</v>
      </c>
      <c r="N10" s="151">
        <v>0.55000000000000004</v>
      </c>
      <c r="O10" s="137" t="s">
        <v>721</v>
      </c>
      <c r="P10" s="137" t="s">
        <v>599</v>
      </c>
      <c r="Q10" s="137" t="s">
        <v>600</v>
      </c>
      <c r="R10" s="137" t="s">
        <v>622</v>
      </c>
      <c r="S10" s="137"/>
      <c r="T10" s="297">
        <v>217532</v>
      </c>
    </row>
    <row r="11" spans="1:20" ht="17.25" customHeight="1" x14ac:dyDescent="0.3">
      <c r="A11" s="155" t="s">
        <v>716</v>
      </c>
      <c r="B11" s="138">
        <v>46008</v>
      </c>
      <c r="C11" s="138">
        <v>46008</v>
      </c>
      <c r="D11" s="138">
        <v>46038</v>
      </c>
      <c r="E11" s="137" t="s">
        <v>717</v>
      </c>
      <c r="F11" s="137" t="s">
        <v>718</v>
      </c>
      <c r="G11" s="137"/>
      <c r="H11" s="137"/>
      <c r="I11" s="137"/>
      <c r="J11" s="137"/>
      <c r="K11" s="146">
        <v>5830000</v>
      </c>
      <c r="L11" s="146"/>
      <c r="M11" s="146"/>
      <c r="N11" s="151"/>
      <c r="O11" s="137"/>
      <c r="P11" s="137"/>
      <c r="Q11" s="137"/>
      <c r="R11" s="137"/>
      <c r="S11" s="137"/>
      <c r="T11" s="297"/>
    </row>
    <row r="12" spans="1:20" ht="16.5" x14ac:dyDescent="0.3">
      <c r="A12" s="137" t="s">
        <v>719</v>
      </c>
      <c r="B12" s="138" t="s">
        <v>755</v>
      </c>
      <c r="C12" s="138" t="s">
        <v>755</v>
      </c>
      <c r="D12" s="138" t="s">
        <v>755</v>
      </c>
      <c r="E12" s="137"/>
      <c r="F12" s="137"/>
      <c r="G12" s="137"/>
      <c r="H12" s="137"/>
      <c r="I12" s="137"/>
      <c r="J12" s="137"/>
      <c r="K12" s="146">
        <v>8000000</v>
      </c>
      <c r="L12" s="146"/>
      <c r="M12" s="146"/>
      <c r="N12" s="151"/>
      <c r="O12" s="137" t="s">
        <v>756</v>
      </c>
      <c r="P12" s="137" t="s">
        <v>599</v>
      </c>
      <c r="Q12" s="137" t="s">
        <v>600</v>
      </c>
      <c r="R12" s="137" t="s">
        <v>622</v>
      </c>
      <c r="S12" s="137"/>
      <c r="T12" s="297"/>
    </row>
    <row r="13" spans="1:20" s="285" customFormat="1" x14ac:dyDescent="0.3">
      <c r="A13" s="276" t="s">
        <v>644</v>
      </c>
      <c r="B13" s="277"/>
      <c r="C13" s="278"/>
      <c r="D13" s="279"/>
      <c r="E13" s="280"/>
      <c r="F13" s="280"/>
      <c r="G13" s="280"/>
      <c r="H13" s="281"/>
      <c r="I13" s="280"/>
      <c r="J13" s="280"/>
      <c r="K13" s="282"/>
      <c r="L13" s="283"/>
      <c r="M13" s="283"/>
      <c r="N13" s="151"/>
      <c r="O13" s="284" t="s">
        <v>677</v>
      </c>
      <c r="P13" s="276" t="s">
        <v>444</v>
      </c>
      <c r="Q13" s="276" t="s">
        <v>443</v>
      </c>
      <c r="R13" s="276" t="s">
        <v>678</v>
      </c>
      <c r="S13" s="110" t="s">
        <v>742</v>
      </c>
      <c r="T13" s="297"/>
    </row>
    <row r="14" spans="1:20" ht="16.5" x14ac:dyDescent="0.3">
      <c r="A14" s="137" t="s">
        <v>750</v>
      </c>
      <c r="B14" s="138">
        <v>46057</v>
      </c>
      <c r="C14" s="138">
        <v>46058</v>
      </c>
      <c r="D14" s="138">
        <v>46065</v>
      </c>
      <c r="E14" s="137" t="s">
        <v>749</v>
      </c>
      <c r="F14" s="137" t="s">
        <v>751</v>
      </c>
      <c r="G14" s="137" t="s">
        <v>751</v>
      </c>
      <c r="H14" s="137" t="s">
        <v>391</v>
      </c>
      <c r="I14" s="137"/>
      <c r="J14" s="137" t="s">
        <v>752</v>
      </c>
      <c r="K14" s="146">
        <v>11836000</v>
      </c>
      <c r="L14" s="146"/>
      <c r="M14" s="146">
        <f>[1]내역서!$Q$4</f>
        <v>5919811</v>
      </c>
      <c r="N14" s="151">
        <f>[1]내역서!$R$4</f>
        <v>0.55016830855018584</v>
      </c>
      <c r="O14" s="137" t="s">
        <v>753</v>
      </c>
      <c r="P14" s="137" t="s">
        <v>599</v>
      </c>
      <c r="Q14" s="137" t="s">
        <v>600</v>
      </c>
      <c r="R14" s="137" t="s">
        <v>754</v>
      </c>
      <c r="S14" s="137"/>
      <c r="T14" s="297">
        <v>177460</v>
      </c>
    </row>
    <row r="15" spans="1:20" ht="18.75" customHeight="1" x14ac:dyDescent="0.3">
      <c r="A15" s="137" t="s">
        <v>760</v>
      </c>
      <c r="B15" s="138">
        <v>46072</v>
      </c>
      <c r="C15" s="138">
        <v>46072</v>
      </c>
      <c r="D15" s="138">
        <v>46084</v>
      </c>
      <c r="E15" s="137" t="s">
        <v>778</v>
      </c>
      <c r="F15" s="137" t="s">
        <v>779</v>
      </c>
      <c r="G15" s="137" t="s">
        <v>779</v>
      </c>
      <c r="H15" s="137"/>
      <c r="I15" s="137"/>
      <c r="J15" s="137"/>
      <c r="K15" s="146">
        <v>10857000</v>
      </c>
      <c r="L15" s="146">
        <v>2816000</v>
      </c>
      <c r="M15" s="146">
        <f>[2]내역서!$Q$4</f>
        <v>5218661</v>
      </c>
      <c r="N15" s="151">
        <f>[2]내역서!$R$4</f>
        <v>0.41984400643604186</v>
      </c>
      <c r="O15" s="137"/>
      <c r="P15" s="137"/>
      <c r="Q15" s="137"/>
      <c r="R15" s="137"/>
      <c r="S15" s="137"/>
      <c r="T15" s="297">
        <v>251807</v>
      </c>
    </row>
    <row r="16" spans="1:20" ht="16.5" x14ac:dyDescent="0.3">
      <c r="A16" s="137" t="s">
        <v>784</v>
      </c>
      <c r="B16" s="138"/>
      <c r="C16" s="138"/>
      <c r="D16" s="138"/>
      <c r="E16" s="137"/>
      <c r="F16" s="137"/>
      <c r="G16" s="137"/>
      <c r="H16" s="137"/>
      <c r="I16" s="137"/>
      <c r="J16" s="137"/>
      <c r="K16" s="146">
        <v>12000000</v>
      </c>
      <c r="L16" s="146"/>
      <c r="M16" s="146">
        <f>[3]내역서!$Q$4</f>
        <v>5860348</v>
      </c>
      <c r="N16" s="151">
        <f>[3]내역서!$R$4</f>
        <v>0.48273047775947281</v>
      </c>
      <c r="O16" s="137"/>
      <c r="P16" s="137"/>
      <c r="Q16" s="137"/>
      <c r="R16" s="137"/>
      <c r="S16" s="137"/>
      <c r="T16" s="297"/>
    </row>
    <row r="17" spans="1:20" ht="16.5" x14ac:dyDescent="0.3">
      <c r="A17" s="99" t="s">
        <v>777</v>
      </c>
      <c r="B17" s="34"/>
      <c r="C17" s="138"/>
      <c r="D17" s="138"/>
      <c r="E17" s="137"/>
      <c r="F17" s="137"/>
      <c r="G17" s="137"/>
      <c r="H17" s="137"/>
      <c r="I17" s="137"/>
      <c r="J17" s="137"/>
      <c r="K17" s="146"/>
      <c r="L17" s="146"/>
      <c r="M17" s="146"/>
      <c r="N17" s="151"/>
      <c r="O17" s="99" t="s">
        <v>762</v>
      </c>
      <c r="P17" s="99" t="s">
        <v>599</v>
      </c>
      <c r="Q17" s="99" t="s">
        <v>600</v>
      </c>
      <c r="R17" s="99"/>
      <c r="S17" s="110"/>
      <c r="T17" s="297"/>
    </row>
    <row r="18" spans="1:20" ht="16.5" x14ac:dyDescent="0.3">
      <c r="A18" s="137" t="s">
        <v>763</v>
      </c>
      <c r="B18" s="138">
        <v>46072</v>
      </c>
      <c r="C18" s="138">
        <v>46072</v>
      </c>
      <c r="D18" s="138">
        <v>46078</v>
      </c>
      <c r="E18" s="137" t="s">
        <v>763</v>
      </c>
      <c r="F18" s="137" t="s">
        <v>592</v>
      </c>
      <c r="G18" s="137" t="s">
        <v>616</v>
      </c>
      <c r="H18" s="25" t="s">
        <v>444</v>
      </c>
      <c r="I18" s="25" t="s">
        <v>443</v>
      </c>
      <c r="J18" s="25" t="s">
        <v>622</v>
      </c>
      <c r="K18" s="146">
        <v>10000000</v>
      </c>
      <c r="L18" s="146"/>
      <c r="M18" s="146">
        <f>[4]내역서!$Q$4</f>
        <v>4471732</v>
      </c>
      <c r="N18" s="151">
        <f>[4]내역서!$R$4</f>
        <v>0.49085971459934136</v>
      </c>
      <c r="O18" s="137" t="s">
        <v>756</v>
      </c>
      <c r="P18" s="137" t="s">
        <v>599</v>
      </c>
      <c r="Q18" s="137" t="s">
        <v>600</v>
      </c>
      <c r="R18" s="137" t="s">
        <v>622</v>
      </c>
      <c r="S18" s="137"/>
      <c r="T18" s="297">
        <v>113793</v>
      </c>
    </row>
    <row r="19" spans="1:20" ht="16.5" x14ac:dyDescent="0.3">
      <c r="A19" s="137" t="s">
        <v>764</v>
      </c>
      <c r="B19" s="138">
        <v>46084</v>
      </c>
      <c r="C19" s="138">
        <v>46084</v>
      </c>
      <c r="D19" s="138">
        <v>46086</v>
      </c>
      <c r="E19" s="137" t="s">
        <v>774</v>
      </c>
      <c r="F19" s="137" t="s">
        <v>775</v>
      </c>
      <c r="G19" s="137" t="s">
        <v>775</v>
      </c>
      <c r="H19" s="137"/>
      <c r="I19" s="137"/>
      <c r="J19" s="137" t="s">
        <v>591</v>
      </c>
      <c r="K19" s="146">
        <v>10593000</v>
      </c>
      <c r="L19" s="146"/>
      <c r="M19" s="146">
        <f>[5]내역서!$Q$4</f>
        <v>6181116</v>
      </c>
      <c r="N19" s="151">
        <f>[4]내역서!$R$4</f>
        <v>0.49085971459934136</v>
      </c>
      <c r="O19" s="137" t="s">
        <v>776</v>
      </c>
      <c r="P19" s="137"/>
      <c r="Q19" s="137"/>
      <c r="R19" s="137"/>
      <c r="S19" s="137"/>
      <c r="T19" s="297"/>
    </row>
    <row r="20" spans="1:20" ht="16.5" x14ac:dyDescent="0.3">
      <c r="A20" s="137" t="s">
        <v>765</v>
      </c>
      <c r="B20" s="138">
        <v>46084</v>
      </c>
      <c r="C20" s="138">
        <v>46084</v>
      </c>
      <c r="D20" s="138">
        <v>46102</v>
      </c>
      <c r="E20" s="137" t="s">
        <v>768</v>
      </c>
      <c r="F20" s="137" t="s">
        <v>769</v>
      </c>
      <c r="G20" s="137" t="s">
        <v>770</v>
      </c>
      <c r="H20" s="137"/>
      <c r="I20" s="137" t="s">
        <v>771</v>
      </c>
      <c r="J20" s="137" t="s">
        <v>772</v>
      </c>
      <c r="K20" s="146">
        <v>24090000</v>
      </c>
      <c r="L20" s="146"/>
      <c r="M20" s="146">
        <f>[6]내역서!$Q$4</f>
        <v>21733030</v>
      </c>
      <c r="N20" s="151">
        <f>[6]내역서!$R$4</f>
        <v>0.90215981735159823</v>
      </c>
      <c r="O20" s="137" t="s">
        <v>773</v>
      </c>
      <c r="P20" s="137"/>
      <c r="Q20" s="137" t="s">
        <v>443</v>
      </c>
      <c r="R20" s="137"/>
      <c r="S20" s="137"/>
      <c r="T20" s="297">
        <v>220365</v>
      </c>
    </row>
    <row r="21" spans="1:20" ht="16.5" x14ac:dyDescent="0.3">
      <c r="A21" s="137" t="s">
        <v>766</v>
      </c>
      <c r="B21" s="138"/>
      <c r="C21" s="138"/>
      <c r="D21" s="138"/>
      <c r="E21" s="137"/>
      <c r="F21" s="137"/>
      <c r="G21" s="137"/>
      <c r="H21" s="137"/>
      <c r="I21" s="137"/>
      <c r="J21" s="137"/>
      <c r="K21" s="146">
        <v>407000</v>
      </c>
      <c r="L21" s="146"/>
      <c r="M21" s="146">
        <v>77000</v>
      </c>
      <c r="N21" s="151"/>
      <c r="O21" s="137"/>
      <c r="P21" s="137"/>
      <c r="Q21" s="137"/>
      <c r="R21" s="137"/>
      <c r="S21" s="137"/>
      <c r="T21" s="297"/>
    </row>
    <row r="22" spans="1:20" ht="16.5" x14ac:dyDescent="0.3">
      <c r="A22" s="137" t="s">
        <v>767</v>
      </c>
      <c r="B22" s="138"/>
      <c r="C22" s="138"/>
      <c r="D22" s="138"/>
      <c r="E22" s="137"/>
      <c r="F22" s="137"/>
      <c r="G22" s="137"/>
      <c r="H22" s="137"/>
      <c r="I22" s="137"/>
      <c r="J22" s="137"/>
      <c r="K22" s="146">
        <v>143000</v>
      </c>
      <c r="L22" s="146"/>
      <c r="M22" s="146">
        <v>22000</v>
      </c>
      <c r="N22" s="151"/>
      <c r="O22" s="137"/>
      <c r="P22" s="137"/>
      <c r="Q22" s="137"/>
      <c r="R22" s="137"/>
      <c r="S22" s="137"/>
      <c r="T22" s="297"/>
    </row>
    <row r="23" spans="1:20" x14ac:dyDescent="0.3">
      <c r="A23" s="141" t="s">
        <v>780</v>
      </c>
      <c r="B23" s="138"/>
      <c r="C23" s="138"/>
      <c r="D23" s="138"/>
      <c r="E23" s="137"/>
      <c r="F23" s="137"/>
      <c r="G23" s="137"/>
      <c r="H23" s="137"/>
      <c r="I23" s="137"/>
      <c r="J23" s="137"/>
      <c r="K23" s="79"/>
      <c r="L23" s="71"/>
      <c r="M23" s="71">
        <f>[7]내역서!$Q$4</f>
        <v>3506403</v>
      </c>
      <c r="N23" s="151">
        <f>[7]내역서!$R$4</f>
        <v>0.90371211340206181</v>
      </c>
      <c r="O23" s="137"/>
      <c r="P23" s="137"/>
      <c r="Q23" s="137"/>
      <c r="R23" s="137"/>
      <c r="S23" s="137"/>
      <c r="T23" s="297">
        <v>52555</v>
      </c>
    </row>
    <row r="24" spans="1:20" ht="16.5" x14ac:dyDescent="0.3">
      <c r="A24" s="155" t="s">
        <v>781</v>
      </c>
      <c r="B24" s="138">
        <v>46077</v>
      </c>
      <c r="C24" s="138"/>
      <c r="D24" s="138"/>
      <c r="E24" s="137" t="s">
        <v>782</v>
      </c>
      <c r="F24" s="137" t="s">
        <v>783</v>
      </c>
      <c r="G24" s="137" t="s">
        <v>783</v>
      </c>
      <c r="H24" s="137"/>
      <c r="I24" s="137"/>
      <c r="J24" s="137"/>
      <c r="K24" s="146">
        <v>1100000</v>
      </c>
      <c r="L24" s="146"/>
      <c r="M24" s="146">
        <f>[7]내역서!$Q$4</f>
        <v>3506403</v>
      </c>
      <c r="N24" s="151">
        <f>[7]내역서!$R$4</f>
        <v>0.90371211340206181</v>
      </c>
      <c r="O24" s="137"/>
      <c r="P24" s="137"/>
      <c r="Q24" s="137"/>
      <c r="R24" s="137"/>
      <c r="S24" s="137"/>
      <c r="T24" s="297"/>
    </row>
    <row r="25" spans="1:20" ht="16.5" x14ac:dyDescent="0.3">
      <c r="A25" s="137"/>
      <c r="B25" s="138"/>
      <c r="C25" s="138"/>
      <c r="D25" s="138"/>
      <c r="E25" s="137"/>
      <c r="F25" s="137"/>
      <c r="G25" s="137"/>
      <c r="H25" s="137"/>
      <c r="I25" s="137"/>
      <c r="J25" s="137"/>
      <c r="K25" s="146"/>
      <c r="L25" s="146"/>
      <c r="M25" s="146"/>
      <c r="N25" s="151"/>
      <c r="O25" s="137"/>
      <c r="P25" s="137"/>
      <c r="Q25" s="137"/>
      <c r="R25" s="137"/>
      <c r="S25" s="137"/>
      <c r="T25" s="297"/>
    </row>
    <row r="26" spans="1:20" ht="16.5" x14ac:dyDescent="0.3">
      <c r="A26" s="137"/>
      <c r="B26" s="138"/>
      <c r="C26" s="138"/>
      <c r="D26" s="138"/>
      <c r="E26" s="137"/>
      <c r="F26" s="137"/>
      <c r="G26" s="137"/>
      <c r="H26" s="137"/>
      <c r="I26" s="137"/>
      <c r="J26" s="137"/>
      <c r="K26" s="146"/>
      <c r="L26" s="146"/>
      <c r="M26" s="146"/>
      <c r="N26" s="151"/>
      <c r="O26" s="137"/>
      <c r="P26" s="137"/>
      <c r="Q26" s="137"/>
      <c r="R26" s="137"/>
      <c r="S26" s="137"/>
      <c r="T26" s="297"/>
    </row>
    <row r="27" spans="1:20" ht="16.5" x14ac:dyDescent="0.3">
      <c r="A27" s="137"/>
      <c r="B27" s="138"/>
      <c r="C27" s="138"/>
      <c r="D27" s="138"/>
      <c r="E27" s="137"/>
      <c r="F27" s="137"/>
      <c r="G27" s="137"/>
      <c r="H27" s="137"/>
      <c r="I27" s="137"/>
      <c r="J27" s="137"/>
      <c r="K27" s="146"/>
      <c r="L27" s="146"/>
      <c r="M27" s="146"/>
      <c r="N27" s="151"/>
      <c r="O27" s="137"/>
      <c r="P27" s="137"/>
      <c r="Q27" s="137"/>
      <c r="R27" s="137"/>
      <c r="S27" s="137"/>
      <c r="T27" s="297"/>
    </row>
    <row r="28" spans="1:20" ht="16.5" x14ac:dyDescent="0.3">
      <c r="A28" s="137"/>
      <c r="B28" s="138"/>
      <c r="C28" s="137"/>
      <c r="D28" s="138"/>
      <c r="E28" s="137"/>
      <c r="F28" s="137"/>
      <c r="G28" s="137"/>
      <c r="H28" s="137"/>
      <c r="I28" s="137"/>
      <c r="J28" s="137"/>
      <c r="K28" s="146"/>
      <c r="L28" s="146"/>
      <c r="M28" s="146"/>
      <c r="N28" s="151"/>
      <c r="O28" s="137"/>
      <c r="P28" s="137"/>
      <c r="Q28" s="137"/>
      <c r="R28" s="137"/>
      <c r="S28" s="137"/>
      <c r="T28" s="297"/>
    </row>
    <row r="29" spans="1:20" ht="16.5" x14ac:dyDescent="0.3">
      <c r="A29" s="137"/>
      <c r="B29" s="138"/>
      <c r="C29" s="137"/>
      <c r="D29" s="137"/>
      <c r="E29" s="137"/>
      <c r="F29" s="137"/>
      <c r="G29" s="137"/>
      <c r="H29" s="137"/>
      <c r="I29" s="137"/>
      <c r="J29" s="137"/>
      <c r="K29" s="146"/>
      <c r="L29" s="146"/>
      <c r="M29" s="146"/>
      <c r="N29" s="151"/>
      <c r="O29" s="137"/>
      <c r="P29" s="137"/>
      <c r="Q29" s="137"/>
      <c r="R29" s="137"/>
      <c r="S29" s="137"/>
      <c r="T29" s="297"/>
    </row>
    <row r="30" spans="1:20" ht="16.5" x14ac:dyDescent="0.3">
      <c r="A30" s="137"/>
      <c r="B30" s="138"/>
      <c r="C30" s="137"/>
      <c r="D30" s="137"/>
      <c r="E30" s="137"/>
      <c r="F30" s="137"/>
      <c r="G30" s="137"/>
      <c r="H30" s="137"/>
      <c r="I30" s="137"/>
      <c r="J30" s="137"/>
      <c r="K30" s="146"/>
      <c r="L30" s="146"/>
      <c r="M30" s="146"/>
      <c r="N30" s="151"/>
      <c r="O30" s="137"/>
      <c r="P30" s="137"/>
      <c r="Q30" s="137"/>
      <c r="R30" s="137"/>
      <c r="S30" s="137"/>
      <c r="T30" s="297"/>
    </row>
    <row r="31" spans="1:20" s="5" customFormat="1" ht="16.5" x14ac:dyDescent="0.3">
      <c r="A31" s="137"/>
      <c r="B31" s="138"/>
      <c r="C31" s="137"/>
      <c r="D31" s="137"/>
      <c r="E31" s="137"/>
      <c r="F31" s="137"/>
      <c r="G31" s="137"/>
      <c r="H31" s="137"/>
      <c r="I31" s="137"/>
      <c r="J31" s="137"/>
      <c r="K31" s="146"/>
      <c r="L31" s="146"/>
      <c r="M31" s="146"/>
      <c r="N31" s="151"/>
      <c r="O31" s="137"/>
      <c r="P31" s="137"/>
      <c r="Q31" s="137"/>
      <c r="R31" s="137"/>
      <c r="S31" s="137"/>
      <c r="T31" s="298"/>
    </row>
    <row r="32" spans="1:20" ht="16.5" x14ac:dyDescent="0.3">
      <c r="A32" s="137"/>
      <c r="B32" s="138"/>
      <c r="C32" s="137"/>
      <c r="D32" s="137"/>
      <c r="E32" s="137"/>
      <c r="F32" s="137"/>
      <c r="G32" s="137"/>
      <c r="H32" s="137"/>
      <c r="I32" s="137"/>
      <c r="J32" s="137"/>
      <c r="K32" s="146"/>
      <c r="L32" s="146"/>
      <c r="M32" s="146"/>
      <c r="N32" s="151"/>
      <c r="O32" s="137"/>
      <c r="P32" s="137"/>
      <c r="Q32" s="137"/>
      <c r="R32" s="137"/>
      <c r="S32" s="137"/>
      <c r="T32" s="297"/>
    </row>
    <row r="33" spans="1:20" ht="16.5" x14ac:dyDescent="0.3">
      <c r="A33" s="137"/>
      <c r="B33" s="138"/>
      <c r="C33" s="137"/>
      <c r="D33" s="137"/>
      <c r="E33" s="137"/>
      <c r="F33" s="137"/>
      <c r="G33" s="137"/>
      <c r="H33" s="137"/>
      <c r="I33" s="137"/>
      <c r="J33" s="137"/>
      <c r="K33" s="146"/>
      <c r="L33" s="146"/>
      <c r="M33" s="146"/>
      <c r="N33" s="151"/>
      <c r="O33" s="137"/>
      <c r="P33" s="137"/>
      <c r="Q33" s="137"/>
      <c r="R33" s="137"/>
      <c r="S33" s="137"/>
      <c r="T33" s="297"/>
    </row>
    <row r="34" spans="1:20" ht="13.5" customHeight="1" x14ac:dyDescent="0.3">
      <c r="A34" s="137"/>
      <c r="B34" s="138"/>
      <c r="C34" s="137"/>
      <c r="D34" s="137"/>
      <c r="E34" s="137"/>
      <c r="F34" s="137"/>
      <c r="G34" s="137"/>
      <c r="H34" s="137"/>
      <c r="I34" s="137"/>
      <c r="J34" s="137"/>
      <c r="K34" s="146"/>
      <c r="L34" s="146"/>
      <c r="M34" s="146"/>
      <c r="N34" s="151"/>
      <c r="O34" s="137"/>
      <c r="P34" s="137"/>
      <c r="Q34" s="137"/>
      <c r="R34" s="137"/>
      <c r="S34" s="137"/>
      <c r="T34" s="297"/>
    </row>
    <row r="35" spans="1:20" ht="16.5" x14ac:dyDescent="0.3">
      <c r="A35" s="137"/>
      <c r="B35" s="138"/>
      <c r="C35" s="137"/>
      <c r="D35" s="137"/>
      <c r="E35" s="137"/>
      <c r="F35" s="137"/>
      <c r="G35" s="137"/>
      <c r="H35" s="137"/>
      <c r="I35" s="137"/>
      <c r="J35" s="137"/>
      <c r="K35" s="146"/>
      <c r="L35" s="146"/>
      <c r="M35" s="146"/>
      <c r="N35" s="151"/>
      <c r="O35" s="137"/>
      <c r="P35" s="137"/>
      <c r="Q35" s="137"/>
      <c r="R35" s="137"/>
      <c r="S35" s="137"/>
      <c r="T35" s="297"/>
    </row>
    <row r="36" spans="1:20" ht="16.5" x14ac:dyDescent="0.3">
      <c r="A36" s="137"/>
      <c r="B36" s="138"/>
      <c r="C36" s="137"/>
      <c r="D36" s="137"/>
      <c r="E36" s="137"/>
      <c r="F36" s="137"/>
      <c r="G36" s="137"/>
      <c r="H36" s="137"/>
      <c r="I36" s="137"/>
      <c r="J36" s="137"/>
      <c r="K36" s="146"/>
      <c r="L36" s="146"/>
      <c r="M36" s="146"/>
      <c r="N36" s="151"/>
      <c r="O36" s="137"/>
      <c r="P36" s="137"/>
      <c r="Q36" s="137"/>
      <c r="R36" s="137"/>
      <c r="S36" s="137"/>
      <c r="T36" s="297"/>
    </row>
    <row r="37" spans="1:20" ht="16.5" x14ac:dyDescent="0.3">
      <c r="A37" s="137"/>
      <c r="B37" s="138"/>
      <c r="C37" s="137"/>
      <c r="D37" s="137"/>
      <c r="E37" s="137"/>
      <c r="F37" s="137"/>
      <c r="G37" s="137"/>
      <c r="H37" s="137"/>
      <c r="I37" s="137"/>
      <c r="J37" s="137"/>
      <c r="K37" s="146"/>
      <c r="L37" s="146"/>
      <c r="M37" s="146"/>
      <c r="N37" s="151"/>
      <c r="O37" s="137"/>
      <c r="P37" s="137"/>
      <c r="Q37" s="137"/>
      <c r="R37" s="137"/>
      <c r="S37" s="137"/>
      <c r="T37" s="297"/>
    </row>
    <row r="38" spans="1:20" ht="16.5" x14ac:dyDescent="0.3">
      <c r="A38" s="137"/>
      <c r="B38" s="138"/>
      <c r="C38" s="137"/>
      <c r="D38" s="137"/>
      <c r="E38" s="137"/>
      <c r="F38" s="137"/>
      <c r="G38" s="137"/>
      <c r="H38" s="137"/>
      <c r="I38" s="137"/>
      <c r="J38" s="137"/>
      <c r="K38" s="146"/>
      <c r="L38" s="146"/>
      <c r="M38" s="146"/>
      <c r="N38" s="151"/>
      <c r="O38" s="137"/>
      <c r="P38" s="137"/>
      <c r="Q38" s="137"/>
      <c r="R38" s="137"/>
      <c r="S38" s="137"/>
      <c r="T38" s="297"/>
    </row>
    <row r="39" spans="1:20" ht="16.5" x14ac:dyDescent="0.3">
      <c r="A39" s="137"/>
      <c r="B39" s="138"/>
      <c r="C39" s="137"/>
      <c r="D39" s="137"/>
      <c r="E39" s="137"/>
      <c r="F39" s="137"/>
      <c r="G39" s="137"/>
      <c r="H39" s="137"/>
      <c r="I39" s="137"/>
      <c r="J39" s="137"/>
      <c r="K39" s="146"/>
      <c r="L39" s="146"/>
      <c r="M39" s="146"/>
      <c r="N39" s="151"/>
      <c r="O39" s="137"/>
      <c r="P39" s="137"/>
      <c r="Q39" s="137"/>
      <c r="R39" s="137"/>
      <c r="S39" s="137"/>
      <c r="T39" s="297"/>
    </row>
    <row r="40" spans="1:20" ht="16.5" x14ac:dyDescent="0.3">
      <c r="A40" s="137"/>
      <c r="B40" s="138"/>
      <c r="C40" s="137"/>
      <c r="D40" s="137"/>
      <c r="E40" s="137"/>
      <c r="F40" s="137"/>
      <c r="G40" s="137"/>
      <c r="H40" s="137"/>
      <c r="I40" s="137"/>
      <c r="J40" s="137"/>
      <c r="K40" s="146"/>
      <c r="L40" s="146"/>
      <c r="M40" s="146"/>
      <c r="N40" s="151"/>
      <c r="O40" s="137"/>
      <c r="P40" s="137"/>
      <c r="Q40" s="137"/>
      <c r="R40" s="137"/>
      <c r="S40" s="137"/>
      <c r="T40" s="297"/>
    </row>
    <row r="41" spans="1:20" ht="16.5" x14ac:dyDescent="0.3">
      <c r="A41" s="137"/>
      <c r="B41" s="138"/>
      <c r="C41" s="137"/>
      <c r="D41" s="137"/>
      <c r="E41" s="137"/>
      <c r="F41" s="137"/>
      <c r="G41" s="137"/>
      <c r="H41" s="137"/>
      <c r="I41" s="137"/>
      <c r="J41" s="137"/>
      <c r="K41" s="146"/>
      <c r="L41" s="146"/>
      <c r="M41" s="146"/>
      <c r="N41" s="151"/>
      <c r="O41" s="137"/>
      <c r="P41" s="137"/>
      <c r="Q41" s="137"/>
      <c r="R41" s="137"/>
      <c r="S41" s="137"/>
      <c r="T41" s="297"/>
    </row>
    <row r="42" spans="1:20" ht="18.75" customHeight="1" x14ac:dyDescent="0.3">
      <c r="A42" s="137"/>
      <c r="B42" s="138"/>
      <c r="C42" s="137"/>
      <c r="D42" s="137"/>
      <c r="E42" s="137"/>
      <c r="F42" s="137"/>
      <c r="G42" s="137"/>
      <c r="H42" s="137"/>
      <c r="I42" s="137"/>
      <c r="J42" s="137"/>
      <c r="K42" s="146"/>
      <c r="L42" s="146"/>
      <c r="M42" s="146"/>
      <c r="N42" s="151"/>
      <c r="O42" s="137"/>
      <c r="P42" s="137"/>
      <c r="Q42" s="137"/>
      <c r="R42" s="137"/>
      <c r="S42" s="137"/>
      <c r="T42" s="297"/>
    </row>
    <row r="43" spans="1:20" ht="16.5" x14ac:dyDescent="0.3">
      <c r="A43" s="137"/>
      <c r="B43" s="138"/>
      <c r="C43" s="137"/>
      <c r="D43" s="137"/>
      <c r="E43" s="137"/>
      <c r="F43" s="137"/>
      <c r="G43" s="137"/>
      <c r="H43" s="137"/>
      <c r="I43" s="137"/>
      <c r="J43" s="137"/>
      <c r="K43" s="146"/>
      <c r="L43" s="146"/>
      <c r="M43" s="146"/>
      <c r="N43" s="151"/>
      <c r="O43" s="137"/>
      <c r="P43" s="137"/>
      <c r="Q43" s="137"/>
      <c r="R43" s="137"/>
      <c r="S43" s="137"/>
      <c r="T43" s="297"/>
    </row>
    <row r="44" spans="1:20" ht="16.5" x14ac:dyDescent="0.3">
      <c r="A44" s="137"/>
      <c r="B44" s="138"/>
      <c r="C44" s="137"/>
      <c r="D44" s="137"/>
      <c r="E44" s="137"/>
      <c r="F44" s="137"/>
      <c r="G44" s="137"/>
      <c r="H44" s="137"/>
      <c r="I44" s="137"/>
      <c r="J44" s="137"/>
      <c r="K44" s="146"/>
      <c r="L44" s="146"/>
      <c r="M44" s="146"/>
      <c r="N44" s="151"/>
      <c r="O44" s="137"/>
      <c r="P44" s="137"/>
      <c r="Q44" s="137"/>
      <c r="R44" s="137"/>
      <c r="S44" s="137"/>
      <c r="T44" s="297"/>
    </row>
    <row r="45" spans="1:20" ht="16.5" x14ac:dyDescent="0.3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46"/>
      <c r="L45" s="146"/>
      <c r="M45" s="146"/>
      <c r="N45" s="151"/>
      <c r="O45" s="137"/>
      <c r="P45" s="137"/>
      <c r="Q45" s="137"/>
      <c r="R45" s="137"/>
      <c r="S45" s="137"/>
      <c r="T45" s="297"/>
    </row>
    <row r="46" spans="1:20" ht="16.5" x14ac:dyDescent="0.3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46"/>
      <c r="L46" s="146"/>
      <c r="M46" s="146"/>
      <c r="N46" s="151"/>
      <c r="O46" s="137"/>
      <c r="P46" s="137"/>
      <c r="Q46" s="137"/>
      <c r="R46" s="137"/>
      <c r="S46" s="137"/>
      <c r="T46" s="297"/>
    </row>
    <row r="47" spans="1:20" ht="16.5" x14ac:dyDescent="0.3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46"/>
      <c r="L47" s="146"/>
      <c r="M47" s="146"/>
      <c r="N47" s="151"/>
      <c r="O47" s="137"/>
      <c r="P47" s="137"/>
      <c r="Q47" s="137"/>
      <c r="R47" s="137"/>
      <c r="S47" s="137"/>
      <c r="T47" s="297"/>
    </row>
    <row r="48" spans="1:20" ht="16.5" x14ac:dyDescent="0.3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46"/>
      <c r="L48" s="146"/>
      <c r="M48" s="146"/>
      <c r="N48" s="151"/>
      <c r="O48" s="137"/>
      <c r="P48" s="137"/>
      <c r="Q48" s="137"/>
      <c r="R48" s="137"/>
      <c r="S48" s="137"/>
      <c r="T48" s="297"/>
    </row>
    <row r="49" spans="1:20" ht="19.5" customHeight="1" x14ac:dyDescent="0.3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46"/>
      <c r="L49" s="146"/>
      <c r="M49" s="146"/>
      <c r="N49" s="151"/>
      <c r="O49" s="137"/>
      <c r="P49" s="137"/>
      <c r="Q49" s="137"/>
      <c r="R49" s="137"/>
      <c r="S49" s="137"/>
      <c r="T49" s="297"/>
    </row>
    <row r="50" spans="1:20" ht="16.5" x14ac:dyDescent="0.3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46"/>
      <c r="L50" s="146"/>
      <c r="M50" s="146"/>
      <c r="N50" s="151"/>
      <c r="O50" s="137"/>
      <c r="P50" s="137"/>
      <c r="Q50" s="137"/>
      <c r="R50" s="137"/>
      <c r="S50" s="137"/>
      <c r="T50" s="297"/>
    </row>
    <row r="51" spans="1:20" ht="16.5" x14ac:dyDescent="0.3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46"/>
      <c r="L51" s="146"/>
      <c r="M51" s="146"/>
      <c r="N51" s="151"/>
      <c r="O51" s="137"/>
      <c r="P51" s="137"/>
      <c r="Q51" s="137"/>
      <c r="R51" s="137"/>
      <c r="S51" s="137"/>
      <c r="T51" s="297"/>
    </row>
    <row r="52" spans="1:20" ht="18.75" customHeight="1" x14ac:dyDescent="0.3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46"/>
      <c r="L52" s="146"/>
      <c r="M52" s="146"/>
      <c r="N52" s="151"/>
      <c r="O52" s="137"/>
      <c r="P52" s="137"/>
      <c r="Q52" s="137"/>
      <c r="R52" s="137"/>
      <c r="S52" s="137"/>
      <c r="T52" s="297"/>
    </row>
    <row r="53" spans="1:20" ht="16.5" x14ac:dyDescent="0.3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46"/>
      <c r="L53" s="146"/>
      <c r="M53" s="146"/>
      <c r="N53" s="151"/>
      <c r="O53" s="137"/>
      <c r="P53" s="137"/>
      <c r="Q53" s="137"/>
      <c r="R53" s="137"/>
      <c r="S53" s="137"/>
      <c r="T53" s="297"/>
    </row>
    <row r="54" spans="1:20" ht="16.5" x14ac:dyDescent="0.3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46"/>
      <c r="L54" s="146"/>
      <c r="M54" s="146"/>
      <c r="N54" s="151"/>
      <c r="O54" s="137"/>
      <c r="P54" s="137"/>
      <c r="Q54" s="137"/>
      <c r="R54" s="137"/>
      <c r="S54" s="137"/>
      <c r="T54" s="297"/>
    </row>
    <row r="55" spans="1:20" ht="16.5" x14ac:dyDescent="0.3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46"/>
      <c r="L55" s="146"/>
      <c r="M55" s="146"/>
      <c r="N55" s="151"/>
      <c r="O55" s="137"/>
      <c r="P55" s="137"/>
      <c r="Q55" s="137"/>
      <c r="R55" s="137"/>
      <c r="S55" s="137"/>
      <c r="T55" s="297"/>
    </row>
    <row r="56" spans="1:20" ht="16.5" x14ac:dyDescent="0.3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46"/>
      <c r="L56" s="146"/>
      <c r="M56" s="146"/>
      <c r="N56" s="151"/>
      <c r="O56" s="137"/>
      <c r="P56" s="137"/>
      <c r="Q56" s="137"/>
      <c r="R56" s="137"/>
      <c r="S56" s="137"/>
      <c r="T56" s="297"/>
    </row>
    <row r="57" spans="1:20" ht="16.5" x14ac:dyDescent="0.3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46"/>
      <c r="L57" s="146"/>
      <c r="M57" s="146"/>
      <c r="N57" s="151"/>
      <c r="O57" s="137"/>
      <c r="P57" s="137"/>
      <c r="Q57" s="137"/>
      <c r="R57" s="137"/>
      <c r="S57" s="137"/>
      <c r="T57" s="297"/>
    </row>
    <row r="58" spans="1:20" ht="16.5" x14ac:dyDescent="0.3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46"/>
      <c r="L58" s="146"/>
      <c r="M58" s="146"/>
      <c r="N58" s="151"/>
      <c r="O58" s="137"/>
      <c r="P58" s="137"/>
      <c r="Q58" s="137"/>
      <c r="R58" s="137"/>
      <c r="S58" s="137"/>
      <c r="T58" s="297"/>
    </row>
    <row r="59" spans="1:20" ht="16.5" x14ac:dyDescent="0.3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46"/>
      <c r="L59" s="146"/>
      <c r="M59" s="146"/>
      <c r="N59" s="151"/>
      <c r="O59" s="137"/>
      <c r="P59" s="137"/>
      <c r="Q59" s="137"/>
      <c r="R59" s="137"/>
      <c r="S59" s="137"/>
      <c r="T59" s="297"/>
    </row>
    <row r="60" spans="1:20" ht="16.5" x14ac:dyDescent="0.3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46"/>
      <c r="L60" s="146"/>
      <c r="M60" s="146"/>
      <c r="N60" s="151"/>
      <c r="O60" s="137"/>
      <c r="P60" s="137"/>
      <c r="Q60" s="137"/>
      <c r="R60" s="137"/>
      <c r="S60" s="137"/>
      <c r="T60" s="297"/>
    </row>
    <row r="61" spans="1:20" ht="16.5" x14ac:dyDescent="0.3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46"/>
      <c r="L61" s="146"/>
      <c r="M61" s="146"/>
      <c r="N61" s="151"/>
      <c r="O61" s="137"/>
      <c r="P61" s="137"/>
      <c r="Q61" s="137"/>
      <c r="R61" s="137"/>
      <c r="S61" s="137"/>
      <c r="T61" s="297"/>
    </row>
    <row r="62" spans="1:20" ht="16.5" x14ac:dyDescent="0.3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46"/>
      <c r="L62" s="146"/>
      <c r="M62" s="146"/>
      <c r="N62" s="151"/>
      <c r="O62" s="137"/>
      <c r="P62" s="137"/>
      <c r="Q62" s="137"/>
      <c r="R62" s="137"/>
      <c r="S62" s="137"/>
      <c r="T62" s="297"/>
    </row>
    <row r="63" spans="1:20" ht="16.5" x14ac:dyDescent="0.3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46"/>
      <c r="L63" s="146"/>
      <c r="M63" s="146"/>
      <c r="N63" s="151"/>
      <c r="O63" s="137"/>
      <c r="P63" s="137"/>
      <c r="Q63" s="137"/>
      <c r="R63" s="137"/>
      <c r="S63" s="137"/>
      <c r="T63" s="297"/>
    </row>
    <row r="64" spans="1:20" ht="16.5" x14ac:dyDescent="0.3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46"/>
      <c r="L64" s="146"/>
      <c r="M64" s="146"/>
      <c r="N64" s="151"/>
      <c r="O64" s="137"/>
      <c r="P64" s="137"/>
      <c r="Q64" s="137"/>
      <c r="R64" s="137"/>
      <c r="S64" s="137"/>
      <c r="T64" s="297"/>
    </row>
    <row r="65" spans="1:20" ht="18" customHeight="1" x14ac:dyDescent="0.3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46"/>
      <c r="L65" s="146"/>
      <c r="M65" s="146"/>
      <c r="N65" s="151"/>
      <c r="O65" s="137"/>
      <c r="P65" s="137"/>
      <c r="Q65" s="137"/>
      <c r="R65" s="137"/>
      <c r="S65" s="137"/>
      <c r="T65" s="297"/>
    </row>
    <row r="66" spans="1:20" ht="16.5" x14ac:dyDescent="0.3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46"/>
      <c r="L66" s="146"/>
      <c r="M66" s="146"/>
      <c r="N66" s="151"/>
      <c r="O66" s="137"/>
      <c r="P66" s="137"/>
      <c r="Q66" s="137"/>
      <c r="R66" s="137"/>
      <c r="S66" s="137"/>
      <c r="T66" s="297"/>
    </row>
    <row r="67" spans="1:20" ht="16.5" x14ac:dyDescent="0.3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46"/>
      <c r="L67" s="146"/>
      <c r="M67" s="146"/>
      <c r="N67" s="151"/>
      <c r="O67" s="137"/>
      <c r="P67" s="137"/>
      <c r="Q67" s="137"/>
      <c r="R67" s="137"/>
      <c r="S67" s="137"/>
      <c r="T67" s="297"/>
    </row>
    <row r="68" spans="1:20" ht="16.5" x14ac:dyDescent="0.3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46"/>
      <c r="L68" s="146"/>
      <c r="M68" s="146"/>
      <c r="N68" s="151"/>
      <c r="O68" s="137"/>
      <c r="P68" s="137"/>
      <c r="Q68" s="137"/>
      <c r="R68" s="137"/>
      <c r="S68" s="137"/>
      <c r="T68" s="297"/>
    </row>
    <row r="69" spans="1:20" x14ac:dyDescent="0.3">
      <c r="A69" s="137"/>
      <c r="B69" s="139"/>
      <c r="C69" s="65"/>
      <c r="D69" s="66"/>
      <c r="E69" s="67"/>
      <c r="F69" s="67"/>
      <c r="G69" s="67"/>
      <c r="H69" s="68"/>
      <c r="I69" s="67"/>
      <c r="J69" s="67"/>
      <c r="K69" s="79"/>
      <c r="L69" s="71"/>
      <c r="M69" s="71"/>
      <c r="N69" s="153"/>
      <c r="O69" s="140"/>
      <c r="P69" s="141"/>
      <c r="Q69" s="141"/>
      <c r="R69" s="141"/>
      <c r="S69" s="142"/>
      <c r="T69" s="297"/>
    </row>
    <row r="70" spans="1:20" x14ac:dyDescent="0.3">
      <c r="A70" s="137"/>
      <c r="B70" s="139"/>
      <c r="C70" s="65"/>
      <c r="D70" s="66"/>
      <c r="E70" s="67"/>
      <c r="F70" s="67"/>
      <c r="G70" s="67"/>
      <c r="H70" s="68"/>
      <c r="I70" s="67"/>
      <c r="J70" s="67"/>
      <c r="K70" s="79"/>
      <c r="L70" s="71"/>
      <c r="M70" s="71"/>
      <c r="N70" s="153"/>
      <c r="O70" s="140"/>
      <c r="P70" s="141"/>
      <c r="Q70" s="141"/>
      <c r="R70" s="141"/>
      <c r="S70" s="142"/>
      <c r="T70" s="297"/>
    </row>
    <row r="71" spans="1:20" x14ac:dyDescent="0.3">
      <c r="A71" s="137"/>
      <c r="B71" s="139"/>
      <c r="C71" s="65"/>
      <c r="D71" s="66"/>
      <c r="E71" s="67"/>
      <c r="F71" s="67"/>
      <c r="G71" s="67"/>
      <c r="H71" s="68"/>
      <c r="I71" s="67"/>
      <c r="J71" s="67"/>
      <c r="K71" s="79"/>
      <c r="L71" s="71"/>
      <c r="M71" s="71"/>
      <c r="N71" s="153"/>
      <c r="O71" s="140"/>
      <c r="P71" s="141"/>
      <c r="Q71" s="141"/>
      <c r="R71" s="141"/>
      <c r="S71" s="142"/>
      <c r="T71" s="297"/>
    </row>
    <row r="72" spans="1:20" x14ac:dyDescent="0.3">
      <c r="A72" s="137"/>
      <c r="B72" s="139"/>
      <c r="C72" s="65"/>
      <c r="D72" s="66"/>
      <c r="E72" s="67"/>
      <c r="F72" s="67"/>
      <c r="G72" s="67"/>
      <c r="H72" s="68"/>
      <c r="I72" s="67"/>
      <c r="J72" s="67"/>
      <c r="K72" s="79"/>
      <c r="L72" s="71"/>
      <c r="M72" s="71"/>
      <c r="N72" s="153"/>
      <c r="O72" s="140"/>
      <c r="P72" s="141"/>
      <c r="Q72" s="141"/>
      <c r="R72" s="141"/>
      <c r="S72" s="142"/>
      <c r="T72" s="297"/>
    </row>
    <row r="73" spans="1:20" x14ac:dyDescent="0.3">
      <c r="A73" s="137"/>
      <c r="B73" s="139"/>
      <c r="C73" s="65"/>
      <c r="D73" s="66"/>
      <c r="E73" s="67"/>
      <c r="F73" s="67"/>
      <c r="G73" s="67"/>
      <c r="H73" s="68"/>
      <c r="I73" s="67"/>
      <c r="J73" s="67"/>
      <c r="K73" s="79"/>
      <c r="L73" s="71"/>
      <c r="M73" s="71"/>
      <c r="N73" s="153"/>
      <c r="O73" s="140"/>
      <c r="P73" s="141"/>
      <c r="Q73" s="141"/>
      <c r="R73" s="141"/>
      <c r="S73" s="142"/>
      <c r="T73" s="297"/>
    </row>
    <row r="74" spans="1:20" x14ac:dyDescent="0.3">
      <c r="A74" s="141"/>
      <c r="B74" s="139"/>
      <c r="C74" s="65"/>
      <c r="D74" s="66"/>
      <c r="E74" s="67"/>
      <c r="F74" s="67"/>
      <c r="G74" s="67"/>
      <c r="H74" s="68"/>
      <c r="I74" s="67"/>
      <c r="J74" s="67"/>
      <c r="K74" s="79"/>
      <c r="L74" s="71"/>
      <c r="M74" s="71"/>
      <c r="N74" s="153"/>
      <c r="O74" s="140"/>
      <c r="P74" s="141"/>
      <c r="Q74" s="141"/>
      <c r="R74" s="141"/>
      <c r="S74" s="142"/>
      <c r="T74" s="297"/>
    </row>
    <row r="75" spans="1:20" x14ac:dyDescent="0.3">
      <c r="A75" s="141"/>
      <c r="B75" s="139"/>
      <c r="C75" s="65"/>
      <c r="D75" s="66"/>
      <c r="E75" s="67"/>
      <c r="F75" s="67"/>
      <c r="G75" s="67"/>
      <c r="H75" s="68"/>
      <c r="I75" s="67"/>
      <c r="J75" s="67"/>
      <c r="K75" s="79"/>
      <c r="L75" s="71"/>
      <c r="M75" s="71"/>
      <c r="N75" s="153"/>
      <c r="O75" s="140"/>
      <c r="P75" s="141"/>
      <c r="Q75" s="141"/>
      <c r="R75" s="141"/>
      <c r="S75" s="142"/>
      <c r="T75" s="297"/>
    </row>
    <row r="76" spans="1:20" x14ac:dyDescent="0.3">
      <c r="A76" s="141"/>
      <c r="B76" s="139"/>
      <c r="C76" s="65"/>
      <c r="D76" s="66"/>
      <c r="E76" s="67"/>
      <c r="F76" s="67"/>
      <c r="G76" s="67"/>
      <c r="H76" s="68"/>
      <c r="I76" s="67"/>
      <c r="J76" s="67"/>
      <c r="K76" s="79"/>
      <c r="L76" s="71"/>
      <c r="M76" s="71"/>
      <c r="N76" s="153"/>
      <c r="O76" s="140"/>
      <c r="P76" s="141"/>
      <c r="Q76" s="141"/>
      <c r="R76" s="141"/>
      <c r="S76" s="142"/>
      <c r="T76" s="297"/>
    </row>
    <row r="77" spans="1:20" x14ac:dyDescent="0.3">
      <c r="A77" s="141"/>
      <c r="B77" s="141"/>
      <c r="C77" s="65"/>
      <c r="D77" s="66"/>
      <c r="E77" s="67"/>
      <c r="F77" s="67"/>
      <c r="G77" s="67"/>
      <c r="H77" s="68"/>
      <c r="I77" s="67"/>
      <c r="J77" s="67"/>
      <c r="K77" s="79"/>
      <c r="L77" s="71"/>
      <c r="M77" s="71"/>
      <c r="N77" s="153"/>
      <c r="O77" s="140"/>
      <c r="P77" s="141"/>
      <c r="Q77" s="141"/>
      <c r="R77" s="141"/>
      <c r="S77" s="142"/>
      <c r="T77" s="297"/>
    </row>
    <row r="78" spans="1:20" x14ac:dyDescent="0.3">
      <c r="A78" s="141"/>
      <c r="B78" s="141"/>
      <c r="C78" s="65"/>
      <c r="D78" s="66"/>
      <c r="E78" s="67"/>
      <c r="F78" s="67"/>
      <c r="G78" s="67"/>
      <c r="H78" s="68"/>
      <c r="I78" s="67"/>
      <c r="J78" s="67"/>
      <c r="K78" s="79"/>
      <c r="L78" s="71"/>
      <c r="M78" s="71"/>
      <c r="N78" s="153"/>
      <c r="O78" s="140"/>
      <c r="P78" s="141"/>
      <c r="Q78" s="141"/>
      <c r="R78" s="141"/>
      <c r="S78" s="142"/>
      <c r="T78" s="297"/>
    </row>
    <row r="79" spans="1:20" x14ac:dyDescent="0.3">
      <c r="A79" s="141"/>
      <c r="B79" s="141"/>
      <c r="C79" s="65"/>
      <c r="D79" s="66"/>
      <c r="E79" s="67"/>
      <c r="F79" s="67"/>
      <c r="G79" s="67"/>
      <c r="H79" s="68"/>
      <c r="I79" s="67"/>
      <c r="J79" s="67"/>
      <c r="K79" s="79"/>
      <c r="L79" s="71"/>
      <c r="M79" s="71"/>
      <c r="N79" s="153"/>
      <c r="O79" s="140"/>
      <c r="P79" s="141"/>
      <c r="Q79" s="141"/>
      <c r="R79" s="141"/>
      <c r="S79" s="142"/>
      <c r="T79" s="297"/>
    </row>
    <row r="80" spans="1:20" ht="18.75" customHeight="1" x14ac:dyDescent="0.3">
      <c r="A80" s="143"/>
      <c r="B80" s="144"/>
      <c r="C80" s="87"/>
      <c r="D80" s="88"/>
      <c r="E80" s="89"/>
      <c r="F80" s="89"/>
      <c r="G80" s="89"/>
      <c r="H80" s="90"/>
      <c r="I80" s="89"/>
      <c r="J80" s="89"/>
      <c r="K80" s="91"/>
      <c r="L80" s="92"/>
      <c r="M80" s="92"/>
      <c r="N80" s="154"/>
      <c r="O80" s="145"/>
      <c r="P80" s="144"/>
      <c r="Q80" s="144"/>
      <c r="R80" s="144"/>
      <c r="S80" s="142"/>
      <c r="T80" s="300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34" orientation="landscape" r:id="rId1"/>
  <rowBreaks count="1" manualBreakCount="1">
    <brk id="50" max="12" man="1"/>
  </rowBreaks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52EAA-B881-4015-8D6C-F583BEC28191}">
  <dimension ref="A1:T80"/>
  <sheetViews>
    <sheetView zoomScale="85" zoomScaleNormal="85" zoomScaleSheetLayoutView="55" workbookViewId="0">
      <pane xSplit="6" topLeftCell="G1" activePane="topRight" state="frozen"/>
      <selection pane="topRight" activeCell="B6" sqref="B6"/>
    </sheetView>
  </sheetViews>
  <sheetFormatPr defaultRowHeight="17.25" x14ac:dyDescent="0.3"/>
  <cols>
    <col min="1" max="1" width="45.625" style="11" bestFit="1" customWidth="1"/>
    <col min="2" max="2" width="18.625" style="11" bestFit="1" customWidth="1"/>
    <col min="3" max="3" width="13.75" style="94" bestFit="1" customWidth="1"/>
    <col min="4" max="4" width="14.375" style="95" bestFit="1" customWidth="1"/>
    <col min="5" max="5" width="70.5" style="96" customWidth="1"/>
    <col min="6" max="6" width="34.625" style="96" customWidth="1"/>
    <col min="7" max="7" width="16.375" style="96" customWidth="1"/>
    <col min="8" max="8" width="12.125" style="97" customWidth="1"/>
    <col min="9" max="9" width="20" style="96" customWidth="1"/>
    <col min="10" max="10" width="32.75" style="96" customWidth="1"/>
    <col min="11" max="11" width="23.875" style="82" customWidth="1"/>
    <col min="12" max="12" width="19.5" style="82" customWidth="1"/>
    <col min="13" max="13" width="15.875" style="82" customWidth="1"/>
    <col min="14" max="14" width="0.125" style="98" customWidth="1"/>
    <col min="15" max="15" width="87.625" style="11" customWidth="1"/>
    <col min="16" max="17" width="12.125" style="11" customWidth="1"/>
    <col min="18" max="18" width="15.875" style="11" customWidth="1"/>
    <col min="19" max="19" width="24.875" style="11" customWidth="1"/>
    <col min="20" max="20" width="18.75" bestFit="1" customWidth="1"/>
  </cols>
  <sheetData>
    <row r="1" spans="1:20" x14ac:dyDescent="0.3">
      <c r="N1" s="97"/>
    </row>
    <row r="2" spans="1:20" x14ac:dyDescent="0.3">
      <c r="A2" s="113" t="s">
        <v>486</v>
      </c>
      <c r="B2" s="114">
        <f>SUM(표1[본 공사 금액])</f>
        <v>2162445566</v>
      </c>
      <c r="C2" s="96"/>
      <c r="D2" s="96"/>
      <c r="F2" s="97"/>
      <c r="H2" s="96"/>
      <c r="I2" s="82"/>
      <c r="J2" s="82"/>
      <c r="L2" s="98"/>
      <c r="M2" s="11"/>
      <c r="N2" s="11"/>
      <c r="R2"/>
      <c r="S2"/>
    </row>
    <row r="3" spans="1:20" x14ac:dyDescent="0.3">
      <c r="A3" s="115" t="s">
        <v>487</v>
      </c>
      <c r="B3" s="116">
        <f>SUM(표1[추가 공사 금액])</f>
        <v>162796000</v>
      </c>
      <c r="C3" s="96"/>
      <c r="D3" s="96"/>
      <c r="F3" s="97"/>
      <c r="H3" s="96"/>
      <c r="I3" s="82"/>
      <c r="J3" s="82"/>
      <c r="L3" s="98"/>
      <c r="M3" s="11"/>
      <c r="N3" s="11"/>
      <c r="R3"/>
      <c r="S3"/>
    </row>
    <row r="4" spans="1:20" x14ac:dyDescent="0.3">
      <c r="A4" s="117" t="s">
        <v>423</v>
      </c>
      <c r="B4" s="118">
        <f>SUM(B2:B3)</f>
        <v>2325241566</v>
      </c>
    </row>
    <row r="5" spans="1:20" x14ac:dyDescent="0.3">
      <c r="A5" s="119" t="s">
        <v>606</v>
      </c>
      <c r="B5" s="120">
        <f>SUM(표1[순이익 금액])</f>
        <v>655064499</v>
      </c>
    </row>
    <row r="6" spans="1:20" x14ac:dyDescent="0.3">
      <c r="A6" s="11" t="s">
        <v>786</v>
      </c>
      <c r="B6" s="7">
        <f>SUM(표1[고용산재보험])</f>
        <v>26358565</v>
      </c>
    </row>
    <row r="7" spans="1:20" x14ac:dyDescent="0.3">
      <c r="A7" s="30" t="s">
        <v>0</v>
      </c>
      <c r="B7" s="29" t="s">
        <v>434</v>
      </c>
      <c r="C7" s="48" t="s">
        <v>1</v>
      </c>
      <c r="D7" s="49" t="s">
        <v>2</v>
      </c>
      <c r="E7" s="50" t="s">
        <v>113</v>
      </c>
      <c r="F7" s="51" t="s">
        <v>435</v>
      </c>
      <c r="G7" s="51" t="s">
        <v>436</v>
      </c>
      <c r="H7" s="52" t="s">
        <v>450</v>
      </c>
      <c r="I7" s="51" t="s">
        <v>439</v>
      </c>
      <c r="J7" s="51" t="s">
        <v>438</v>
      </c>
      <c r="K7" s="53" t="s">
        <v>486</v>
      </c>
      <c r="L7" s="54" t="s">
        <v>487</v>
      </c>
      <c r="M7" s="54" t="s">
        <v>606</v>
      </c>
      <c r="N7" s="55" t="s">
        <v>607</v>
      </c>
      <c r="O7" s="33" t="s">
        <v>431</v>
      </c>
      <c r="P7" s="31" t="s">
        <v>432</v>
      </c>
      <c r="Q7" s="31" t="s">
        <v>433</v>
      </c>
      <c r="R7" s="31" t="s">
        <v>437</v>
      </c>
      <c r="S7" s="30" t="s">
        <v>511</v>
      </c>
      <c r="T7" s="31" t="s">
        <v>786</v>
      </c>
    </row>
    <row r="8" spans="1:20" x14ac:dyDescent="0.3">
      <c r="A8" s="99" t="s">
        <v>594</v>
      </c>
      <c r="B8" s="100">
        <v>46017</v>
      </c>
      <c r="C8" s="101">
        <v>45660</v>
      </c>
      <c r="D8" s="102">
        <v>45666</v>
      </c>
      <c r="E8" s="103" t="s">
        <v>595</v>
      </c>
      <c r="F8" s="103" t="s">
        <v>594</v>
      </c>
      <c r="G8" s="104" t="s">
        <v>617</v>
      </c>
      <c r="H8" s="105" t="s">
        <v>459</v>
      </c>
      <c r="I8" s="104" t="s">
        <v>723</v>
      </c>
      <c r="J8" s="106" t="s">
        <v>618</v>
      </c>
      <c r="K8" s="107">
        <v>33220000</v>
      </c>
      <c r="L8" s="108"/>
      <c r="M8" s="108">
        <v>10654726</v>
      </c>
      <c r="N8" s="109">
        <v>0.35</v>
      </c>
      <c r="O8" s="267"/>
      <c r="P8" s="265"/>
      <c r="Q8" s="265"/>
      <c r="R8" s="265"/>
      <c r="S8" s="110"/>
      <c r="T8" s="266"/>
    </row>
    <row r="9" spans="1:20" x14ac:dyDescent="0.3">
      <c r="A9" s="99" t="s">
        <v>596</v>
      </c>
      <c r="B9" s="100">
        <v>46018</v>
      </c>
      <c r="C9" s="101">
        <v>46022</v>
      </c>
      <c r="D9" s="102">
        <v>45670</v>
      </c>
      <c r="E9" s="103" t="s">
        <v>596</v>
      </c>
      <c r="F9" s="103" t="s">
        <v>550</v>
      </c>
      <c r="G9" s="104" t="s">
        <v>619</v>
      </c>
      <c r="H9" s="105" t="s">
        <v>430</v>
      </c>
      <c r="I9" s="104"/>
      <c r="J9" s="106" t="s">
        <v>466</v>
      </c>
      <c r="K9" s="107">
        <v>27335000</v>
      </c>
      <c r="L9" s="108"/>
      <c r="M9" s="108">
        <v>12086038</v>
      </c>
      <c r="N9" s="109">
        <v>0.49</v>
      </c>
      <c r="O9" s="267" t="s">
        <v>442</v>
      </c>
      <c r="P9" s="265" t="s">
        <v>444</v>
      </c>
      <c r="Q9" s="265" t="s">
        <v>443</v>
      </c>
      <c r="R9" s="265" t="s">
        <v>441</v>
      </c>
      <c r="S9" s="110"/>
      <c r="T9" s="302"/>
    </row>
    <row r="10" spans="1:20" x14ac:dyDescent="0.3">
      <c r="A10" s="27" t="s">
        <v>411</v>
      </c>
      <c r="B10" s="28">
        <v>45659</v>
      </c>
      <c r="C10" s="56">
        <v>45659</v>
      </c>
      <c r="D10" s="57">
        <v>45694</v>
      </c>
      <c r="E10" s="58" t="s">
        <v>412</v>
      </c>
      <c r="F10" s="58" t="s">
        <v>413</v>
      </c>
      <c r="G10" s="59" t="s">
        <v>445</v>
      </c>
      <c r="H10" s="60" t="s">
        <v>430</v>
      </c>
      <c r="I10" s="59" t="s">
        <v>447</v>
      </c>
      <c r="J10" s="61" t="s">
        <v>446</v>
      </c>
      <c r="K10" s="62">
        <v>32500000</v>
      </c>
      <c r="L10" s="63"/>
      <c r="M10" s="63">
        <v>12373728</v>
      </c>
      <c r="N10" s="64">
        <v>0.42</v>
      </c>
      <c r="O10" s="268" t="s">
        <v>442</v>
      </c>
      <c r="P10" s="266" t="s">
        <v>444</v>
      </c>
      <c r="Q10" s="266" t="s">
        <v>443</v>
      </c>
      <c r="R10" s="266" t="s">
        <v>441</v>
      </c>
      <c r="T10" s="302"/>
    </row>
    <row r="11" spans="1:20" x14ac:dyDescent="0.3">
      <c r="A11" s="25" t="s">
        <v>448</v>
      </c>
      <c r="B11" s="34">
        <v>45684</v>
      </c>
      <c r="C11" s="65">
        <v>45692</v>
      </c>
      <c r="D11" s="66">
        <v>45711</v>
      </c>
      <c r="E11" s="67" t="s">
        <v>448</v>
      </c>
      <c r="F11" s="67" t="s">
        <v>449</v>
      </c>
      <c r="G11" s="67" t="s">
        <v>449</v>
      </c>
      <c r="H11" s="68" t="s">
        <v>451</v>
      </c>
      <c r="I11" s="59" t="s">
        <v>447</v>
      </c>
      <c r="J11" s="69" t="s">
        <v>454</v>
      </c>
      <c r="K11" s="70">
        <v>29469000</v>
      </c>
      <c r="L11" s="71">
        <v>3949000</v>
      </c>
      <c r="M11" s="71">
        <v>11767783</v>
      </c>
      <c r="N11" s="72">
        <v>0.39</v>
      </c>
      <c r="O11" s="35" t="s">
        <v>452</v>
      </c>
      <c r="P11" s="266" t="s">
        <v>444</v>
      </c>
      <c r="Q11" s="25" t="s">
        <v>443</v>
      </c>
      <c r="R11" s="25" t="s">
        <v>453</v>
      </c>
      <c r="S11" s="11" t="s">
        <v>500</v>
      </c>
      <c r="T11" s="302">
        <v>499665</v>
      </c>
    </row>
    <row r="12" spans="1:20" x14ac:dyDescent="0.3">
      <c r="A12" s="25" t="s">
        <v>455</v>
      </c>
      <c r="B12" s="34">
        <v>45678</v>
      </c>
      <c r="C12" s="65">
        <v>45678</v>
      </c>
      <c r="D12" s="66">
        <v>45708</v>
      </c>
      <c r="E12" s="67" t="s">
        <v>456</v>
      </c>
      <c r="F12" s="67" t="s">
        <v>478</v>
      </c>
      <c r="G12" s="67" t="s">
        <v>468</v>
      </c>
      <c r="H12" s="68" t="s">
        <v>430</v>
      </c>
      <c r="I12" s="59" t="s">
        <v>447</v>
      </c>
      <c r="J12" s="69" t="s">
        <v>467</v>
      </c>
      <c r="K12" s="70">
        <v>33000000</v>
      </c>
      <c r="L12" s="71"/>
      <c r="M12" s="71">
        <v>10298373</v>
      </c>
      <c r="N12" s="72">
        <v>0.34</v>
      </c>
      <c r="O12" s="269" t="s">
        <v>470</v>
      </c>
      <c r="P12" s="271" t="s">
        <v>444</v>
      </c>
      <c r="Q12" s="32" t="s">
        <v>443</v>
      </c>
      <c r="R12" s="32" t="s">
        <v>469</v>
      </c>
      <c r="T12" s="302">
        <v>496613</v>
      </c>
    </row>
    <row r="13" spans="1:20" x14ac:dyDescent="0.3">
      <c r="A13" s="25" t="s">
        <v>457</v>
      </c>
      <c r="B13" s="34">
        <v>45688</v>
      </c>
      <c r="C13" s="65">
        <v>45688</v>
      </c>
      <c r="D13" s="66">
        <v>45716</v>
      </c>
      <c r="E13" s="67" t="s">
        <v>457</v>
      </c>
      <c r="F13" s="67" t="s">
        <v>458</v>
      </c>
      <c r="G13" s="67" t="s">
        <v>463</v>
      </c>
      <c r="H13" s="68" t="s">
        <v>459</v>
      </c>
      <c r="I13" s="67" t="s">
        <v>461</v>
      </c>
      <c r="J13" s="69" t="s">
        <v>460</v>
      </c>
      <c r="K13" s="70">
        <v>88902000</v>
      </c>
      <c r="L13" s="71">
        <v>2134000</v>
      </c>
      <c r="M13" s="71">
        <v>28792182</v>
      </c>
      <c r="N13" s="72">
        <v>0.34</v>
      </c>
      <c r="O13" s="272" t="s">
        <v>462</v>
      </c>
      <c r="P13" s="25" t="s">
        <v>444</v>
      </c>
      <c r="Q13" s="25" t="s">
        <v>443</v>
      </c>
      <c r="R13" s="25" t="s">
        <v>464</v>
      </c>
      <c r="S13" s="25" t="s">
        <v>501</v>
      </c>
      <c r="T13" s="302">
        <v>2101478</v>
      </c>
    </row>
    <row r="14" spans="1:20" x14ac:dyDescent="0.3">
      <c r="A14" s="37" t="s">
        <v>471</v>
      </c>
      <c r="B14" s="38" t="s">
        <v>473</v>
      </c>
      <c r="C14" s="73" t="s">
        <v>473</v>
      </c>
      <c r="D14" s="73" t="s">
        <v>473</v>
      </c>
      <c r="E14" s="74" t="s">
        <v>471</v>
      </c>
      <c r="F14" s="74" t="s">
        <v>472</v>
      </c>
      <c r="G14" s="74"/>
      <c r="H14" s="75" t="s">
        <v>459</v>
      </c>
      <c r="I14" s="74"/>
      <c r="J14" s="74"/>
      <c r="K14" s="76">
        <v>814000</v>
      </c>
      <c r="L14" s="77"/>
      <c r="M14" s="77">
        <v>154000</v>
      </c>
      <c r="N14" s="78">
        <v>0.21</v>
      </c>
      <c r="O14" s="272"/>
      <c r="P14" s="25"/>
      <c r="Q14" s="25"/>
      <c r="R14" s="25"/>
      <c r="S14" s="37"/>
      <c r="T14" s="302"/>
    </row>
    <row r="15" spans="1:20" ht="18.75" customHeight="1" x14ac:dyDescent="0.3">
      <c r="A15" s="37" t="s">
        <v>474</v>
      </c>
      <c r="B15" s="38" t="s">
        <v>473</v>
      </c>
      <c r="C15" s="73" t="s">
        <v>473</v>
      </c>
      <c r="D15" s="73" t="s">
        <v>473</v>
      </c>
      <c r="E15" s="74" t="s">
        <v>474</v>
      </c>
      <c r="F15" s="74" t="s">
        <v>498</v>
      </c>
      <c r="G15" s="74"/>
      <c r="H15" s="75" t="s">
        <v>459</v>
      </c>
      <c r="I15" s="74"/>
      <c r="J15" s="74"/>
      <c r="K15" s="76">
        <v>8019000</v>
      </c>
      <c r="L15" s="77"/>
      <c r="M15" s="77">
        <v>1480000</v>
      </c>
      <c r="N15" s="78">
        <v>0.2</v>
      </c>
      <c r="O15" s="272"/>
      <c r="P15" s="25"/>
      <c r="Q15" s="25"/>
      <c r="R15" s="25"/>
      <c r="S15" s="37" t="s">
        <v>499</v>
      </c>
      <c r="T15" s="302"/>
    </row>
    <row r="16" spans="1:20" x14ac:dyDescent="0.3">
      <c r="A16" s="123" t="s">
        <v>475</v>
      </c>
      <c r="B16" s="38" t="s">
        <v>473</v>
      </c>
      <c r="C16" s="73" t="s">
        <v>473</v>
      </c>
      <c r="D16" s="73" t="s">
        <v>473</v>
      </c>
      <c r="E16" s="74" t="s">
        <v>540</v>
      </c>
      <c r="F16" s="74" t="s">
        <v>476</v>
      </c>
      <c r="G16" s="74"/>
      <c r="H16" s="75"/>
      <c r="I16" s="74"/>
      <c r="J16" s="74"/>
      <c r="K16" s="76">
        <v>3300000</v>
      </c>
      <c r="L16" s="77"/>
      <c r="M16" s="77">
        <v>1200000</v>
      </c>
      <c r="N16" s="78">
        <v>0.55000000000000004</v>
      </c>
      <c r="O16" s="272"/>
      <c r="P16" s="25"/>
      <c r="Q16" s="25"/>
      <c r="R16" s="25"/>
      <c r="S16" s="37"/>
      <c r="T16" s="302"/>
    </row>
    <row r="17" spans="1:20" x14ac:dyDescent="0.3">
      <c r="A17" s="32" t="s">
        <v>479</v>
      </c>
      <c r="B17" s="34">
        <v>45721</v>
      </c>
      <c r="C17" s="65">
        <v>45721</v>
      </c>
      <c r="D17" s="66">
        <v>45763</v>
      </c>
      <c r="E17" s="67" t="s">
        <v>485</v>
      </c>
      <c r="F17" s="67" t="s">
        <v>484</v>
      </c>
      <c r="G17" s="67" t="s">
        <v>488</v>
      </c>
      <c r="H17" s="68" t="s">
        <v>489</v>
      </c>
      <c r="I17" s="67" t="s">
        <v>490</v>
      </c>
      <c r="J17" s="69" t="s">
        <v>491</v>
      </c>
      <c r="K17" s="70">
        <v>160413000</v>
      </c>
      <c r="L17" s="71">
        <v>8536000</v>
      </c>
      <c r="M17" s="71">
        <v>55935688</v>
      </c>
      <c r="N17" s="72">
        <v>0.36</v>
      </c>
      <c r="O17" s="272" t="s">
        <v>462</v>
      </c>
      <c r="P17" s="25" t="s">
        <v>444</v>
      </c>
      <c r="Q17" s="25" t="s">
        <v>443</v>
      </c>
      <c r="R17" s="25" t="s">
        <v>464</v>
      </c>
      <c r="S17" s="25"/>
      <c r="T17" s="302">
        <v>2669857</v>
      </c>
    </row>
    <row r="18" spans="1:20" x14ac:dyDescent="0.3">
      <c r="A18" s="11" t="s">
        <v>646</v>
      </c>
      <c r="B18" s="44">
        <v>45723</v>
      </c>
      <c r="C18" s="65">
        <v>45733</v>
      </c>
      <c r="D18" s="66">
        <v>45822</v>
      </c>
      <c r="E18" s="67" t="s">
        <v>492</v>
      </c>
      <c r="F18" s="67" t="s">
        <v>493</v>
      </c>
      <c r="G18" s="67" t="s">
        <v>493</v>
      </c>
      <c r="H18" s="68" t="s">
        <v>391</v>
      </c>
      <c r="I18" s="59" t="s">
        <v>447</v>
      </c>
      <c r="J18" s="67" t="s">
        <v>494</v>
      </c>
      <c r="K18" s="79">
        <v>275000000</v>
      </c>
      <c r="L18" s="71">
        <v>12617000</v>
      </c>
      <c r="M18" s="71">
        <v>17380423</v>
      </c>
      <c r="N18" s="72">
        <v>0.1</v>
      </c>
      <c r="O18" s="272" t="s">
        <v>495</v>
      </c>
      <c r="P18" s="25" t="s">
        <v>497</v>
      </c>
      <c r="Q18" s="25" t="s">
        <v>443</v>
      </c>
      <c r="R18" s="25" t="s">
        <v>496</v>
      </c>
      <c r="S18" s="25"/>
      <c r="T18" s="302"/>
    </row>
    <row r="19" spans="1:20" x14ac:dyDescent="0.3">
      <c r="A19" s="40" t="s">
        <v>510</v>
      </c>
      <c r="B19" s="45" t="s">
        <v>473</v>
      </c>
      <c r="C19" s="73" t="s">
        <v>473</v>
      </c>
      <c r="D19" s="73" t="s">
        <v>473</v>
      </c>
      <c r="E19" s="74"/>
      <c r="F19" s="74"/>
      <c r="G19" s="74"/>
      <c r="H19" s="75"/>
      <c r="I19" s="74"/>
      <c r="J19" s="74"/>
      <c r="K19" s="76">
        <v>3300000</v>
      </c>
      <c r="L19" s="77"/>
      <c r="M19" s="77">
        <v>3300000</v>
      </c>
      <c r="N19" s="78">
        <v>1</v>
      </c>
      <c r="O19" s="272"/>
      <c r="P19" s="25"/>
      <c r="Q19" s="25"/>
      <c r="R19" s="25"/>
      <c r="S19" s="37" t="s">
        <v>512</v>
      </c>
      <c r="T19" s="302"/>
    </row>
    <row r="20" spans="1:20" x14ac:dyDescent="0.3">
      <c r="A20" s="11" t="s">
        <v>502</v>
      </c>
      <c r="B20" s="44">
        <v>45736</v>
      </c>
      <c r="C20" s="65">
        <v>45737</v>
      </c>
      <c r="D20" s="66">
        <v>45750</v>
      </c>
      <c r="E20" s="67" t="s">
        <v>503</v>
      </c>
      <c r="F20" s="67" t="s">
        <v>504</v>
      </c>
      <c r="G20" s="67" t="s">
        <v>505</v>
      </c>
      <c r="H20" s="68" t="s">
        <v>459</v>
      </c>
      <c r="I20" s="67" t="s">
        <v>514</v>
      </c>
      <c r="J20" s="69" t="s">
        <v>506</v>
      </c>
      <c r="K20" s="70">
        <v>40000000</v>
      </c>
      <c r="L20" s="71"/>
      <c r="M20" s="71">
        <v>10606044</v>
      </c>
      <c r="N20" s="72">
        <v>0.28999999999999998</v>
      </c>
      <c r="O20" s="272" t="s">
        <v>507</v>
      </c>
      <c r="P20" s="25" t="s">
        <v>444</v>
      </c>
      <c r="Q20" s="25" t="s">
        <v>443</v>
      </c>
      <c r="R20" s="25" t="s">
        <v>508</v>
      </c>
      <c r="S20" s="25"/>
      <c r="T20" s="302">
        <v>370906</v>
      </c>
    </row>
    <row r="21" spans="1:20" x14ac:dyDescent="0.3">
      <c r="A21" s="40" t="s">
        <v>509</v>
      </c>
      <c r="B21" s="46">
        <v>45744</v>
      </c>
      <c r="C21" s="73">
        <v>45747</v>
      </c>
      <c r="D21" s="80">
        <v>45747</v>
      </c>
      <c r="E21" s="74" t="s">
        <v>515</v>
      </c>
      <c r="F21" s="74" t="s">
        <v>516</v>
      </c>
      <c r="G21" s="74" t="s">
        <v>140</v>
      </c>
      <c r="H21" s="75" t="s">
        <v>430</v>
      </c>
      <c r="I21" s="74" t="s">
        <v>447</v>
      </c>
      <c r="J21" s="74" t="s">
        <v>517</v>
      </c>
      <c r="K21" s="76">
        <v>2530000</v>
      </c>
      <c r="L21" s="77"/>
      <c r="M21" s="77">
        <v>830000</v>
      </c>
      <c r="N21" s="78">
        <v>0.36</v>
      </c>
      <c r="O21" s="272" t="s">
        <v>518</v>
      </c>
      <c r="P21" s="25"/>
      <c r="Q21" s="25"/>
      <c r="R21" s="25" t="s">
        <v>519</v>
      </c>
      <c r="S21" s="37" t="s">
        <v>513</v>
      </c>
      <c r="T21" s="302">
        <v>21936</v>
      </c>
    </row>
    <row r="22" spans="1:20" x14ac:dyDescent="0.3">
      <c r="A22" s="124" t="s">
        <v>520</v>
      </c>
      <c r="B22" s="45" t="s">
        <v>473</v>
      </c>
      <c r="C22" s="73" t="s">
        <v>473</v>
      </c>
      <c r="D22" s="73" t="s">
        <v>473</v>
      </c>
      <c r="E22" s="74" t="s">
        <v>540</v>
      </c>
      <c r="F22" s="74"/>
      <c r="G22" s="74"/>
      <c r="H22" s="75"/>
      <c r="I22" s="74"/>
      <c r="J22" s="74"/>
      <c r="K22" s="76">
        <v>660000</v>
      </c>
      <c r="L22" s="77"/>
      <c r="M22" s="77">
        <v>236363</v>
      </c>
      <c r="N22" s="78">
        <v>0.44</v>
      </c>
      <c r="O22" s="272"/>
      <c r="P22" s="25"/>
      <c r="Q22" s="25"/>
      <c r="R22" s="25"/>
      <c r="S22" s="37"/>
      <c r="T22" s="302"/>
    </row>
    <row r="23" spans="1:20" x14ac:dyDescent="0.3">
      <c r="A23" s="11" t="s">
        <v>521</v>
      </c>
      <c r="B23" s="44">
        <v>45751</v>
      </c>
      <c r="C23" s="65">
        <v>45752</v>
      </c>
      <c r="D23" s="66">
        <v>45775</v>
      </c>
      <c r="E23" s="67" t="s">
        <v>524</v>
      </c>
      <c r="F23" s="67" t="s">
        <v>525</v>
      </c>
      <c r="G23" s="67" t="s">
        <v>525</v>
      </c>
      <c r="H23" s="68" t="s">
        <v>430</v>
      </c>
      <c r="I23" s="67"/>
      <c r="J23" s="67"/>
      <c r="K23" s="79">
        <v>16379000</v>
      </c>
      <c r="L23" s="71">
        <v>4510000</v>
      </c>
      <c r="M23" s="71">
        <v>9722496</v>
      </c>
      <c r="N23" s="72">
        <v>0.51</v>
      </c>
      <c r="O23" s="272" t="s">
        <v>526</v>
      </c>
      <c r="P23" s="25" t="s">
        <v>444</v>
      </c>
      <c r="Q23" s="25" t="s">
        <v>443</v>
      </c>
      <c r="R23" s="25" t="s">
        <v>527</v>
      </c>
      <c r="S23" s="25"/>
      <c r="T23" s="302">
        <v>284145</v>
      </c>
    </row>
    <row r="24" spans="1:20" x14ac:dyDescent="0.3">
      <c r="A24" s="11" t="s">
        <v>522</v>
      </c>
      <c r="B24" s="44">
        <v>45756</v>
      </c>
      <c r="C24" s="65">
        <v>45757</v>
      </c>
      <c r="D24" s="66">
        <v>45777</v>
      </c>
      <c r="E24" s="67" t="s">
        <v>524</v>
      </c>
      <c r="F24" s="67" t="s">
        <v>529</v>
      </c>
      <c r="G24" s="67" t="s">
        <v>528</v>
      </c>
      <c r="H24" s="68" t="s">
        <v>430</v>
      </c>
      <c r="I24" s="67" t="s">
        <v>447</v>
      </c>
      <c r="J24" s="67" t="s">
        <v>530</v>
      </c>
      <c r="K24" s="79">
        <v>21000000</v>
      </c>
      <c r="L24" s="71">
        <v>150000</v>
      </c>
      <c r="M24" s="71">
        <v>8047766</v>
      </c>
      <c r="N24" s="72">
        <v>0.42</v>
      </c>
      <c r="O24" s="272" t="s">
        <v>531</v>
      </c>
      <c r="P24" s="25" t="s">
        <v>444</v>
      </c>
      <c r="Q24" s="25" t="s">
        <v>443</v>
      </c>
      <c r="R24" s="25" t="s">
        <v>532</v>
      </c>
      <c r="S24" s="25"/>
      <c r="T24" s="302">
        <v>339341</v>
      </c>
    </row>
    <row r="25" spans="1:20" x14ac:dyDescent="0.3">
      <c r="A25" s="27" t="s">
        <v>523</v>
      </c>
      <c r="B25" s="34">
        <v>45760</v>
      </c>
      <c r="C25" s="65">
        <v>45762</v>
      </c>
      <c r="D25" s="66">
        <v>45777</v>
      </c>
      <c r="E25" s="67" t="s">
        <v>533</v>
      </c>
      <c r="F25" s="67" t="s">
        <v>535</v>
      </c>
      <c r="G25" s="67" t="s">
        <v>534</v>
      </c>
      <c r="H25" s="68" t="s">
        <v>430</v>
      </c>
      <c r="I25" s="67" t="s">
        <v>447</v>
      </c>
      <c r="J25" s="69" t="s">
        <v>536</v>
      </c>
      <c r="K25" s="81">
        <v>29000000</v>
      </c>
      <c r="L25" s="71"/>
      <c r="M25" s="71">
        <v>11657866</v>
      </c>
      <c r="N25" s="72">
        <v>0.44</v>
      </c>
      <c r="O25" s="272" t="s">
        <v>537</v>
      </c>
      <c r="P25" s="25" t="s">
        <v>444</v>
      </c>
      <c r="Q25" s="25" t="s">
        <v>443</v>
      </c>
      <c r="R25" s="25" t="s">
        <v>538</v>
      </c>
      <c r="S25" s="25"/>
      <c r="T25" s="302">
        <v>372250</v>
      </c>
    </row>
    <row r="26" spans="1:20" x14ac:dyDescent="0.3">
      <c r="A26" s="32" t="s">
        <v>539</v>
      </c>
      <c r="B26" s="34">
        <v>45757</v>
      </c>
      <c r="C26" s="65">
        <v>45762</v>
      </c>
      <c r="D26" s="66">
        <v>45787</v>
      </c>
      <c r="E26" s="67" t="s">
        <v>542</v>
      </c>
      <c r="F26" s="67" t="s">
        <v>161</v>
      </c>
      <c r="G26" s="67"/>
      <c r="H26" s="68" t="s">
        <v>430</v>
      </c>
      <c r="I26" s="67" t="s">
        <v>447</v>
      </c>
      <c r="J26" s="69" t="s">
        <v>543</v>
      </c>
      <c r="K26" s="82">
        <v>39800000</v>
      </c>
      <c r="L26" s="83"/>
      <c r="M26" s="83">
        <v>10893394</v>
      </c>
      <c r="N26" s="72">
        <v>0.3</v>
      </c>
      <c r="O26" s="272" t="s">
        <v>544</v>
      </c>
      <c r="P26" s="25" t="s">
        <v>444</v>
      </c>
      <c r="Q26" s="25" t="s">
        <v>443</v>
      </c>
      <c r="R26" s="25" t="s">
        <v>545</v>
      </c>
      <c r="S26" s="25"/>
      <c r="T26" s="302">
        <v>505003</v>
      </c>
    </row>
    <row r="27" spans="1:20" x14ac:dyDescent="0.3">
      <c r="A27" s="37" t="s">
        <v>471</v>
      </c>
      <c r="B27" s="45" t="s">
        <v>473</v>
      </c>
      <c r="C27" s="73" t="s">
        <v>473</v>
      </c>
      <c r="D27" s="73" t="s">
        <v>473</v>
      </c>
      <c r="E27" s="74" t="s">
        <v>471</v>
      </c>
      <c r="F27" s="74" t="s">
        <v>472</v>
      </c>
      <c r="G27" s="74"/>
      <c r="H27" s="75" t="s">
        <v>459</v>
      </c>
      <c r="I27" s="74"/>
      <c r="J27" s="74"/>
      <c r="K27" s="84">
        <v>396000</v>
      </c>
      <c r="L27" s="77"/>
      <c r="M27" s="77">
        <v>74000</v>
      </c>
      <c r="N27" s="78">
        <v>0.21</v>
      </c>
      <c r="O27" s="272"/>
      <c r="P27" s="25"/>
      <c r="Q27" s="25"/>
      <c r="R27" s="25"/>
      <c r="S27" s="37"/>
      <c r="T27" s="302"/>
    </row>
    <row r="28" spans="1:20" x14ac:dyDescent="0.3">
      <c r="A28" s="37" t="s">
        <v>471</v>
      </c>
      <c r="B28" s="45" t="s">
        <v>473</v>
      </c>
      <c r="C28" s="73" t="s">
        <v>473</v>
      </c>
      <c r="D28" s="73" t="s">
        <v>473</v>
      </c>
      <c r="E28" s="74" t="s">
        <v>471</v>
      </c>
      <c r="F28" s="74" t="s">
        <v>472</v>
      </c>
      <c r="G28" s="74"/>
      <c r="H28" s="75" t="s">
        <v>459</v>
      </c>
      <c r="I28" s="74"/>
      <c r="J28" s="74"/>
      <c r="K28" s="76">
        <v>979000</v>
      </c>
      <c r="L28" s="77"/>
      <c r="M28" s="77">
        <v>304000</v>
      </c>
      <c r="N28" s="78">
        <v>0.21</v>
      </c>
      <c r="O28" s="272"/>
      <c r="P28" s="25"/>
      <c r="Q28" s="25"/>
      <c r="R28" s="25"/>
      <c r="S28" s="37"/>
      <c r="T28" s="302"/>
    </row>
    <row r="29" spans="1:20" x14ac:dyDescent="0.3">
      <c r="A29" s="123" t="s">
        <v>582</v>
      </c>
      <c r="B29" s="45" t="s">
        <v>473</v>
      </c>
      <c r="C29" s="73" t="s">
        <v>473</v>
      </c>
      <c r="D29" s="73" t="s">
        <v>473</v>
      </c>
      <c r="E29" s="74" t="s">
        <v>540</v>
      </c>
      <c r="F29" s="74"/>
      <c r="G29" s="74"/>
      <c r="H29" s="75"/>
      <c r="I29" s="74"/>
      <c r="J29" s="74"/>
      <c r="K29" s="76">
        <v>660000</v>
      </c>
      <c r="L29" s="77"/>
      <c r="M29" s="77">
        <v>200000</v>
      </c>
      <c r="N29" s="78">
        <v>0.44</v>
      </c>
      <c r="O29" s="272"/>
      <c r="P29" s="25"/>
      <c r="Q29" s="25"/>
      <c r="R29" s="25"/>
      <c r="S29" s="37"/>
      <c r="T29" s="302"/>
    </row>
    <row r="30" spans="1:20" x14ac:dyDescent="0.3">
      <c r="A30" s="27" t="s">
        <v>541</v>
      </c>
      <c r="B30" s="34">
        <v>45777</v>
      </c>
      <c r="C30" s="65">
        <v>45742</v>
      </c>
      <c r="D30" s="66">
        <v>45813</v>
      </c>
      <c r="E30" s="67" t="s">
        <v>559</v>
      </c>
      <c r="F30" s="67" t="s">
        <v>560</v>
      </c>
      <c r="G30" s="67" t="s">
        <v>560</v>
      </c>
      <c r="H30" s="68"/>
      <c r="I30" s="67"/>
      <c r="J30" s="67"/>
      <c r="K30" s="79">
        <v>72000000</v>
      </c>
      <c r="L30" s="71">
        <v>5016000</v>
      </c>
      <c r="M30" s="71">
        <v>23206242</v>
      </c>
      <c r="N30" s="72">
        <v>0.34</v>
      </c>
      <c r="O30" s="272"/>
      <c r="P30" s="25" t="s">
        <v>444</v>
      </c>
      <c r="Q30" s="25" t="s">
        <v>443</v>
      </c>
      <c r="R30" s="25" t="s">
        <v>748</v>
      </c>
      <c r="S30" s="25"/>
      <c r="T30" s="302">
        <v>800374</v>
      </c>
    </row>
    <row r="31" spans="1:20" s="5" customFormat="1" x14ac:dyDescent="0.3">
      <c r="A31" s="126" t="s">
        <v>583</v>
      </c>
      <c r="B31" s="127">
        <v>45792</v>
      </c>
      <c r="C31" s="128">
        <v>45803</v>
      </c>
      <c r="D31" s="129">
        <v>45853</v>
      </c>
      <c r="E31" s="130" t="s">
        <v>561</v>
      </c>
      <c r="F31" s="130" t="s">
        <v>562</v>
      </c>
      <c r="G31" s="130"/>
      <c r="H31" s="131"/>
      <c r="I31" s="130"/>
      <c r="J31" s="130"/>
      <c r="K31" s="132">
        <v>52800000</v>
      </c>
      <c r="L31" s="133">
        <v>6468000</v>
      </c>
      <c r="M31" s="133">
        <v>18357259</v>
      </c>
      <c r="N31" s="134">
        <v>0.38</v>
      </c>
      <c r="O31" s="272" t="s">
        <v>747</v>
      </c>
      <c r="P31" s="25"/>
      <c r="Q31" s="25"/>
      <c r="R31" s="25"/>
      <c r="S31" s="126"/>
      <c r="T31" s="303">
        <v>737873</v>
      </c>
    </row>
    <row r="32" spans="1:20" x14ac:dyDescent="0.3">
      <c r="A32" s="37" t="s">
        <v>547</v>
      </c>
      <c r="B32" s="43">
        <v>45803</v>
      </c>
      <c r="C32" s="73">
        <v>45803</v>
      </c>
      <c r="D32" s="80">
        <v>45811</v>
      </c>
      <c r="E32" s="74" t="s">
        <v>577</v>
      </c>
      <c r="F32" s="74" t="s">
        <v>578</v>
      </c>
      <c r="G32" s="74" t="s">
        <v>578</v>
      </c>
      <c r="H32" s="75" t="s">
        <v>579</v>
      </c>
      <c r="I32" s="74"/>
      <c r="J32" s="74" t="s">
        <v>580</v>
      </c>
      <c r="K32" s="76">
        <v>2800000</v>
      </c>
      <c r="L32" s="77">
        <v>165000</v>
      </c>
      <c r="M32" s="77">
        <v>1135181</v>
      </c>
      <c r="N32" s="78">
        <v>0.43</v>
      </c>
      <c r="O32" s="272"/>
      <c r="P32" s="25"/>
      <c r="Q32" s="25"/>
      <c r="R32" s="25"/>
      <c r="S32" s="37"/>
      <c r="T32" s="302"/>
    </row>
    <row r="33" spans="1:20" x14ac:dyDescent="0.3">
      <c r="A33" s="25" t="s">
        <v>546</v>
      </c>
      <c r="B33" s="34">
        <v>45818</v>
      </c>
      <c r="C33" s="65">
        <v>45823</v>
      </c>
      <c r="D33" s="66">
        <v>45858</v>
      </c>
      <c r="E33" s="67" t="s">
        <v>553</v>
      </c>
      <c r="F33" s="67" t="s">
        <v>554</v>
      </c>
      <c r="G33" s="67" t="s">
        <v>554</v>
      </c>
      <c r="H33" s="68" t="s">
        <v>430</v>
      </c>
      <c r="I33" s="67"/>
      <c r="J33" s="67" t="s">
        <v>555</v>
      </c>
      <c r="K33" s="79">
        <v>83985000</v>
      </c>
      <c r="L33" s="71">
        <v>27500000</v>
      </c>
      <c r="M33" s="71">
        <v>31356294</v>
      </c>
      <c r="N33" s="72">
        <v>0.31</v>
      </c>
      <c r="O33" s="272" t="s">
        <v>556</v>
      </c>
      <c r="P33" s="25" t="s">
        <v>444</v>
      </c>
      <c r="Q33" s="25" t="s">
        <v>443</v>
      </c>
      <c r="R33" s="25" t="s">
        <v>557</v>
      </c>
      <c r="S33" s="25"/>
      <c r="T33" s="302">
        <v>174581</v>
      </c>
    </row>
    <row r="34" spans="1:20" ht="13.5" customHeight="1" x14ac:dyDescent="0.3">
      <c r="A34" s="37" t="s">
        <v>549</v>
      </c>
      <c r="B34" s="45" t="s">
        <v>473</v>
      </c>
      <c r="C34" s="73" t="s">
        <v>473</v>
      </c>
      <c r="D34" s="73" t="s">
        <v>473</v>
      </c>
      <c r="E34" s="74" t="s">
        <v>548</v>
      </c>
      <c r="F34" s="74"/>
      <c r="G34" s="74"/>
      <c r="H34" s="75"/>
      <c r="I34" s="74"/>
      <c r="J34" s="74"/>
      <c r="K34" s="76">
        <v>2700000</v>
      </c>
      <c r="L34" s="77"/>
      <c r="M34" s="77">
        <v>760908</v>
      </c>
      <c r="N34" s="78">
        <v>0.31</v>
      </c>
      <c r="O34" s="272"/>
      <c r="P34" s="25"/>
      <c r="Q34" s="25"/>
      <c r="R34" s="25"/>
      <c r="S34" s="37"/>
      <c r="T34" s="302"/>
    </row>
    <row r="35" spans="1:20" x14ac:dyDescent="0.3">
      <c r="A35" s="25" t="s">
        <v>550</v>
      </c>
      <c r="B35" s="34">
        <v>45831</v>
      </c>
      <c r="C35" s="65">
        <v>45831</v>
      </c>
      <c r="D35" s="66">
        <v>45861</v>
      </c>
      <c r="E35" s="67" t="s">
        <v>551</v>
      </c>
      <c r="F35" s="67" t="s">
        <v>550</v>
      </c>
      <c r="G35" s="67" t="s">
        <v>552</v>
      </c>
      <c r="H35" s="68" t="s">
        <v>430</v>
      </c>
      <c r="I35" s="67"/>
      <c r="J35" s="67" t="s">
        <v>466</v>
      </c>
      <c r="K35" s="79">
        <v>53119000</v>
      </c>
      <c r="L35" s="71">
        <v>15114000</v>
      </c>
      <c r="M35" s="71">
        <v>12086038</v>
      </c>
      <c r="N35" s="72">
        <v>0.26</v>
      </c>
      <c r="O35" s="272" t="s">
        <v>729</v>
      </c>
      <c r="P35" s="25" t="s">
        <v>444</v>
      </c>
      <c r="Q35" s="25" t="s">
        <v>443</v>
      </c>
      <c r="R35" s="25" t="s">
        <v>465</v>
      </c>
      <c r="S35" s="25"/>
      <c r="T35" s="302">
        <v>650181</v>
      </c>
    </row>
    <row r="36" spans="1:20" x14ac:dyDescent="0.3">
      <c r="A36" s="25" t="s">
        <v>645</v>
      </c>
      <c r="B36" s="34">
        <v>45828</v>
      </c>
      <c r="C36" s="65">
        <v>45830</v>
      </c>
      <c r="D36" s="66">
        <v>45869</v>
      </c>
      <c r="E36" s="67" t="s">
        <v>558</v>
      </c>
      <c r="F36" s="67" t="s">
        <v>493</v>
      </c>
      <c r="G36" s="67" t="s">
        <v>493</v>
      </c>
      <c r="H36" s="68" t="s">
        <v>391</v>
      </c>
      <c r="I36" s="67"/>
      <c r="J36" s="67" t="s">
        <v>494</v>
      </c>
      <c r="K36" s="79">
        <v>178000000</v>
      </c>
      <c r="L36" s="71"/>
      <c r="M36" s="71">
        <v>60816168</v>
      </c>
      <c r="N36" s="72">
        <v>0.38</v>
      </c>
      <c r="O36" s="272" t="s">
        <v>495</v>
      </c>
      <c r="P36" s="25" t="s">
        <v>444</v>
      </c>
      <c r="Q36" s="25" t="s">
        <v>443</v>
      </c>
      <c r="R36" s="25" t="s">
        <v>496</v>
      </c>
      <c r="S36" s="25"/>
      <c r="T36" s="302">
        <v>4352039</v>
      </c>
    </row>
    <row r="37" spans="1:20" x14ac:dyDescent="0.3">
      <c r="A37" s="25" t="s">
        <v>563</v>
      </c>
      <c r="B37" s="34">
        <v>45845</v>
      </c>
      <c r="C37" s="65"/>
      <c r="D37" s="66">
        <v>45901</v>
      </c>
      <c r="E37" s="67" t="s">
        <v>565</v>
      </c>
      <c r="F37" s="67" t="s">
        <v>566</v>
      </c>
      <c r="G37" s="67" t="s">
        <v>567</v>
      </c>
      <c r="H37" s="68" t="s">
        <v>568</v>
      </c>
      <c r="I37" s="67"/>
      <c r="J37" s="67"/>
      <c r="K37" s="79">
        <v>36905000</v>
      </c>
      <c r="L37" s="71"/>
      <c r="M37" s="71">
        <v>17411938</v>
      </c>
      <c r="N37" s="72">
        <v>0.53</v>
      </c>
      <c r="O37" s="272" t="s">
        <v>722</v>
      </c>
      <c r="P37" s="25" t="s">
        <v>444</v>
      </c>
      <c r="Q37" s="25" t="s">
        <v>443</v>
      </c>
      <c r="R37" s="25" t="s">
        <v>569</v>
      </c>
      <c r="S37" s="25" t="s">
        <v>575</v>
      </c>
      <c r="T37" s="302">
        <v>797032</v>
      </c>
    </row>
    <row r="38" spans="1:20" x14ac:dyDescent="0.3">
      <c r="A38" s="25" t="s">
        <v>564</v>
      </c>
      <c r="B38" s="34">
        <v>45839</v>
      </c>
      <c r="C38" s="65">
        <v>45842</v>
      </c>
      <c r="D38" s="66">
        <v>45852</v>
      </c>
      <c r="E38" s="67" t="s">
        <v>570</v>
      </c>
      <c r="F38" s="67" t="s">
        <v>571</v>
      </c>
      <c r="G38" s="67" t="s">
        <v>570</v>
      </c>
      <c r="H38" s="68" t="s">
        <v>430</v>
      </c>
      <c r="I38" s="67"/>
      <c r="J38" s="67" t="s">
        <v>572</v>
      </c>
      <c r="K38" s="79">
        <v>7752566</v>
      </c>
      <c r="L38" s="71"/>
      <c r="M38" s="71">
        <v>3592613</v>
      </c>
      <c r="N38" s="72">
        <v>0.51</v>
      </c>
      <c r="O38" s="272" t="s">
        <v>573</v>
      </c>
      <c r="P38" s="25" t="s">
        <v>444</v>
      </c>
      <c r="Q38" s="25" t="s">
        <v>443</v>
      </c>
      <c r="R38" s="25" t="s">
        <v>574</v>
      </c>
      <c r="S38" s="25"/>
      <c r="T38" s="302">
        <v>145783</v>
      </c>
    </row>
    <row r="39" spans="1:20" x14ac:dyDescent="0.3">
      <c r="A39" s="38" t="s">
        <v>576</v>
      </c>
      <c r="B39" s="45" t="s">
        <v>473</v>
      </c>
      <c r="C39" s="73" t="s">
        <v>473</v>
      </c>
      <c r="D39" s="73" t="s">
        <v>473</v>
      </c>
      <c r="E39" s="73" t="s">
        <v>576</v>
      </c>
      <c r="F39" s="75"/>
      <c r="G39" s="74"/>
      <c r="H39" s="74"/>
      <c r="I39" s="85"/>
      <c r="J39" s="76"/>
      <c r="K39" s="76">
        <v>2838000</v>
      </c>
      <c r="L39" s="86"/>
      <c r="M39" s="121">
        <v>2838000</v>
      </c>
      <c r="N39" s="78">
        <v>1</v>
      </c>
      <c r="O39" s="272"/>
      <c r="P39" s="25"/>
      <c r="Q39" s="25"/>
      <c r="R39" s="25"/>
      <c r="S39" s="37"/>
      <c r="T39" s="302"/>
    </row>
    <row r="40" spans="1:20" x14ac:dyDescent="0.3">
      <c r="A40" s="123" t="s">
        <v>582</v>
      </c>
      <c r="B40" s="45" t="s">
        <v>473</v>
      </c>
      <c r="C40" s="73" t="s">
        <v>473</v>
      </c>
      <c r="D40" s="73" t="s">
        <v>473</v>
      </c>
      <c r="E40" s="74" t="s">
        <v>540</v>
      </c>
      <c r="F40" s="74"/>
      <c r="G40" s="74"/>
      <c r="H40" s="75"/>
      <c r="I40" s="74"/>
      <c r="J40" s="74"/>
      <c r="K40" s="76">
        <v>990000</v>
      </c>
      <c r="L40" s="77"/>
      <c r="M40" s="77">
        <v>405000</v>
      </c>
      <c r="N40" s="78">
        <v>0.45</v>
      </c>
      <c r="O40" s="272"/>
      <c r="P40" s="25"/>
      <c r="Q40" s="25"/>
      <c r="R40" s="25"/>
      <c r="S40" s="37"/>
      <c r="T40" s="302"/>
    </row>
    <row r="41" spans="1:20" x14ac:dyDescent="0.3">
      <c r="A41" s="123" t="s">
        <v>581</v>
      </c>
      <c r="B41" s="45" t="s">
        <v>473</v>
      </c>
      <c r="C41" s="73" t="s">
        <v>473</v>
      </c>
      <c r="D41" s="73" t="s">
        <v>473</v>
      </c>
      <c r="E41" s="74" t="s">
        <v>540</v>
      </c>
      <c r="F41" s="74"/>
      <c r="G41" s="74"/>
      <c r="H41" s="75"/>
      <c r="I41" s="74"/>
      <c r="J41" s="74"/>
      <c r="K41" s="76">
        <v>440000</v>
      </c>
      <c r="L41" s="77"/>
      <c r="M41" s="77">
        <v>440000</v>
      </c>
      <c r="N41" s="78">
        <v>1</v>
      </c>
      <c r="O41" s="272"/>
      <c r="P41" s="25"/>
      <c r="Q41" s="25"/>
      <c r="R41" s="25"/>
      <c r="S41" s="37"/>
      <c r="T41" s="302"/>
    </row>
    <row r="42" spans="1:20" ht="18.75" customHeight="1" x14ac:dyDescent="0.3">
      <c r="A42" s="25" t="s">
        <v>593</v>
      </c>
      <c r="B42" s="34">
        <v>45842</v>
      </c>
      <c r="C42" s="65">
        <v>45843</v>
      </c>
      <c r="D42" s="66">
        <v>45847</v>
      </c>
      <c r="E42" s="67" t="s">
        <v>597</v>
      </c>
      <c r="F42" s="67"/>
      <c r="G42" s="67"/>
      <c r="H42" s="68"/>
      <c r="I42" s="67"/>
      <c r="J42" s="67"/>
      <c r="K42" s="79">
        <v>6127000</v>
      </c>
      <c r="L42" s="71"/>
      <c r="M42" s="71">
        <v>2298132</v>
      </c>
      <c r="N42" s="72">
        <v>0.41</v>
      </c>
      <c r="O42" s="272" t="s">
        <v>598</v>
      </c>
      <c r="P42" s="25" t="s">
        <v>599</v>
      </c>
      <c r="Q42" s="25" t="s">
        <v>600</v>
      </c>
      <c r="R42" s="25" t="s">
        <v>601</v>
      </c>
      <c r="S42" s="25"/>
      <c r="T42" s="302">
        <v>110594</v>
      </c>
    </row>
    <row r="43" spans="1:20" x14ac:dyDescent="0.3">
      <c r="A43" s="25" t="s">
        <v>584</v>
      </c>
      <c r="B43" s="34">
        <v>45868</v>
      </c>
      <c r="C43" s="65">
        <v>45866</v>
      </c>
      <c r="D43" s="66">
        <v>45879</v>
      </c>
      <c r="E43" s="67" t="s">
        <v>588</v>
      </c>
      <c r="F43" s="67" t="s">
        <v>589</v>
      </c>
      <c r="G43" s="67" t="s">
        <v>590</v>
      </c>
      <c r="H43" s="68" t="s">
        <v>459</v>
      </c>
      <c r="I43" s="67"/>
      <c r="J43" s="67" t="s">
        <v>591</v>
      </c>
      <c r="K43" s="79">
        <v>94050000</v>
      </c>
      <c r="L43" s="71">
        <v>517000</v>
      </c>
      <c r="M43" s="71">
        <v>26203955</v>
      </c>
      <c r="N43" s="72">
        <v>0.31</v>
      </c>
      <c r="O43" s="270" t="s">
        <v>735</v>
      </c>
      <c r="P43" s="27" t="s">
        <v>599</v>
      </c>
      <c r="Q43" s="27" t="s">
        <v>600</v>
      </c>
      <c r="R43" s="27" t="s">
        <v>734</v>
      </c>
      <c r="T43" s="302">
        <v>454715</v>
      </c>
    </row>
    <row r="44" spans="1:20" x14ac:dyDescent="0.3">
      <c r="A44" s="25" t="s">
        <v>585</v>
      </c>
      <c r="B44" s="34">
        <v>45861</v>
      </c>
      <c r="C44" s="65">
        <v>45861</v>
      </c>
      <c r="D44" s="66">
        <v>45890</v>
      </c>
      <c r="E44" s="67" t="s">
        <v>586</v>
      </c>
      <c r="F44" s="67" t="s">
        <v>587</v>
      </c>
      <c r="G44" s="67" t="s">
        <v>587</v>
      </c>
      <c r="H44" s="68" t="s">
        <v>391</v>
      </c>
      <c r="I44" s="67"/>
      <c r="J44" s="67"/>
      <c r="K44" s="79">
        <v>18280000</v>
      </c>
      <c r="L44" s="71">
        <v>165000</v>
      </c>
      <c r="M44" s="71">
        <v>26203955</v>
      </c>
      <c r="N44" s="72">
        <v>0.44</v>
      </c>
      <c r="O44" s="35"/>
      <c r="P44" s="27" t="s">
        <v>599</v>
      </c>
      <c r="Q44" s="25"/>
      <c r="R44" s="25"/>
      <c r="T44" s="302">
        <v>299431</v>
      </c>
    </row>
    <row r="45" spans="1:20" x14ac:dyDescent="0.3">
      <c r="A45" s="47" t="s">
        <v>608</v>
      </c>
      <c r="B45" s="34">
        <v>45866</v>
      </c>
      <c r="C45" s="65">
        <v>45867</v>
      </c>
      <c r="D45" s="66">
        <v>45897</v>
      </c>
      <c r="E45" s="67" t="s">
        <v>614</v>
      </c>
      <c r="F45" s="67" t="s">
        <v>592</v>
      </c>
      <c r="G45" s="67" t="s">
        <v>616</v>
      </c>
      <c r="H45" s="68"/>
      <c r="I45" s="67"/>
      <c r="J45" s="67" t="s">
        <v>615</v>
      </c>
      <c r="K45" s="79">
        <v>33500000</v>
      </c>
      <c r="L45" s="71"/>
      <c r="M45" s="71">
        <v>16114218</v>
      </c>
      <c r="N45" s="72">
        <v>0.53</v>
      </c>
      <c r="O45" s="35" t="s">
        <v>620</v>
      </c>
      <c r="P45" s="25" t="s">
        <v>444</v>
      </c>
      <c r="Q45" s="25" t="s">
        <v>443</v>
      </c>
      <c r="R45" s="25" t="s">
        <v>622</v>
      </c>
      <c r="T45" s="302">
        <v>521346</v>
      </c>
    </row>
    <row r="46" spans="1:20" x14ac:dyDescent="0.3">
      <c r="A46" s="123" t="s">
        <v>602</v>
      </c>
      <c r="B46" s="45" t="s">
        <v>473</v>
      </c>
      <c r="C46" s="73" t="s">
        <v>473</v>
      </c>
      <c r="D46" s="73" t="s">
        <v>473</v>
      </c>
      <c r="E46" s="74" t="s">
        <v>540</v>
      </c>
      <c r="F46" s="74"/>
      <c r="G46" s="74"/>
      <c r="H46" s="75"/>
      <c r="I46" s="74"/>
      <c r="J46" s="74"/>
      <c r="K46" s="76">
        <v>1782000</v>
      </c>
      <c r="L46" s="77"/>
      <c r="M46" s="77">
        <v>1782000</v>
      </c>
      <c r="N46" s="78">
        <v>1</v>
      </c>
      <c r="O46" s="35"/>
      <c r="P46" s="25"/>
      <c r="Q46" s="25"/>
      <c r="R46" s="25"/>
      <c r="S46" s="40"/>
      <c r="T46" s="302">
        <v>381650</v>
      </c>
    </row>
    <row r="47" spans="1:20" x14ac:dyDescent="0.3">
      <c r="A47" s="123" t="s">
        <v>603</v>
      </c>
      <c r="B47" s="45" t="s">
        <v>473</v>
      </c>
      <c r="C47" s="73" t="s">
        <v>473</v>
      </c>
      <c r="D47" s="73" t="s">
        <v>473</v>
      </c>
      <c r="E47" s="74" t="s">
        <v>540</v>
      </c>
      <c r="F47" s="74"/>
      <c r="G47" s="74"/>
      <c r="H47" s="75"/>
      <c r="I47" s="74"/>
      <c r="J47" s="74"/>
      <c r="K47" s="76">
        <v>550000</v>
      </c>
      <c r="L47" s="77"/>
      <c r="M47" s="77">
        <v>550000</v>
      </c>
      <c r="N47" s="78">
        <v>1</v>
      </c>
      <c r="O47" s="35"/>
      <c r="P47" s="25"/>
      <c r="Q47" s="25"/>
      <c r="R47" s="25"/>
      <c r="S47" s="40"/>
      <c r="T47" s="302"/>
    </row>
    <row r="48" spans="1:20" x14ac:dyDescent="0.3">
      <c r="A48" s="123" t="s">
        <v>604</v>
      </c>
      <c r="B48" s="45" t="s">
        <v>473</v>
      </c>
      <c r="C48" s="73" t="s">
        <v>473</v>
      </c>
      <c r="D48" s="73" t="s">
        <v>473</v>
      </c>
      <c r="E48" s="74" t="s">
        <v>540</v>
      </c>
      <c r="F48" s="74"/>
      <c r="G48" s="74"/>
      <c r="H48" s="75"/>
      <c r="I48" s="74"/>
      <c r="J48" s="74"/>
      <c r="K48" s="111">
        <v>3300000</v>
      </c>
      <c r="L48" s="111"/>
      <c r="M48" s="112">
        <v>3300000</v>
      </c>
      <c r="N48" s="78">
        <v>1</v>
      </c>
      <c r="O48" s="35"/>
      <c r="P48" s="25"/>
      <c r="Q48" s="25"/>
      <c r="R48" s="25"/>
      <c r="S48" s="40"/>
      <c r="T48" s="302"/>
    </row>
    <row r="49" spans="1:20" ht="19.5" customHeight="1" x14ac:dyDescent="0.3">
      <c r="A49" s="25" t="s">
        <v>605</v>
      </c>
      <c r="B49" s="34">
        <v>45898</v>
      </c>
      <c r="C49" s="65">
        <v>45901</v>
      </c>
      <c r="D49" s="66">
        <v>45923</v>
      </c>
      <c r="E49" s="67" t="s">
        <v>610</v>
      </c>
      <c r="F49" s="67"/>
      <c r="G49" s="67" t="s">
        <v>689</v>
      </c>
      <c r="H49" s="68" t="s">
        <v>430</v>
      </c>
      <c r="I49" s="67"/>
      <c r="J49" s="67" t="s">
        <v>690</v>
      </c>
      <c r="K49" s="79">
        <v>72000000</v>
      </c>
      <c r="L49" s="67"/>
      <c r="M49" s="71">
        <v>27114985</v>
      </c>
      <c r="N49" s="72">
        <v>0.41</v>
      </c>
      <c r="O49" s="35" t="s">
        <v>611</v>
      </c>
      <c r="P49" s="25" t="s">
        <v>444</v>
      </c>
      <c r="Q49" s="25" t="s">
        <v>443</v>
      </c>
      <c r="R49" s="25" t="s">
        <v>612</v>
      </c>
      <c r="T49" s="302">
        <v>1035544</v>
      </c>
    </row>
    <row r="50" spans="1:20" x14ac:dyDescent="0.3">
      <c r="A50" s="25" t="s">
        <v>609</v>
      </c>
      <c r="B50" s="34">
        <v>45901</v>
      </c>
      <c r="C50" s="65">
        <v>45902</v>
      </c>
      <c r="D50" s="66">
        <v>45922</v>
      </c>
      <c r="E50" s="67" t="s">
        <v>613</v>
      </c>
      <c r="F50" s="67" t="s">
        <v>592</v>
      </c>
      <c r="G50" s="67" t="s">
        <v>616</v>
      </c>
      <c r="H50" s="68" t="s">
        <v>430</v>
      </c>
      <c r="I50" s="67"/>
      <c r="J50" s="67" t="s">
        <v>615</v>
      </c>
      <c r="K50" s="79">
        <v>20850000</v>
      </c>
      <c r="L50" s="71"/>
      <c r="M50" s="71">
        <v>8671645</v>
      </c>
      <c r="N50" s="72">
        <v>0.46</v>
      </c>
      <c r="O50" s="35" t="s">
        <v>621</v>
      </c>
      <c r="P50" s="25" t="s">
        <v>444</v>
      </c>
      <c r="Q50" s="25" t="s">
        <v>443</v>
      </c>
      <c r="R50" s="25" t="s">
        <v>622</v>
      </c>
      <c r="T50" s="302"/>
    </row>
    <row r="51" spans="1:20" x14ac:dyDescent="0.3">
      <c r="A51" s="25" t="s">
        <v>623</v>
      </c>
      <c r="B51" s="34">
        <v>45910</v>
      </c>
      <c r="C51" s="65">
        <v>45915</v>
      </c>
      <c r="D51" s="66">
        <v>45934</v>
      </c>
      <c r="E51" s="67" t="s">
        <v>624</v>
      </c>
      <c r="F51" s="67" t="s">
        <v>623</v>
      </c>
      <c r="G51" s="67" t="s">
        <v>625</v>
      </c>
      <c r="H51" s="68" t="s">
        <v>459</v>
      </c>
      <c r="I51" s="67" t="s">
        <v>626</v>
      </c>
      <c r="J51" s="67" t="s">
        <v>627</v>
      </c>
      <c r="K51" s="79">
        <v>43000000</v>
      </c>
      <c r="L51" s="71">
        <v>1342000</v>
      </c>
      <c r="M51" s="71">
        <v>13947935</v>
      </c>
      <c r="N51" s="122">
        <v>0.35</v>
      </c>
      <c r="O51" s="35" t="s">
        <v>629</v>
      </c>
      <c r="P51" s="25" t="s">
        <v>444</v>
      </c>
      <c r="Q51" s="25" t="s">
        <v>443</v>
      </c>
      <c r="R51" s="25" t="s">
        <v>628</v>
      </c>
      <c r="T51" s="302">
        <v>659287</v>
      </c>
    </row>
    <row r="52" spans="1:20" ht="18.75" customHeight="1" x14ac:dyDescent="0.3">
      <c r="A52" s="25" t="s">
        <v>631</v>
      </c>
      <c r="B52" s="34">
        <v>45918</v>
      </c>
      <c r="C52" s="65">
        <v>45918</v>
      </c>
      <c r="D52" s="66">
        <v>45945</v>
      </c>
      <c r="E52" s="67" t="s">
        <v>637</v>
      </c>
      <c r="F52" s="67" t="s">
        <v>602</v>
      </c>
      <c r="G52" s="67"/>
      <c r="H52" s="68"/>
      <c r="I52" s="67"/>
      <c r="J52" s="67"/>
      <c r="K52" s="79">
        <v>21824000</v>
      </c>
      <c r="L52" s="71"/>
      <c r="M52" s="71">
        <v>9276583</v>
      </c>
      <c r="N52" s="122">
        <v>0.47</v>
      </c>
      <c r="O52" s="35" t="s">
        <v>736</v>
      </c>
      <c r="P52" s="25" t="s">
        <v>444</v>
      </c>
      <c r="Q52" s="25" t="s">
        <v>443</v>
      </c>
      <c r="R52" s="25" t="s">
        <v>640</v>
      </c>
      <c r="T52" s="302"/>
    </row>
    <row r="53" spans="1:20" x14ac:dyDescent="0.3">
      <c r="A53" s="25" t="s">
        <v>630</v>
      </c>
      <c r="B53" s="34">
        <v>45919</v>
      </c>
      <c r="C53" s="65">
        <v>45922</v>
      </c>
      <c r="D53" s="66">
        <v>45950</v>
      </c>
      <c r="E53" s="67" t="s">
        <v>634</v>
      </c>
      <c r="F53" s="67" t="s">
        <v>635</v>
      </c>
      <c r="G53" s="67" t="s">
        <v>635</v>
      </c>
      <c r="H53" s="68" t="s">
        <v>391</v>
      </c>
      <c r="I53" s="67"/>
      <c r="J53" s="67" t="s">
        <v>636</v>
      </c>
      <c r="K53" s="79">
        <v>30000000</v>
      </c>
      <c r="L53" s="71"/>
      <c r="M53" s="71">
        <v>7516101</v>
      </c>
      <c r="N53" s="122">
        <v>0.25</v>
      </c>
      <c r="O53" s="35" t="s">
        <v>738</v>
      </c>
      <c r="P53" s="25" t="s">
        <v>444</v>
      </c>
      <c r="Q53" s="25" t="s">
        <v>443</v>
      </c>
      <c r="R53" s="25" t="s">
        <v>641</v>
      </c>
      <c r="T53" s="302">
        <v>454875</v>
      </c>
    </row>
    <row r="54" spans="1:20" x14ac:dyDescent="0.3">
      <c r="A54" s="25" t="s">
        <v>632</v>
      </c>
      <c r="B54" s="34">
        <v>45917</v>
      </c>
      <c r="C54" s="65">
        <v>45917</v>
      </c>
      <c r="D54" s="66">
        <v>45919</v>
      </c>
      <c r="E54" s="25" t="s">
        <v>633</v>
      </c>
      <c r="F54" s="67" t="s">
        <v>639</v>
      </c>
      <c r="G54" s="67" t="s">
        <v>687</v>
      </c>
      <c r="H54" s="68" t="s">
        <v>459</v>
      </c>
      <c r="I54" s="67"/>
      <c r="J54" s="67"/>
      <c r="K54" s="79">
        <v>7579000</v>
      </c>
      <c r="L54" s="71"/>
      <c r="M54" s="71">
        <v>3558721</v>
      </c>
      <c r="N54" s="72">
        <v>0.52</v>
      </c>
      <c r="O54" s="67" t="s">
        <v>638</v>
      </c>
      <c r="P54" s="25" t="s">
        <v>444</v>
      </c>
      <c r="Q54" s="25" t="s">
        <v>443</v>
      </c>
      <c r="R54" s="25" t="s">
        <v>685</v>
      </c>
      <c r="T54" s="302"/>
    </row>
    <row r="55" spans="1:20" x14ac:dyDescent="0.3">
      <c r="A55" s="25" t="s">
        <v>633</v>
      </c>
      <c r="B55" s="34">
        <v>45904</v>
      </c>
      <c r="C55" s="65">
        <v>45905</v>
      </c>
      <c r="D55" s="66">
        <v>45909</v>
      </c>
      <c r="E55" s="25" t="s">
        <v>632</v>
      </c>
      <c r="F55" s="67" t="s">
        <v>639</v>
      </c>
      <c r="G55" s="67" t="s">
        <v>687</v>
      </c>
      <c r="H55" s="68" t="s">
        <v>459</v>
      </c>
      <c r="I55" s="67"/>
      <c r="J55" s="67"/>
      <c r="K55" s="79">
        <v>1518000</v>
      </c>
      <c r="L55" s="71"/>
      <c r="M55" s="71">
        <v>180000</v>
      </c>
      <c r="N55" s="72">
        <v>0.13</v>
      </c>
      <c r="O55" s="67" t="s">
        <v>638</v>
      </c>
      <c r="P55" s="25" t="s">
        <v>444</v>
      </c>
      <c r="Q55" s="25" t="s">
        <v>443</v>
      </c>
      <c r="R55" s="25" t="s">
        <v>685</v>
      </c>
      <c r="T55" s="302">
        <v>103282</v>
      </c>
    </row>
    <row r="56" spans="1:20" x14ac:dyDescent="0.3">
      <c r="A56" s="25" t="s">
        <v>642</v>
      </c>
      <c r="B56" s="34">
        <v>45934</v>
      </c>
      <c r="C56" s="65">
        <v>45940</v>
      </c>
      <c r="D56" s="66">
        <v>45955</v>
      </c>
      <c r="E56" s="67" t="s">
        <v>648</v>
      </c>
      <c r="F56" s="67" t="s">
        <v>649</v>
      </c>
      <c r="G56" s="67" t="s">
        <v>650</v>
      </c>
      <c r="H56" s="68" t="s">
        <v>459</v>
      </c>
      <c r="I56" s="67" t="s">
        <v>651</v>
      </c>
      <c r="J56" s="67" t="s">
        <v>652</v>
      </c>
      <c r="K56" s="79">
        <v>33638000</v>
      </c>
      <c r="L56" s="71"/>
      <c r="M56" s="71">
        <v>11898064</v>
      </c>
      <c r="N56" s="72">
        <v>0.39</v>
      </c>
      <c r="O56" s="35" t="s">
        <v>679</v>
      </c>
      <c r="P56" s="25" t="s">
        <v>444</v>
      </c>
      <c r="Q56" s="25" t="s">
        <v>443</v>
      </c>
      <c r="R56" s="25" t="s">
        <v>686</v>
      </c>
      <c r="T56" s="302">
        <v>498258</v>
      </c>
    </row>
    <row r="57" spans="1:20" x14ac:dyDescent="0.3">
      <c r="A57" s="25" t="s">
        <v>643</v>
      </c>
      <c r="B57" s="34">
        <v>45940</v>
      </c>
      <c r="C57" s="65">
        <v>45943</v>
      </c>
      <c r="D57" s="66">
        <v>45990</v>
      </c>
      <c r="E57" s="67" t="s">
        <v>654</v>
      </c>
      <c r="F57" s="67" t="s">
        <v>659</v>
      </c>
      <c r="G57" s="67" t="s">
        <v>660</v>
      </c>
      <c r="H57" s="68" t="s">
        <v>459</v>
      </c>
      <c r="I57" s="67"/>
      <c r="J57" s="67" t="s">
        <v>661</v>
      </c>
      <c r="K57" s="79">
        <v>291236000</v>
      </c>
      <c r="L57" s="71">
        <v>31383000</v>
      </c>
      <c r="M57" s="71">
        <v>57050134</v>
      </c>
      <c r="N57" s="72">
        <v>0.24</v>
      </c>
      <c r="O57" s="35" t="s">
        <v>655</v>
      </c>
      <c r="P57" s="25" t="s">
        <v>444</v>
      </c>
      <c r="Q57" s="25" t="s">
        <v>443</v>
      </c>
      <c r="R57" s="25" t="s">
        <v>656</v>
      </c>
      <c r="T57" s="302">
        <v>4993936</v>
      </c>
    </row>
    <row r="58" spans="1:20" x14ac:dyDescent="0.3">
      <c r="A58" s="25" t="s">
        <v>644</v>
      </c>
      <c r="B58" s="34">
        <v>45957</v>
      </c>
      <c r="C58" s="65">
        <v>45957</v>
      </c>
      <c r="D58" s="66">
        <v>45991</v>
      </c>
      <c r="E58" s="67" t="s">
        <v>664</v>
      </c>
      <c r="F58" s="67" t="s">
        <v>665</v>
      </c>
      <c r="G58" s="67" t="s">
        <v>666</v>
      </c>
      <c r="H58" s="68" t="s">
        <v>459</v>
      </c>
      <c r="I58" s="67"/>
      <c r="J58" s="67"/>
      <c r="K58" s="79">
        <v>22000000</v>
      </c>
      <c r="L58" s="71">
        <v>42900000</v>
      </c>
      <c r="M58" s="71"/>
      <c r="N58" s="72"/>
      <c r="O58" s="35" t="s">
        <v>677</v>
      </c>
      <c r="P58" s="25" t="s">
        <v>444</v>
      </c>
      <c r="Q58" s="25" t="s">
        <v>443</v>
      </c>
      <c r="R58" s="25" t="s">
        <v>678</v>
      </c>
      <c r="S58" s="11" t="s">
        <v>761</v>
      </c>
      <c r="T58" s="302"/>
    </row>
    <row r="59" spans="1:20" x14ac:dyDescent="0.3">
      <c r="A59" s="37" t="s">
        <v>647</v>
      </c>
      <c r="B59" s="45" t="s">
        <v>473</v>
      </c>
      <c r="C59" s="73" t="s">
        <v>473</v>
      </c>
      <c r="D59" s="73" t="s">
        <v>473</v>
      </c>
      <c r="E59" s="74"/>
      <c r="F59" s="74" t="s">
        <v>472</v>
      </c>
      <c r="G59" s="74"/>
      <c r="H59" s="75" t="s">
        <v>459</v>
      </c>
      <c r="I59" s="74"/>
      <c r="J59" s="74" t="s">
        <v>688</v>
      </c>
      <c r="K59" s="76">
        <v>3555000</v>
      </c>
      <c r="L59" s="77">
        <v>330000</v>
      </c>
      <c r="M59" s="77">
        <v>3555000</v>
      </c>
      <c r="N59" s="78">
        <v>1</v>
      </c>
      <c r="O59" s="35"/>
      <c r="P59" s="25"/>
      <c r="Q59" s="25"/>
      <c r="R59" s="25"/>
      <c r="S59" s="40"/>
      <c r="T59" s="302"/>
    </row>
    <row r="60" spans="1:20" x14ac:dyDescent="0.3">
      <c r="A60" s="37" t="s">
        <v>471</v>
      </c>
      <c r="B60" s="45" t="s">
        <v>473</v>
      </c>
      <c r="C60" s="73" t="s">
        <v>473</v>
      </c>
      <c r="D60" s="73" t="s">
        <v>473</v>
      </c>
      <c r="E60" s="74" t="s">
        <v>471</v>
      </c>
      <c r="F60" s="74" t="s">
        <v>472</v>
      </c>
      <c r="G60" s="74"/>
      <c r="H60" s="75" t="s">
        <v>459</v>
      </c>
      <c r="I60" s="74"/>
      <c r="J60" s="74" t="s">
        <v>688</v>
      </c>
      <c r="K60" s="76">
        <v>935000</v>
      </c>
      <c r="L60" s="77"/>
      <c r="M60" s="77">
        <v>110000</v>
      </c>
      <c r="N60" s="78">
        <v>0.14000000000000001</v>
      </c>
      <c r="O60" s="35"/>
      <c r="P60" s="25"/>
      <c r="Q60" s="25"/>
      <c r="R60" s="25"/>
      <c r="S60" s="40"/>
      <c r="T60" s="302"/>
    </row>
    <row r="61" spans="1:20" x14ac:dyDescent="0.3">
      <c r="A61" s="25" t="s">
        <v>653</v>
      </c>
      <c r="B61" s="34">
        <v>45931</v>
      </c>
      <c r="C61" s="65">
        <v>45931</v>
      </c>
      <c r="D61" s="66">
        <v>45966</v>
      </c>
      <c r="E61" s="67" t="s">
        <v>657</v>
      </c>
      <c r="F61" s="67" t="s">
        <v>658</v>
      </c>
      <c r="G61" s="67" t="s">
        <v>658</v>
      </c>
      <c r="H61" s="68" t="s">
        <v>391</v>
      </c>
      <c r="I61" s="67"/>
      <c r="J61" s="67"/>
      <c r="K61" s="79">
        <v>18282000</v>
      </c>
      <c r="L61" s="71"/>
      <c r="M61" s="71">
        <v>8241053</v>
      </c>
      <c r="N61" s="122">
        <v>0.5</v>
      </c>
      <c r="O61" s="35" t="s">
        <v>680</v>
      </c>
      <c r="P61" s="25" t="s">
        <v>444</v>
      </c>
      <c r="Q61" s="25" t="s">
        <v>443</v>
      </c>
      <c r="R61" s="25" t="s">
        <v>681</v>
      </c>
      <c r="T61" s="302">
        <v>299408</v>
      </c>
    </row>
    <row r="62" spans="1:20" x14ac:dyDescent="0.3">
      <c r="A62" s="123" t="s">
        <v>581</v>
      </c>
      <c r="B62" s="45" t="s">
        <v>473</v>
      </c>
      <c r="C62" s="73" t="s">
        <v>473</v>
      </c>
      <c r="D62" s="73" t="s">
        <v>473</v>
      </c>
      <c r="E62" s="74" t="s">
        <v>700</v>
      </c>
      <c r="F62" s="74"/>
      <c r="G62" s="74"/>
      <c r="H62" s="75"/>
      <c r="I62" s="74"/>
      <c r="J62" s="74"/>
      <c r="K62" s="76">
        <v>165000</v>
      </c>
      <c r="L62" s="77"/>
      <c r="M62" s="77">
        <v>165000</v>
      </c>
      <c r="N62" s="78">
        <v>1</v>
      </c>
      <c r="O62" s="35"/>
      <c r="P62" s="25"/>
      <c r="Q62" s="25"/>
      <c r="R62" s="25"/>
      <c r="S62" s="40"/>
      <c r="T62" s="302"/>
    </row>
    <row r="63" spans="1:20" x14ac:dyDescent="0.3">
      <c r="A63" s="123" t="s">
        <v>581</v>
      </c>
      <c r="B63" s="45" t="s">
        <v>473</v>
      </c>
      <c r="C63" s="73" t="s">
        <v>473</v>
      </c>
      <c r="D63" s="73" t="s">
        <v>473</v>
      </c>
      <c r="E63" s="74" t="s">
        <v>699</v>
      </c>
      <c r="F63" s="74"/>
      <c r="G63" s="74"/>
      <c r="H63" s="75"/>
      <c r="I63" s="74"/>
      <c r="J63" s="74"/>
      <c r="K63" s="76">
        <v>330000</v>
      </c>
      <c r="L63" s="77"/>
      <c r="M63" s="76">
        <v>330000</v>
      </c>
      <c r="N63" s="78">
        <v>1</v>
      </c>
      <c r="O63" s="35"/>
      <c r="P63" s="25"/>
      <c r="Q63" s="25"/>
      <c r="R63" s="25"/>
      <c r="S63" s="40"/>
      <c r="T63" s="302"/>
    </row>
    <row r="64" spans="1:20" x14ac:dyDescent="0.3">
      <c r="A64" s="25" t="s">
        <v>662</v>
      </c>
      <c r="B64" s="34">
        <v>45957</v>
      </c>
      <c r="C64" s="65">
        <v>45957</v>
      </c>
      <c r="D64" s="66">
        <v>45971</v>
      </c>
      <c r="E64" s="67" t="s">
        <v>667</v>
      </c>
      <c r="F64" s="67" t="s">
        <v>668</v>
      </c>
      <c r="G64" s="67" t="s">
        <v>669</v>
      </c>
      <c r="H64" s="68" t="s">
        <v>430</v>
      </c>
      <c r="I64" s="67"/>
      <c r="J64" s="67" t="s">
        <v>682</v>
      </c>
      <c r="K64" s="79">
        <v>12760000</v>
      </c>
      <c r="L64" s="71"/>
      <c r="M64" s="71">
        <v>3732122</v>
      </c>
      <c r="N64" s="72">
        <v>0.32</v>
      </c>
      <c r="O64" s="35" t="s">
        <v>684</v>
      </c>
      <c r="P64" s="25" t="s">
        <v>444</v>
      </c>
      <c r="Q64" s="25" t="s">
        <v>443</v>
      </c>
      <c r="R64" s="25" t="s">
        <v>683</v>
      </c>
      <c r="T64" s="302">
        <v>116078</v>
      </c>
    </row>
    <row r="65" spans="1:20" ht="18" customHeight="1" x14ac:dyDescent="0.3">
      <c r="A65" s="25" t="s">
        <v>663</v>
      </c>
      <c r="B65" s="34">
        <v>45960</v>
      </c>
      <c r="C65" s="65">
        <v>45960</v>
      </c>
      <c r="D65" s="66">
        <v>45977</v>
      </c>
      <c r="E65" s="67" t="s">
        <v>670</v>
      </c>
      <c r="F65" s="67" t="s">
        <v>671</v>
      </c>
      <c r="G65" s="67" t="s">
        <v>672</v>
      </c>
      <c r="H65" s="68" t="s">
        <v>459</v>
      </c>
      <c r="I65" s="67" t="s">
        <v>673</v>
      </c>
      <c r="J65" s="67" t="s">
        <v>674</v>
      </c>
      <c r="K65" s="79">
        <v>32490000</v>
      </c>
      <c r="L65" s="71"/>
      <c r="M65" s="71">
        <v>13191119</v>
      </c>
      <c r="N65" s="125">
        <v>0.45</v>
      </c>
      <c r="O65" s="35" t="s">
        <v>676</v>
      </c>
      <c r="P65" s="25" t="s">
        <v>444</v>
      </c>
      <c r="Q65" s="25" t="s">
        <v>443</v>
      </c>
      <c r="R65" s="25" t="s">
        <v>675</v>
      </c>
      <c r="T65" s="302">
        <v>526464</v>
      </c>
    </row>
    <row r="66" spans="1:20" x14ac:dyDescent="0.3">
      <c r="A66" s="25" t="s">
        <v>691</v>
      </c>
      <c r="B66" s="34">
        <v>45985</v>
      </c>
      <c r="C66" s="34">
        <v>45985</v>
      </c>
      <c r="D66" s="66">
        <v>45999</v>
      </c>
      <c r="E66" s="67" t="s">
        <v>692</v>
      </c>
      <c r="F66" s="67" t="s">
        <v>693</v>
      </c>
      <c r="G66" s="67" t="s">
        <v>694</v>
      </c>
      <c r="H66" s="68" t="s">
        <v>459</v>
      </c>
      <c r="I66" s="67"/>
      <c r="J66" s="67" t="s">
        <v>695</v>
      </c>
      <c r="K66" s="79">
        <v>16790000</v>
      </c>
      <c r="L66" s="71"/>
      <c r="M66" s="71">
        <v>4423459</v>
      </c>
      <c r="N66" s="64">
        <v>0.28999999999999998</v>
      </c>
      <c r="O66" s="35" t="s">
        <v>696</v>
      </c>
      <c r="P66" s="25" t="s">
        <v>444</v>
      </c>
      <c r="Q66" s="25" t="s">
        <v>443</v>
      </c>
      <c r="R66" s="25" t="s">
        <v>697</v>
      </c>
      <c r="T66" s="302">
        <v>201583</v>
      </c>
    </row>
    <row r="67" spans="1:20" x14ac:dyDescent="0.3">
      <c r="A67" s="37" t="s">
        <v>520</v>
      </c>
      <c r="B67" s="43" t="s">
        <v>701</v>
      </c>
      <c r="C67" s="73" t="s">
        <v>701</v>
      </c>
      <c r="D67" s="80" t="s">
        <v>701</v>
      </c>
      <c r="E67" s="74" t="s">
        <v>698</v>
      </c>
      <c r="F67" s="74"/>
      <c r="G67" s="74"/>
      <c r="H67" s="75"/>
      <c r="I67" s="74"/>
      <c r="J67" s="74"/>
      <c r="K67" s="76">
        <v>275000</v>
      </c>
      <c r="L67" s="77"/>
      <c r="M67" s="77">
        <v>275000</v>
      </c>
      <c r="N67" s="78">
        <v>1</v>
      </c>
      <c r="O67" s="35"/>
      <c r="P67" s="25"/>
      <c r="Q67" s="25"/>
      <c r="R67" s="25"/>
      <c r="S67" s="40"/>
      <c r="T67" s="302"/>
    </row>
    <row r="68" spans="1:20" x14ac:dyDescent="0.3">
      <c r="A68" s="25" t="s">
        <v>702</v>
      </c>
      <c r="B68" s="34">
        <v>46002</v>
      </c>
      <c r="C68" s="65">
        <v>46006</v>
      </c>
      <c r="D68" s="66">
        <v>45662</v>
      </c>
      <c r="E68" s="67" t="s">
        <v>703</v>
      </c>
      <c r="F68" s="67" t="s">
        <v>704</v>
      </c>
      <c r="G68" s="67" t="s">
        <v>704</v>
      </c>
      <c r="H68" s="68" t="s">
        <v>430</v>
      </c>
      <c r="I68" s="67"/>
      <c r="J68" s="67" t="s">
        <v>707</v>
      </c>
      <c r="K68" s="79">
        <v>30400000</v>
      </c>
      <c r="L68" s="71"/>
      <c r="M68" s="71">
        <v>13234807</v>
      </c>
      <c r="N68" s="72">
        <v>0.48</v>
      </c>
      <c r="O68" s="35" t="s">
        <v>705</v>
      </c>
      <c r="P68" s="25" t="s">
        <v>444</v>
      </c>
      <c r="Q68" s="25" t="s">
        <v>443</v>
      </c>
      <c r="R68" s="25" t="s">
        <v>706</v>
      </c>
      <c r="T68" s="302">
        <v>383057</v>
      </c>
    </row>
    <row r="69" spans="1:20" x14ac:dyDescent="0.3">
      <c r="A69" s="37" t="s">
        <v>584</v>
      </c>
      <c r="B69" s="43" t="s">
        <v>701</v>
      </c>
      <c r="C69" s="73" t="s">
        <v>701</v>
      </c>
      <c r="D69" s="80" t="s">
        <v>701</v>
      </c>
      <c r="E69" s="74"/>
      <c r="F69" s="74" t="s">
        <v>584</v>
      </c>
      <c r="G69" s="74"/>
      <c r="H69" s="75"/>
      <c r="I69" s="74"/>
      <c r="J69" s="74"/>
      <c r="K69" s="76">
        <v>4224000</v>
      </c>
      <c r="L69" s="77"/>
      <c r="M69" s="77">
        <v>1740000</v>
      </c>
      <c r="N69" s="78">
        <v>0.45</v>
      </c>
      <c r="O69" s="35"/>
      <c r="P69" s="25"/>
      <c r="Q69" s="25"/>
      <c r="R69" s="25"/>
      <c r="S69" s="40"/>
      <c r="T69" s="302"/>
    </row>
    <row r="70" spans="1:20" x14ac:dyDescent="0.3">
      <c r="A70" s="25"/>
      <c r="B70" s="34"/>
      <c r="C70" s="65"/>
      <c r="D70" s="66"/>
      <c r="E70" s="67"/>
      <c r="F70" s="67"/>
      <c r="G70" s="67"/>
      <c r="H70" s="68"/>
      <c r="I70" s="67"/>
      <c r="J70" s="67"/>
      <c r="K70" s="79"/>
      <c r="L70" s="71"/>
      <c r="M70" s="71"/>
      <c r="N70" s="72"/>
      <c r="O70" s="35"/>
      <c r="P70" s="25"/>
      <c r="Q70" s="25"/>
      <c r="R70" s="25"/>
      <c r="T70" s="302"/>
    </row>
    <row r="71" spans="1:20" x14ac:dyDescent="0.3">
      <c r="A71" s="25"/>
      <c r="B71" s="34"/>
      <c r="C71" s="65"/>
      <c r="D71" s="66"/>
      <c r="E71" s="67"/>
      <c r="F71" s="67"/>
      <c r="G71" s="67"/>
      <c r="H71" s="68"/>
      <c r="I71" s="67"/>
      <c r="J71" s="67"/>
      <c r="K71" s="79"/>
      <c r="L71" s="71"/>
      <c r="M71" s="71"/>
      <c r="N71" s="72"/>
      <c r="O71" s="35"/>
      <c r="P71" s="25"/>
      <c r="Q71" s="25"/>
      <c r="R71" s="25"/>
      <c r="T71" s="302"/>
    </row>
    <row r="72" spans="1:20" x14ac:dyDescent="0.3">
      <c r="A72" s="25"/>
      <c r="B72" s="34"/>
      <c r="C72" s="65"/>
      <c r="D72" s="66"/>
      <c r="E72" s="67"/>
      <c r="F72" s="67"/>
      <c r="G72" s="67"/>
      <c r="H72" s="68"/>
      <c r="I72" s="67"/>
      <c r="J72" s="67"/>
      <c r="K72" s="79"/>
      <c r="L72" s="71"/>
      <c r="M72" s="71"/>
      <c r="N72" s="72"/>
      <c r="O72" s="35"/>
      <c r="P72" s="25"/>
      <c r="Q72" s="25"/>
      <c r="R72" s="25"/>
      <c r="T72" s="302"/>
    </row>
    <row r="73" spans="1:20" x14ac:dyDescent="0.3">
      <c r="A73" s="25"/>
      <c r="B73" s="34"/>
      <c r="C73" s="65"/>
      <c r="D73" s="66"/>
      <c r="E73" s="67"/>
      <c r="F73" s="67"/>
      <c r="G73" s="67"/>
      <c r="H73" s="68"/>
      <c r="I73" s="67"/>
      <c r="J73" s="67"/>
      <c r="K73" s="79"/>
      <c r="L73" s="71"/>
      <c r="M73" s="71"/>
      <c r="N73" s="72"/>
      <c r="O73" s="35"/>
      <c r="P73" s="25"/>
      <c r="Q73" s="25"/>
      <c r="R73" s="25"/>
      <c r="T73" s="302"/>
    </row>
    <row r="74" spans="1:20" x14ac:dyDescent="0.3">
      <c r="A74" s="25"/>
      <c r="B74" s="34"/>
      <c r="C74" s="65"/>
      <c r="D74" s="66"/>
      <c r="E74" s="67"/>
      <c r="F74" s="67"/>
      <c r="G74" s="67"/>
      <c r="H74" s="68"/>
      <c r="I74" s="67"/>
      <c r="J74" s="67"/>
      <c r="K74" s="79"/>
      <c r="L74" s="71"/>
      <c r="M74" s="71"/>
      <c r="N74" s="72"/>
      <c r="O74" s="35"/>
      <c r="P74" s="25"/>
      <c r="Q74" s="25"/>
      <c r="R74" s="25"/>
      <c r="T74" s="302"/>
    </row>
    <row r="75" spans="1:20" x14ac:dyDescent="0.3">
      <c r="A75" s="25"/>
      <c r="B75" s="34"/>
      <c r="C75" s="65"/>
      <c r="D75" s="66"/>
      <c r="E75" s="67"/>
      <c r="F75" s="67"/>
      <c r="G75" s="67"/>
      <c r="H75" s="68"/>
      <c r="I75" s="67"/>
      <c r="J75" s="67"/>
      <c r="K75" s="79"/>
      <c r="L75" s="71"/>
      <c r="M75" s="71"/>
      <c r="N75" s="72"/>
      <c r="O75" s="35"/>
      <c r="P75" s="25"/>
      <c r="Q75" s="25"/>
      <c r="R75" s="25"/>
      <c r="T75" s="302"/>
    </row>
    <row r="76" spans="1:20" x14ac:dyDescent="0.3">
      <c r="A76" s="25"/>
      <c r="B76" s="34"/>
      <c r="C76" s="65"/>
      <c r="D76" s="66"/>
      <c r="E76" s="67"/>
      <c r="F76" s="67"/>
      <c r="G76" s="67"/>
      <c r="H76" s="68"/>
      <c r="I76" s="67"/>
      <c r="J76" s="67"/>
      <c r="K76" s="79"/>
      <c r="L76" s="71"/>
      <c r="M76" s="71"/>
      <c r="N76" s="72"/>
      <c r="O76" s="35"/>
      <c r="P76" s="25"/>
      <c r="Q76" s="25"/>
      <c r="R76" s="25"/>
      <c r="T76" s="302"/>
    </row>
    <row r="77" spans="1:20" x14ac:dyDescent="0.3">
      <c r="A77" s="25"/>
      <c r="B77" s="25"/>
      <c r="C77" s="65"/>
      <c r="D77" s="66"/>
      <c r="E77" s="67"/>
      <c r="F77" s="67"/>
      <c r="G77" s="67"/>
      <c r="H77" s="68"/>
      <c r="I77" s="67"/>
      <c r="J77" s="67"/>
      <c r="K77" s="79"/>
      <c r="L77" s="71"/>
      <c r="M77" s="71"/>
      <c r="N77" s="72"/>
      <c r="O77" s="35"/>
      <c r="P77" s="25"/>
      <c r="Q77" s="25"/>
      <c r="R77" s="25"/>
      <c r="T77" s="302"/>
    </row>
    <row r="78" spans="1:20" x14ac:dyDescent="0.3">
      <c r="A78" s="25"/>
      <c r="B78" s="25"/>
      <c r="C78" s="65"/>
      <c r="D78" s="66"/>
      <c r="E78" s="67"/>
      <c r="F78" s="67"/>
      <c r="G78" s="67"/>
      <c r="H78" s="68"/>
      <c r="I78" s="67"/>
      <c r="J78" s="67"/>
      <c r="K78" s="79"/>
      <c r="L78" s="71"/>
      <c r="M78" s="71"/>
      <c r="N78" s="72"/>
      <c r="O78" s="35"/>
      <c r="P78" s="25"/>
      <c r="Q78" s="25"/>
      <c r="R78" s="25"/>
      <c r="T78" s="302"/>
    </row>
    <row r="79" spans="1:20" x14ac:dyDescent="0.3">
      <c r="A79" s="25"/>
      <c r="B79" s="25"/>
      <c r="C79" s="65"/>
      <c r="D79" s="66"/>
      <c r="E79" s="67"/>
      <c r="F79" s="67"/>
      <c r="G79" s="67"/>
      <c r="H79" s="68"/>
      <c r="I79" s="67"/>
      <c r="J79" s="67"/>
      <c r="K79" s="79"/>
      <c r="L79" s="71"/>
      <c r="M79" s="71"/>
      <c r="N79" s="72"/>
      <c r="O79" s="35"/>
      <c r="P79" s="25"/>
      <c r="Q79" s="25"/>
      <c r="R79" s="25"/>
      <c r="T79" s="302"/>
    </row>
    <row r="80" spans="1:20" ht="18.75" customHeight="1" x14ac:dyDescent="0.3">
      <c r="A80" s="32"/>
      <c r="B80" s="26"/>
      <c r="C80" s="87"/>
      <c r="D80" s="88"/>
      <c r="E80" s="89"/>
      <c r="F80" s="89"/>
      <c r="G80" s="89"/>
      <c r="H80" s="90"/>
      <c r="I80" s="89"/>
      <c r="J80" s="89"/>
      <c r="K80" s="91"/>
      <c r="L80" s="92"/>
      <c r="M80" s="92"/>
      <c r="N80" s="93"/>
      <c r="O80" s="36"/>
      <c r="P80" s="26"/>
      <c r="Q80" s="26"/>
      <c r="R80" s="26"/>
      <c r="T80" s="304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62" orientation="landscape" r:id="rId1"/>
  <rowBreaks count="1" manualBreakCount="1">
    <brk id="50" max="12" man="1"/>
  </rowBreaks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F1C9-F65A-4B04-9002-E1882FAF227E}">
  <dimension ref="A1:V80"/>
  <sheetViews>
    <sheetView view="pageBreakPreview" zoomScale="55" zoomScaleNormal="100" zoomScaleSheetLayoutView="55" workbookViewId="0">
      <pane xSplit="6" topLeftCell="G1" activePane="topRight" state="frozen"/>
      <selection pane="topRight" activeCell="G51" sqref="G51"/>
    </sheetView>
  </sheetViews>
  <sheetFormatPr defaultRowHeight="17.25" x14ac:dyDescent="0.3"/>
  <cols>
    <col min="1" max="1" width="72.125" style="96" bestFit="1" customWidth="1"/>
    <col min="2" max="2" width="45.625" style="11" bestFit="1" customWidth="1"/>
    <col min="3" max="3" width="18.625" style="11" bestFit="1" customWidth="1"/>
    <col min="4" max="4" width="13.75" style="94" bestFit="1" customWidth="1"/>
    <col min="5" max="5" width="14.375" style="95" customWidth="1"/>
    <col min="6" max="6" width="46.25" style="96" hidden="1" customWidth="1"/>
    <col min="7" max="7" width="34.625" style="96" bestFit="1" customWidth="1"/>
    <col min="8" max="8" width="16.375" style="96" bestFit="1" customWidth="1"/>
    <col min="9" max="9" width="12.125" style="97" bestFit="1" customWidth="1"/>
    <col min="10" max="10" width="20" style="96" bestFit="1" customWidth="1"/>
    <col min="11" max="11" width="32.75" style="96" bestFit="1" customWidth="1"/>
    <col min="12" max="12" width="23.875" style="82" customWidth="1"/>
    <col min="13" max="13" width="19.5" style="82" customWidth="1"/>
    <col min="14" max="14" width="19.5" style="212" customWidth="1"/>
    <col min="15" max="15" width="15.875" style="82" customWidth="1"/>
    <col min="16" max="16" width="15.125" style="98" customWidth="1"/>
    <col min="17" max="17" width="87.625" style="11" bestFit="1" customWidth="1"/>
    <col min="18" max="19" width="12.125" style="11" customWidth="1"/>
    <col min="20" max="20" width="15.875" style="11" bestFit="1" customWidth="1"/>
    <col min="21" max="21" width="77.875" style="11" customWidth="1"/>
    <col min="22" max="22" width="12" style="11" customWidth="1"/>
  </cols>
  <sheetData>
    <row r="1" spans="1:22" x14ac:dyDescent="0.3">
      <c r="A1" s="172" t="s">
        <v>113</v>
      </c>
      <c r="B1" s="30" t="s">
        <v>0</v>
      </c>
      <c r="C1" s="29" t="s">
        <v>434</v>
      </c>
      <c r="D1" s="48" t="s">
        <v>1</v>
      </c>
      <c r="E1" s="49" t="s">
        <v>2</v>
      </c>
      <c r="F1" s="50" t="s">
        <v>113</v>
      </c>
      <c r="G1" s="51" t="s">
        <v>435</v>
      </c>
      <c r="H1" s="51" t="s">
        <v>436</v>
      </c>
      <c r="I1" s="52" t="s">
        <v>450</v>
      </c>
      <c r="J1" s="51" t="s">
        <v>439</v>
      </c>
      <c r="K1" s="51" t="s">
        <v>438</v>
      </c>
      <c r="L1" s="53" t="s">
        <v>486</v>
      </c>
      <c r="M1" s="54" t="s">
        <v>487</v>
      </c>
      <c r="N1" s="203" t="s">
        <v>423</v>
      </c>
      <c r="O1" s="54" t="s">
        <v>606</v>
      </c>
      <c r="P1" s="55" t="s">
        <v>607</v>
      </c>
      <c r="Q1" s="33" t="s">
        <v>431</v>
      </c>
      <c r="R1" s="31" t="s">
        <v>432</v>
      </c>
      <c r="S1" s="31" t="s">
        <v>433</v>
      </c>
      <c r="T1" s="31" t="s">
        <v>437</v>
      </c>
      <c r="U1" s="30" t="s">
        <v>511</v>
      </c>
      <c r="V1" s="30" t="s">
        <v>744</v>
      </c>
    </row>
    <row r="2" spans="1:22" s="3" customFormat="1" x14ac:dyDescent="0.3">
      <c r="A2" s="174" t="s">
        <v>595</v>
      </c>
      <c r="B2" s="175" t="s">
        <v>594</v>
      </c>
      <c r="C2" s="176">
        <v>46017</v>
      </c>
      <c r="D2" s="177">
        <v>45660</v>
      </c>
      <c r="E2" s="178">
        <v>45666</v>
      </c>
      <c r="F2" s="179" t="s">
        <v>595</v>
      </c>
      <c r="G2" s="179" t="s">
        <v>594</v>
      </c>
      <c r="H2" s="180" t="s">
        <v>617</v>
      </c>
      <c r="I2" s="181" t="s">
        <v>459</v>
      </c>
      <c r="J2" s="180" t="s">
        <v>723</v>
      </c>
      <c r="K2" s="182" t="s">
        <v>618</v>
      </c>
      <c r="L2" s="183">
        <v>33220000</v>
      </c>
      <c r="M2" s="165"/>
      <c r="N2" s="204">
        <f>SUM(표1_6[[#This Row],[본 공사 금액]:[추가 공사 금액]])</f>
        <v>33220000</v>
      </c>
      <c r="O2" s="165">
        <v>10654726</v>
      </c>
      <c r="P2" s="184">
        <v>0.35</v>
      </c>
      <c r="Q2" s="185"/>
      <c r="R2" s="186"/>
      <c r="S2" s="186"/>
      <c r="T2" s="186"/>
      <c r="U2" s="187"/>
      <c r="V2" s="286" t="s">
        <v>745</v>
      </c>
    </row>
    <row r="3" spans="1:22" s="3" customFormat="1" x14ac:dyDescent="0.3">
      <c r="A3" s="189" t="s">
        <v>596</v>
      </c>
      <c r="B3" s="175" t="s">
        <v>596</v>
      </c>
      <c r="C3" s="176">
        <v>46018</v>
      </c>
      <c r="D3" s="177">
        <v>46022</v>
      </c>
      <c r="E3" s="178">
        <v>45670</v>
      </c>
      <c r="F3" s="179" t="s">
        <v>596</v>
      </c>
      <c r="G3" s="179" t="s">
        <v>550</v>
      </c>
      <c r="H3" s="180" t="s">
        <v>619</v>
      </c>
      <c r="I3" s="181" t="s">
        <v>430</v>
      </c>
      <c r="J3" s="180"/>
      <c r="K3" s="182" t="s">
        <v>466</v>
      </c>
      <c r="L3" s="183">
        <v>27335000</v>
      </c>
      <c r="M3" s="165"/>
      <c r="N3" s="204">
        <f>SUM(표1_6[[#This Row],[본 공사 금액]:[추가 공사 금액]])</f>
        <v>27335000</v>
      </c>
      <c r="O3" s="165">
        <v>12086038</v>
      </c>
      <c r="P3" s="184">
        <v>0.49</v>
      </c>
      <c r="Q3" s="185" t="s">
        <v>442</v>
      </c>
      <c r="R3" s="186" t="s">
        <v>444</v>
      </c>
      <c r="S3" s="186" t="s">
        <v>443</v>
      </c>
      <c r="T3" s="186" t="s">
        <v>441</v>
      </c>
      <c r="U3" s="187"/>
      <c r="V3" s="286" t="s">
        <v>745</v>
      </c>
    </row>
    <row r="4" spans="1:22" s="3" customFormat="1" x14ac:dyDescent="0.3">
      <c r="A4" s="190" t="s">
        <v>412</v>
      </c>
      <c r="B4" s="191" t="s">
        <v>411</v>
      </c>
      <c r="C4" s="192">
        <v>45659</v>
      </c>
      <c r="D4" s="193">
        <v>45659</v>
      </c>
      <c r="E4" s="194">
        <v>45694</v>
      </c>
      <c r="F4" s="195" t="s">
        <v>412</v>
      </c>
      <c r="G4" s="195" t="s">
        <v>413</v>
      </c>
      <c r="H4" s="167" t="s">
        <v>445</v>
      </c>
      <c r="I4" s="196" t="s">
        <v>430</v>
      </c>
      <c r="J4" s="167" t="s">
        <v>447</v>
      </c>
      <c r="K4" s="197" t="s">
        <v>446</v>
      </c>
      <c r="L4" s="198">
        <v>32500000</v>
      </c>
      <c r="M4" s="199"/>
      <c r="N4" s="204">
        <f>SUM(표1_6[[#This Row],[본 공사 금액]:[추가 공사 금액]])</f>
        <v>32500000</v>
      </c>
      <c r="O4" s="199">
        <v>12373728</v>
      </c>
      <c r="P4" s="200">
        <v>0.42</v>
      </c>
      <c r="Q4" s="201" t="s">
        <v>442</v>
      </c>
      <c r="R4" s="202" t="s">
        <v>444</v>
      </c>
      <c r="S4" s="202" t="s">
        <v>443</v>
      </c>
      <c r="T4" s="202" t="s">
        <v>441</v>
      </c>
      <c r="U4" s="124"/>
      <c r="V4" s="287"/>
    </row>
    <row r="5" spans="1:22" s="3" customFormat="1" x14ac:dyDescent="0.3">
      <c r="A5" s="159" t="s">
        <v>448</v>
      </c>
      <c r="B5" s="123" t="s">
        <v>448</v>
      </c>
      <c r="C5" s="156">
        <v>45684</v>
      </c>
      <c r="D5" s="157">
        <v>45692</v>
      </c>
      <c r="E5" s="158">
        <v>45711</v>
      </c>
      <c r="F5" s="159" t="s">
        <v>448</v>
      </c>
      <c r="G5" s="159" t="s">
        <v>449</v>
      </c>
      <c r="H5" s="159" t="s">
        <v>449</v>
      </c>
      <c r="I5" s="160" t="s">
        <v>451</v>
      </c>
      <c r="J5" s="167" t="s">
        <v>447</v>
      </c>
      <c r="K5" s="168" t="s">
        <v>454</v>
      </c>
      <c r="L5" s="169">
        <v>29469000</v>
      </c>
      <c r="M5" s="162">
        <v>3949000</v>
      </c>
      <c r="N5" s="206">
        <f>SUM(표1_6[[#This Row],[본 공사 금액]:[추가 공사 금액]])</f>
        <v>33418000</v>
      </c>
      <c r="O5" s="162">
        <v>11767783</v>
      </c>
      <c r="P5" s="163">
        <v>0.39</v>
      </c>
      <c r="Q5" s="164" t="s">
        <v>452</v>
      </c>
      <c r="R5" s="202" t="s">
        <v>444</v>
      </c>
      <c r="S5" s="123" t="s">
        <v>443</v>
      </c>
      <c r="T5" s="123" t="s">
        <v>453</v>
      </c>
      <c r="U5" s="124" t="s">
        <v>500</v>
      </c>
      <c r="V5" s="287"/>
    </row>
    <row r="6" spans="1:22" s="3" customFormat="1" x14ac:dyDescent="0.3">
      <c r="A6" s="188" t="s">
        <v>456</v>
      </c>
      <c r="B6" s="123" t="s">
        <v>455</v>
      </c>
      <c r="C6" s="156">
        <v>45678</v>
      </c>
      <c r="D6" s="157">
        <v>45678</v>
      </c>
      <c r="E6" s="158">
        <v>45708</v>
      </c>
      <c r="F6" s="159" t="s">
        <v>456</v>
      </c>
      <c r="G6" s="159" t="s">
        <v>478</v>
      </c>
      <c r="H6" s="159" t="s">
        <v>468</v>
      </c>
      <c r="I6" s="160" t="s">
        <v>430</v>
      </c>
      <c r="J6" s="167" t="s">
        <v>447</v>
      </c>
      <c r="K6" s="168" t="s">
        <v>467</v>
      </c>
      <c r="L6" s="169">
        <v>33000000</v>
      </c>
      <c r="M6" s="162"/>
      <c r="N6" s="206">
        <f>SUM(표1_6[[#This Row],[본 공사 금액]:[추가 공사 금액]])</f>
        <v>33000000</v>
      </c>
      <c r="O6" s="162">
        <v>10298373</v>
      </c>
      <c r="P6" s="163">
        <v>0.34</v>
      </c>
      <c r="Q6" s="164" t="s">
        <v>470</v>
      </c>
      <c r="R6" s="202" t="s">
        <v>444</v>
      </c>
      <c r="S6" s="123" t="s">
        <v>443</v>
      </c>
      <c r="T6" s="123" t="s">
        <v>469</v>
      </c>
      <c r="U6" s="124"/>
      <c r="V6" s="287"/>
    </row>
    <row r="7" spans="1:22" s="3" customFormat="1" x14ac:dyDescent="0.3">
      <c r="A7" s="159" t="s">
        <v>457</v>
      </c>
      <c r="B7" s="123" t="s">
        <v>457</v>
      </c>
      <c r="C7" s="156">
        <v>45688</v>
      </c>
      <c r="D7" s="157">
        <v>45688</v>
      </c>
      <c r="E7" s="158">
        <v>45716</v>
      </c>
      <c r="F7" s="159" t="s">
        <v>457</v>
      </c>
      <c r="G7" s="159" t="s">
        <v>458</v>
      </c>
      <c r="H7" s="159" t="s">
        <v>463</v>
      </c>
      <c r="I7" s="160" t="s">
        <v>459</v>
      </c>
      <c r="J7" s="159" t="s">
        <v>461</v>
      </c>
      <c r="K7" s="168" t="s">
        <v>460</v>
      </c>
      <c r="L7" s="169">
        <v>88902000</v>
      </c>
      <c r="M7" s="162">
        <v>2134000</v>
      </c>
      <c r="N7" s="206">
        <f>SUM(표1_6[[#This Row],[본 공사 금액]:[추가 공사 금액]])</f>
        <v>91036000</v>
      </c>
      <c r="O7" s="162">
        <v>28792182</v>
      </c>
      <c r="P7" s="163">
        <v>0.34</v>
      </c>
      <c r="Q7" s="164" t="s">
        <v>462</v>
      </c>
      <c r="R7" s="123" t="s">
        <v>444</v>
      </c>
      <c r="S7" s="123" t="s">
        <v>443</v>
      </c>
      <c r="T7" s="123" t="s">
        <v>464</v>
      </c>
      <c r="U7" s="124" t="s">
        <v>501</v>
      </c>
      <c r="V7" s="287"/>
    </row>
    <row r="8" spans="1:22" s="3" customFormat="1" x14ac:dyDescent="0.3">
      <c r="A8" s="159" t="s">
        <v>471</v>
      </c>
      <c r="B8" s="123" t="s">
        <v>471</v>
      </c>
      <c r="C8" s="170" t="s">
        <v>473</v>
      </c>
      <c r="D8" s="157" t="s">
        <v>473</v>
      </c>
      <c r="E8" s="157" t="s">
        <v>473</v>
      </c>
      <c r="F8" s="159" t="s">
        <v>471</v>
      </c>
      <c r="G8" s="159" t="s">
        <v>472</v>
      </c>
      <c r="H8" s="159"/>
      <c r="I8" s="160" t="s">
        <v>459</v>
      </c>
      <c r="J8" s="159"/>
      <c r="K8" s="159"/>
      <c r="L8" s="161">
        <v>814000</v>
      </c>
      <c r="M8" s="162"/>
      <c r="N8" s="206">
        <f>SUM(표1_6[[#This Row],[본 공사 금액]:[추가 공사 금액]])</f>
        <v>814000</v>
      </c>
      <c r="O8" s="162">
        <v>154000</v>
      </c>
      <c r="P8" s="163">
        <v>0.21</v>
      </c>
      <c r="Q8" s="164"/>
      <c r="R8" s="123"/>
      <c r="S8" s="123"/>
      <c r="T8" s="123"/>
      <c r="U8" s="124"/>
      <c r="V8" s="287"/>
    </row>
    <row r="9" spans="1:22" s="3" customFormat="1" ht="18.75" customHeight="1" x14ac:dyDescent="0.3">
      <c r="A9" s="159" t="s">
        <v>474</v>
      </c>
      <c r="B9" s="123" t="s">
        <v>474</v>
      </c>
      <c r="C9" s="170" t="s">
        <v>473</v>
      </c>
      <c r="D9" s="157" t="s">
        <v>473</v>
      </c>
      <c r="E9" s="157" t="s">
        <v>473</v>
      </c>
      <c r="F9" s="159" t="s">
        <v>474</v>
      </c>
      <c r="G9" s="159" t="s">
        <v>498</v>
      </c>
      <c r="H9" s="159"/>
      <c r="I9" s="160" t="s">
        <v>459</v>
      </c>
      <c r="J9" s="159"/>
      <c r="K9" s="159"/>
      <c r="L9" s="161">
        <v>8019000</v>
      </c>
      <c r="M9" s="162"/>
      <c r="N9" s="206">
        <f>SUM(표1_6[[#This Row],[본 공사 금액]:[추가 공사 금액]])</f>
        <v>8019000</v>
      </c>
      <c r="O9" s="162">
        <v>1480000</v>
      </c>
      <c r="P9" s="163">
        <v>0.2</v>
      </c>
      <c r="Q9" s="164"/>
      <c r="R9" s="123"/>
      <c r="S9" s="123"/>
      <c r="T9" s="123"/>
      <c r="U9" s="124" t="s">
        <v>499</v>
      </c>
      <c r="V9" s="287"/>
    </row>
    <row r="10" spans="1:22" s="3" customFormat="1" x14ac:dyDescent="0.3">
      <c r="A10" s="159" t="s">
        <v>540</v>
      </c>
      <c r="B10" s="123" t="s">
        <v>475</v>
      </c>
      <c r="C10" s="170" t="s">
        <v>473</v>
      </c>
      <c r="D10" s="157" t="s">
        <v>473</v>
      </c>
      <c r="E10" s="157" t="s">
        <v>473</v>
      </c>
      <c r="F10" s="159" t="s">
        <v>540</v>
      </c>
      <c r="G10" s="159" t="s">
        <v>476</v>
      </c>
      <c r="H10" s="159"/>
      <c r="I10" s="160"/>
      <c r="J10" s="159"/>
      <c r="K10" s="159"/>
      <c r="L10" s="161">
        <v>3300000</v>
      </c>
      <c r="M10" s="162"/>
      <c r="N10" s="206">
        <f>SUM(표1_6[[#This Row],[본 공사 금액]:[추가 공사 금액]])</f>
        <v>3300000</v>
      </c>
      <c r="O10" s="162">
        <v>1200000</v>
      </c>
      <c r="P10" s="163">
        <v>0.55000000000000004</v>
      </c>
      <c r="Q10" s="164"/>
      <c r="R10" s="123"/>
      <c r="S10" s="123"/>
      <c r="T10" s="123"/>
      <c r="U10" s="124"/>
      <c r="V10" s="287"/>
    </row>
    <row r="11" spans="1:22" s="3" customFormat="1" ht="18" thickBot="1" x14ac:dyDescent="0.35">
      <c r="A11" s="213" t="s">
        <v>485</v>
      </c>
      <c r="B11" s="171" t="s">
        <v>479</v>
      </c>
      <c r="C11" s="214">
        <v>45721</v>
      </c>
      <c r="D11" s="215">
        <v>45721</v>
      </c>
      <c r="E11" s="216">
        <v>45763</v>
      </c>
      <c r="F11" s="213" t="s">
        <v>485</v>
      </c>
      <c r="G11" s="213" t="s">
        <v>484</v>
      </c>
      <c r="H11" s="213" t="s">
        <v>488</v>
      </c>
      <c r="I11" s="217" t="s">
        <v>489</v>
      </c>
      <c r="J11" s="213" t="s">
        <v>490</v>
      </c>
      <c r="K11" s="218" t="s">
        <v>491</v>
      </c>
      <c r="L11" s="219">
        <v>160413000</v>
      </c>
      <c r="M11" s="220">
        <v>8536000</v>
      </c>
      <c r="N11" s="221">
        <f>SUM(표1_6[[#This Row],[본 공사 금액]:[추가 공사 금액]])</f>
        <v>168949000</v>
      </c>
      <c r="O11" s="220">
        <v>55935688</v>
      </c>
      <c r="P11" s="222">
        <v>0.36</v>
      </c>
      <c r="Q11" s="223" t="s">
        <v>462</v>
      </c>
      <c r="R11" s="171" t="s">
        <v>444</v>
      </c>
      <c r="S11" s="171" t="s">
        <v>443</v>
      </c>
      <c r="T11" s="171" t="s">
        <v>464</v>
      </c>
      <c r="U11" s="124"/>
      <c r="V11" s="287"/>
    </row>
    <row r="12" spans="1:22" s="3" customFormat="1" ht="18" thickBot="1" x14ac:dyDescent="0.35">
      <c r="A12" s="233" t="s">
        <v>492</v>
      </c>
      <c r="B12" s="234" t="s">
        <v>646</v>
      </c>
      <c r="C12" s="235">
        <v>45723</v>
      </c>
      <c r="D12" s="236">
        <v>45733</v>
      </c>
      <c r="E12" s="237">
        <v>45822</v>
      </c>
      <c r="F12" s="238" t="s">
        <v>492</v>
      </c>
      <c r="G12" s="238" t="s">
        <v>493</v>
      </c>
      <c r="H12" s="238" t="s">
        <v>493</v>
      </c>
      <c r="I12" s="239" t="s">
        <v>391</v>
      </c>
      <c r="J12" s="240" t="s">
        <v>447</v>
      </c>
      <c r="K12" s="238" t="s">
        <v>494</v>
      </c>
      <c r="L12" s="241">
        <v>275000000</v>
      </c>
      <c r="M12" s="242">
        <v>12617000</v>
      </c>
      <c r="N12" s="243">
        <f>SUM(표1_6[[#This Row],[본 공사 금액]:[추가 공사 금액]])</f>
        <v>287617000</v>
      </c>
      <c r="O12" s="242">
        <v>17380423</v>
      </c>
      <c r="P12" s="244">
        <v>0.1</v>
      </c>
      <c r="Q12" s="245" t="s">
        <v>495</v>
      </c>
      <c r="R12" s="246" t="s">
        <v>497</v>
      </c>
      <c r="S12" s="246" t="s">
        <v>443</v>
      </c>
      <c r="T12" s="246" t="s">
        <v>496</v>
      </c>
      <c r="U12" s="234" t="s">
        <v>726</v>
      </c>
      <c r="V12" s="287"/>
    </row>
    <row r="13" spans="1:22" hidden="1" x14ac:dyDescent="0.3">
      <c r="A13" s="224"/>
      <c r="B13" s="40" t="s">
        <v>510</v>
      </c>
      <c r="C13" s="225" t="s">
        <v>473</v>
      </c>
      <c r="D13" s="226" t="s">
        <v>473</v>
      </c>
      <c r="E13" s="226" t="s">
        <v>473</v>
      </c>
      <c r="F13" s="224"/>
      <c r="G13" s="224"/>
      <c r="H13" s="224"/>
      <c r="I13" s="227"/>
      <c r="J13" s="224"/>
      <c r="K13" s="224"/>
      <c r="L13" s="84">
        <v>3300000</v>
      </c>
      <c r="M13" s="228"/>
      <c r="N13" s="229">
        <f>SUM(표1_6[[#This Row],[본 공사 금액]:[추가 공사 금액]])</f>
        <v>3300000</v>
      </c>
      <c r="O13" s="228">
        <v>3300000</v>
      </c>
      <c r="P13" s="230">
        <v>1</v>
      </c>
      <c r="Q13" s="231"/>
      <c r="R13" s="232"/>
      <c r="S13" s="232"/>
      <c r="T13" s="232"/>
      <c r="U13" s="40" t="s">
        <v>512</v>
      </c>
      <c r="V13" s="288"/>
    </row>
    <row r="14" spans="1:22" s="3" customFormat="1" x14ac:dyDescent="0.3">
      <c r="A14" s="188" t="s">
        <v>503</v>
      </c>
      <c r="B14" s="124" t="s">
        <v>502</v>
      </c>
      <c r="C14" s="166">
        <v>45736</v>
      </c>
      <c r="D14" s="157">
        <v>45737</v>
      </c>
      <c r="E14" s="158">
        <v>45750</v>
      </c>
      <c r="F14" s="159" t="s">
        <v>503</v>
      </c>
      <c r="G14" s="159" t="s">
        <v>504</v>
      </c>
      <c r="H14" s="159" t="s">
        <v>505</v>
      </c>
      <c r="I14" s="160" t="s">
        <v>459</v>
      </c>
      <c r="J14" s="159" t="s">
        <v>514</v>
      </c>
      <c r="K14" s="168" t="s">
        <v>506</v>
      </c>
      <c r="L14" s="169">
        <v>40000000</v>
      </c>
      <c r="M14" s="162"/>
      <c r="N14" s="206">
        <f>SUM(표1_6[[#This Row],[본 공사 금액]:[추가 공사 금액]])</f>
        <v>40000000</v>
      </c>
      <c r="O14" s="162">
        <v>10606044</v>
      </c>
      <c r="P14" s="163">
        <v>0.28999999999999998</v>
      </c>
      <c r="Q14" s="164" t="s">
        <v>507</v>
      </c>
      <c r="R14" s="123" t="s">
        <v>444</v>
      </c>
      <c r="S14" s="123" t="s">
        <v>443</v>
      </c>
      <c r="T14" s="123" t="s">
        <v>508</v>
      </c>
      <c r="U14" s="124"/>
      <c r="V14" s="287"/>
    </row>
    <row r="15" spans="1:22" hidden="1" x14ac:dyDescent="0.3">
      <c r="A15" s="74" t="s">
        <v>515</v>
      </c>
      <c r="B15" s="40" t="s">
        <v>509</v>
      </c>
      <c r="C15" s="46">
        <v>45744</v>
      </c>
      <c r="D15" s="73">
        <v>45747</v>
      </c>
      <c r="E15" s="80">
        <v>45747</v>
      </c>
      <c r="F15" s="74" t="s">
        <v>515</v>
      </c>
      <c r="G15" s="74" t="s">
        <v>516</v>
      </c>
      <c r="H15" s="74" t="s">
        <v>140</v>
      </c>
      <c r="I15" s="75" t="s">
        <v>430</v>
      </c>
      <c r="J15" s="74" t="s">
        <v>447</v>
      </c>
      <c r="K15" s="74" t="s">
        <v>517</v>
      </c>
      <c r="L15" s="76">
        <v>2530000</v>
      </c>
      <c r="M15" s="77"/>
      <c r="N15" s="207">
        <f>SUM(표1_6[[#This Row],[본 공사 금액]:[추가 공사 금액]])</f>
        <v>2530000</v>
      </c>
      <c r="O15" s="77">
        <v>830000</v>
      </c>
      <c r="P15" s="78">
        <v>0.36</v>
      </c>
      <c r="Q15" s="40" t="s">
        <v>518</v>
      </c>
      <c r="R15" s="37"/>
      <c r="S15" s="37"/>
      <c r="T15" s="37" t="s">
        <v>519</v>
      </c>
      <c r="U15" s="40" t="s">
        <v>513</v>
      </c>
      <c r="V15" s="288"/>
    </row>
    <row r="16" spans="1:22" hidden="1" x14ac:dyDescent="0.3">
      <c r="A16" s="74" t="s">
        <v>540</v>
      </c>
      <c r="B16" s="124" t="s">
        <v>520</v>
      </c>
      <c r="C16" s="45" t="s">
        <v>473</v>
      </c>
      <c r="D16" s="73" t="s">
        <v>473</v>
      </c>
      <c r="E16" s="73" t="s">
        <v>473</v>
      </c>
      <c r="F16" s="74" t="s">
        <v>540</v>
      </c>
      <c r="G16" s="74"/>
      <c r="H16" s="74"/>
      <c r="I16" s="75"/>
      <c r="J16" s="74"/>
      <c r="K16" s="74"/>
      <c r="L16" s="76">
        <v>660000</v>
      </c>
      <c r="M16" s="77"/>
      <c r="N16" s="207">
        <f>SUM(표1_6[[#This Row],[본 공사 금액]:[추가 공사 금액]])</f>
        <v>660000</v>
      </c>
      <c r="O16" s="77">
        <v>236363</v>
      </c>
      <c r="P16" s="78">
        <v>0.44</v>
      </c>
      <c r="Q16" s="39"/>
      <c r="R16" s="37"/>
      <c r="S16" s="37"/>
      <c r="T16" s="37"/>
      <c r="U16" s="40"/>
      <c r="V16" s="288"/>
    </row>
    <row r="17" spans="1:22" s="3" customFormat="1" x14ac:dyDescent="0.3">
      <c r="A17" s="159" t="s">
        <v>524</v>
      </c>
      <c r="B17" s="124" t="s">
        <v>521</v>
      </c>
      <c r="C17" s="166">
        <v>45751</v>
      </c>
      <c r="D17" s="157">
        <v>45752</v>
      </c>
      <c r="E17" s="158">
        <v>45775</v>
      </c>
      <c r="F17" s="159" t="s">
        <v>524</v>
      </c>
      <c r="G17" s="159" t="s">
        <v>525</v>
      </c>
      <c r="H17" s="159" t="s">
        <v>525</v>
      </c>
      <c r="I17" s="160" t="s">
        <v>430</v>
      </c>
      <c r="J17" s="159"/>
      <c r="K17" s="159"/>
      <c r="L17" s="161">
        <v>16379000</v>
      </c>
      <c r="M17" s="162">
        <v>4510000</v>
      </c>
      <c r="N17" s="206">
        <f>SUM(표1_6[[#This Row],[본 공사 금액]:[추가 공사 금액]])</f>
        <v>20889000</v>
      </c>
      <c r="O17" s="162">
        <v>9722496</v>
      </c>
      <c r="P17" s="163">
        <v>0.51</v>
      </c>
      <c r="Q17" s="164" t="s">
        <v>526</v>
      </c>
      <c r="R17" s="123"/>
      <c r="S17" s="123" t="s">
        <v>443</v>
      </c>
      <c r="T17" s="123" t="s">
        <v>527</v>
      </c>
      <c r="U17" s="124"/>
      <c r="V17" s="287"/>
    </row>
    <row r="18" spans="1:22" x14ac:dyDescent="0.3">
      <c r="A18" s="188" t="s">
        <v>524</v>
      </c>
      <c r="B18" s="124" t="s">
        <v>522</v>
      </c>
      <c r="C18" s="166">
        <v>45756</v>
      </c>
      <c r="D18" s="157">
        <v>45757</v>
      </c>
      <c r="E18" s="158">
        <v>45777</v>
      </c>
      <c r="F18" s="159" t="s">
        <v>524</v>
      </c>
      <c r="G18" s="159" t="s">
        <v>529</v>
      </c>
      <c r="H18" s="159" t="s">
        <v>528</v>
      </c>
      <c r="I18" s="160" t="s">
        <v>430</v>
      </c>
      <c r="J18" s="159" t="s">
        <v>447</v>
      </c>
      <c r="K18" s="159" t="s">
        <v>530</v>
      </c>
      <c r="L18" s="161">
        <v>21000000</v>
      </c>
      <c r="M18" s="162">
        <v>150000</v>
      </c>
      <c r="N18" s="206">
        <f>SUM(표1_6[[#This Row],[본 공사 금액]:[추가 공사 금액]])</f>
        <v>21150000</v>
      </c>
      <c r="O18" s="162">
        <v>8047766</v>
      </c>
      <c r="P18" s="163">
        <v>0.42</v>
      </c>
      <c r="Q18" s="164" t="s">
        <v>531</v>
      </c>
      <c r="R18" s="123"/>
      <c r="S18" s="123" t="s">
        <v>443</v>
      </c>
      <c r="T18" s="123" t="s">
        <v>532</v>
      </c>
      <c r="U18" s="124"/>
      <c r="V18" s="287"/>
    </row>
    <row r="19" spans="1:22" s="3" customFormat="1" x14ac:dyDescent="0.3">
      <c r="A19" s="159" t="s">
        <v>533</v>
      </c>
      <c r="B19" s="191" t="s">
        <v>523</v>
      </c>
      <c r="C19" s="156">
        <v>45760</v>
      </c>
      <c r="D19" s="157">
        <v>45762</v>
      </c>
      <c r="E19" s="158">
        <v>45777</v>
      </c>
      <c r="F19" s="159" t="s">
        <v>533</v>
      </c>
      <c r="G19" s="159" t="s">
        <v>535</v>
      </c>
      <c r="H19" s="159" t="s">
        <v>534</v>
      </c>
      <c r="I19" s="160" t="s">
        <v>430</v>
      </c>
      <c r="J19" s="159" t="s">
        <v>447</v>
      </c>
      <c r="K19" s="168" t="s">
        <v>536</v>
      </c>
      <c r="L19" s="219">
        <v>29000000</v>
      </c>
      <c r="M19" s="162"/>
      <c r="N19" s="206">
        <f>SUM(표1_6[[#This Row],[본 공사 금액]:[추가 공사 금액]])</f>
        <v>29000000</v>
      </c>
      <c r="O19" s="162">
        <v>11657866</v>
      </c>
      <c r="P19" s="163">
        <v>0.44</v>
      </c>
      <c r="Q19" s="164" t="s">
        <v>537</v>
      </c>
      <c r="R19" s="123"/>
      <c r="S19" s="123" t="s">
        <v>443</v>
      </c>
      <c r="T19" s="123" t="s">
        <v>538</v>
      </c>
      <c r="U19" s="124"/>
      <c r="V19" s="287"/>
    </row>
    <row r="20" spans="1:22" s="3" customFormat="1" x14ac:dyDescent="0.3">
      <c r="A20" s="188" t="s">
        <v>542</v>
      </c>
      <c r="B20" s="171" t="s">
        <v>539</v>
      </c>
      <c r="C20" s="156">
        <v>45757</v>
      </c>
      <c r="D20" s="157">
        <v>45762</v>
      </c>
      <c r="E20" s="158">
        <v>45787</v>
      </c>
      <c r="F20" s="159" t="s">
        <v>542</v>
      </c>
      <c r="G20" s="159" t="s">
        <v>161</v>
      </c>
      <c r="H20" s="159"/>
      <c r="I20" s="160" t="s">
        <v>430</v>
      </c>
      <c r="J20" s="159" t="s">
        <v>447</v>
      </c>
      <c r="K20" s="168" t="s">
        <v>543</v>
      </c>
      <c r="L20" s="248">
        <v>39800000</v>
      </c>
      <c r="M20" s="249"/>
      <c r="N20" s="250">
        <f>SUM(표1_6[[#This Row],[본 공사 금액]:[추가 공사 금액]])</f>
        <v>39800000</v>
      </c>
      <c r="O20" s="249">
        <v>10893394</v>
      </c>
      <c r="P20" s="163">
        <v>0.3</v>
      </c>
      <c r="Q20" s="164" t="s">
        <v>544</v>
      </c>
      <c r="R20" s="123"/>
      <c r="S20" s="123" t="s">
        <v>443</v>
      </c>
      <c r="T20" s="123" t="s">
        <v>545</v>
      </c>
      <c r="U20" s="124"/>
      <c r="V20" s="287"/>
    </row>
    <row r="21" spans="1:22" hidden="1" x14ac:dyDescent="0.3">
      <c r="A21" s="74" t="s">
        <v>471</v>
      </c>
      <c r="B21" s="37" t="s">
        <v>471</v>
      </c>
      <c r="C21" s="45" t="s">
        <v>473</v>
      </c>
      <c r="D21" s="73" t="s">
        <v>473</v>
      </c>
      <c r="E21" s="73" t="s">
        <v>473</v>
      </c>
      <c r="F21" s="74" t="s">
        <v>471</v>
      </c>
      <c r="G21" s="74" t="s">
        <v>472</v>
      </c>
      <c r="H21" s="74"/>
      <c r="I21" s="75" t="s">
        <v>459</v>
      </c>
      <c r="J21" s="74"/>
      <c r="K21" s="74"/>
      <c r="L21" s="84">
        <v>396000</v>
      </c>
      <c r="M21" s="77"/>
      <c r="N21" s="207">
        <f>SUM(표1_6[[#This Row],[본 공사 금액]:[추가 공사 금액]])</f>
        <v>396000</v>
      </c>
      <c r="O21" s="77">
        <v>74000</v>
      </c>
      <c r="P21" s="78">
        <v>0.21</v>
      </c>
      <c r="Q21" s="39"/>
      <c r="R21" s="37"/>
      <c r="S21" s="37"/>
      <c r="T21" s="37"/>
      <c r="U21" s="40"/>
      <c r="V21" s="288"/>
    </row>
    <row r="22" spans="1:22" hidden="1" x14ac:dyDescent="0.3">
      <c r="A22" s="74" t="s">
        <v>471</v>
      </c>
      <c r="B22" s="37" t="s">
        <v>471</v>
      </c>
      <c r="C22" s="45" t="s">
        <v>473</v>
      </c>
      <c r="D22" s="73" t="s">
        <v>473</v>
      </c>
      <c r="E22" s="73" t="s">
        <v>473</v>
      </c>
      <c r="F22" s="74" t="s">
        <v>471</v>
      </c>
      <c r="G22" s="74" t="s">
        <v>472</v>
      </c>
      <c r="H22" s="74"/>
      <c r="I22" s="75" t="s">
        <v>459</v>
      </c>
      <c r="J22" s="74"/>
      <c r="K22" s="74"/>
      <c r="L22" s="76">
        <v>979000</v>
      </c>
      <c r="M22" s="77"/>
      <c r="N22" s="207">
        <f>SUM(표1_6[[#This Row],[본 공사 금액]:[추가 공사 금액]])</f>
        <v>979000</v>
      </c>
      <c r="O22" s="77">
        <v>304000</v>
      </c>
      <c r="P22" s="78">
        <v>0.21</v>
      </c>
      <c r="Q22" s="39"/>
      <c r="R22" s="37"/>
      <c r="S22" s="37"/>
      <c r="T22" s="37"/>
      <c r="U22" s="40"/>
      <c r="V22" s="288"/>
    </row>
    <row r="23" spans="1:22" hidden="1" x14ac:dyDescent="0.3">
      <c r="A23" s="74" t="s">
        <v>540</v>
      </c>
      <c r="B23" s="123" t="s">
        <v>582</v>
      </c>
      <c r="C23" s="45" t="s">
        <v>473</v>
      </c>
      <c r="D23" s="73" t="s">
        <v>473</v>
      </c>
      <c r="E23" s="73" t="s">
        <v>473</v>
      </c>
      <c r="F23" s="74" t="s">
        <v>540</v>
      </c>
      <c r="G23" s="74"/>
      <c r="H23" s="74"/>
      <c r="I23" s="75"/>
      <c r="J23" s="74"/>
      <c r="K23" s="74"/>
      <c r="L23" s="76">
        <v>660000</v>
      </c>
      <c r="M23" s="77"/>
      <c r="N23" s="207">
        <f>SUM(표1_6[[#This Row],[본 공사 금액]:[추가 공사 금액]])</f>
        <v>660000</v>
      </c>
      <c r="O23" s="77">
        <v>200000</v>
      </c>
      <c r="P23" s="78">
        <v>0.44</v>
      </c>
      <c r="Q23" s="39"/>
      <c r="R23" s="37"/>
      <c r="S23" s="37"/>
      <c r="T23" s="37"/>
      <c r="U23" s="40"/>
      <c r="V23" s="288"/>
    </row>
    <row r="24" spans="1:22" s="3" customFormat="1" x14ac:dyDescent="0.3">
      <c r="A24" s="188" t="s">
        <v>559</v>
      </c>
      <c r="B24" s="191" t="s">
        <v>541</v>
      </c>
      <c r="C24" s="156">
        <v>45777</v>
      </c>
      <c r="D24" s="157">
        <v>45742</v>
      </c>
      <c r="E24" s="158">
        <v>45813</v>
      </c>
      <c r="F24" s="159" t="s">
        <v>559</v>
      </c>
      <c r="G24" s="159" t="s">
        <v>560</v>
      </c>
      <c r="H24" s="159" t="s">
        <v>560</v>
      </c>
      <c r="I24" s="160"/>
      <c r="J24" s="159"/>
      <c r="K24" s="159"/>
      <c r="L24" s="161">
        <v>72000000</v>
      </c>
      <c r="M24" s="162">
        <v>5016000</v>
      </c>
      <c r="N24" s="206">
        <f>SUM(표1_6[[#This Row],[본 공사 금액]:[추가 공사 금액]])</f>
        <v>77016000</v>
      </c>
      <c r="O24" s="162">
        <v>23206242</v>
      </c>
      <c r="P24" s="163">
        <v>0.34</v>
      </c>
      <c r="Q24" s="164"/>
      <c r="R24" s="123"/>
      <c r="S24" s="123"/>
      <c r="T24" s="123"/>
      <c r="U24" s="124"/>
      <c r="V24" s="287"/>
    </row>
    <row r="25" spans="1:22" s="5" customFormat="1" hidden="1" x14ac:dyDescent="0.3">
      <c r="A25" s="130" t="s">
        <v>561</v>
      </c>
      <c r="B25" s="126" t="s">
        <v>583</v>
      </c>
      <c r="C25" s="127">
        <v>45792</v>
      </c>
      <c r="D25" s="128">
        <v>45803</v>
      </c>
      <c r="E25" s="129">
        <v>45853</v>
      </c>
      <c r="F25" s="130" t="s">
        <v>561</v>
      </c>
      <c r="G25" s="130" t="s">
        <v>562</v>
      </c>
      <c r="H25" s="130"/>
      <c r="I25" s="131"/>
      <c r="J25" s="130"/>
      <c r="K25" s="130"/>
      <c r="L25" s="132">
        <v>52800000</v>
      </c>
      <c r="M25" s="133">
        <v>6468000</v>
      </c>
      <c r="N25" s="208">
        <f>SUM(표1_6[[#This Row],[본 공사 금액]:[추가 공사 금액]])</f>
        <v>59268000</v>
      </c>
      <c r="O25" s="133">
        <v>18357259</v>
      </c>
      <c r="P25" s="134">
        <v>0.38</v>
      </c>
      <c r="Q25" s="135"/>
      <c r="R25" s="126"/>
      <c r="S25" s="126"/>
      <c r="T25" s="126"/>
      <c r="U25" s="136"/>
      <c r="V25" s="13"/>
    </row>
    <row r="26" spans="1:22" hidden="1" x14ac:dyDescent="0.3">
      <c r="A26" s="74" t="s">
        <v>577</v>
      </c>
      <c r="B26" s="37" t="s">
        <v>547</v>
      </c>
      <c r="C26" s="43">
        <v>45803</v>
      </c>
      <c r="D26" s="73">
        <v>45803</v>
      </c>
      <c r="E26" s="80">
        <v>45811</v>
      </c>
      <c r="F26" s="74" t="s">
        <v>577</v>
      </c>
      <c r="G26" s="74" t="s">
        <v>578</v>
      </c>
      <c r="H26" s="74" t="s">
        <v>578</v>
      </c>
      <c r="I26" s="75" t="s">
        <v>579</v>
      </c>
      <c r="J26" s="74"/>
      <c r="K26" s="74" t="s">
        <v>580</v>
      </c>
      <c r="L26" s="76">
        <v>2800000</v>
      </c>
      <c r="M26" s="77">
        <v>165000</v>
      </c>
      <c r="N26" s="207">
        <f>SUM(표1_6[[#This Row],[본 공사 금액]:[추가 공사 금액]])</f>
        <v>2965000</v>
      </c>
      <c r="O26" s="77">
        <v>1135181</v>
      </c>
      <c r="P26" s="78">
        <v>0.43</v>
      </c>
      <c r="Q26" s="39"/>
      <c r="R26" s="37"/>
      <c r="S26" s="37"/>
      <c r="T26" s="37"/>
      <c r="U26" s="40"/>
      <c r="V26" s="288"/>
    </row>
    <row r="27" spans="1:22" s="3" customFormat="1" x14ac:dyDescent="0.3">
      <c r="A27" s="159" t="s">
        <v>553</v>
      </c>
      <c r="B27" s="123" t="s">
        <v>546</v>
      </c>
      <c r="C27" s="156">
        <v>45818</v>
      </c>
      <c r="D27" s="157">
        <v>45823</v>
      </c>
      <c r="E27" s="158">
        <v>45858</v>
      </c>
      <c r="F27" s="159" t="s">
        <v>553</v>
      </c>
      <c r="G27" s="159" t="s">
        <v>554</v>
      </c>
      <c r="H27" s="159" t="s">
        <v>554</v>
      </c>
      <c r="I27" s="160" t="s">
        <v>430</v>
      </c>
      <c r="J27" s="159"/>
      <c r="K27" s="159" t="s">
        <v>555</v>
      </c>
      <c r="L27" s="161">
        <v>83985000</v>
      </c>
      <c r="M27" s="162">
        <v>27500000</v>
      </c>
      <c r="N27" s="206">
        <f>SUM(표1_6[[#This Row],[본 공사 금액]:[추가 공사 금액]])</f>
        <v>111485000</v>
      </c>
      <c r="O27" s="162">
        <v>31356294</v>
      </c>
      <c r="P27" s="163">
        <v>0.31</v>
      </c>
      <c r="Q27" s="164" t="s">
        <v>556</v>
      </c>
      <c r="R27" s="123" t="s">
        <v>444</v>
      </c>
      <c r="S27" s="123" t="s">
        <v>443</v>
      </c>
      <c r="T27" s="123" t="s">
        <v>557</v>
      </c>
      <c r="U27" s="124"/>
      <c r="V27" s="287"/>
    </row>
    <row r="28" spans="1:22" ht="13.5" hidden="1" customHeight="1" x14ac:dyDescent="0.3">
      <c r="A28" s="74" t="s">
        <v>548</v>
      </c>
      <c r="B28" s="37" t="s">
        <v>549</v>
      </c>
      <c r="C28" s="45" t="s">
        <v>473</v>
      </c>
      <c r="D28" s="73" t="s">
        <v>473</v>
      </c>
      <c r="E28" s="73" t="s">
        <v>473</v>
      </c>
      <c r="F28" s="74" t="s">
        <v>548</v>
      </c>
      <c r="G28" s="74"/>
      <c r="H28" s="74"/>
      <c r="I28" s="75"/>
      <c r="J28" s="74"/>
      <c r="K28" s="74"/>
      <c r="L28" s="76">
        <v>2700000</v>
      </c>
      <c r="M28" s="77"/>
      <c r="N28" s="207">
        <f>SUM(표1_6[[#This Row],[본 공사 금액]:[추가 공사 금액]])</f>
        <v>2700000</v>
      </c>
      <c r="O28" s="77">
        <v>760908</v>
      </c>
      <c r="P28" s="78">
        <v>0.31</v>
      </c>
      <c r="Q28" s="39"/>
      <c r="R28" s="37"/>
      <c r="S28" s="37"/>
      <c r="T28" s="37"/>
      <c r="U28" s="40"/>
      <c r="V28" s="288"/>
    </row>
    <row r="29" spans="1:22" s="3" customFormat="1" ht="18" thickBot="1" x14ac:dyDescent="0.35">
      <c r="A29" s="213" t="s">
        <v>551</v>
      </c>
      <c r="B29" s="171" t="s">
        <v>550</v>
      </c>
      <c r="C29" s="214">
        <v>45831</v>
      </c>
      <c r="D29" s="215">
        <v>45831</v>
      </c>
      <c r="E29" s="216">
        <v>45861</v>
      </c>
      <c r="F29" s="213" t="s">
        <v>551</v>
      </c>
      <c r="G29" s="213" t="s">
        <v>728</v>
      </c>
      <c r="H29" s="213" t="s">
        <v>552</v>
      </c>
      <c r="I29" s="217" t="s">
        <v>430</v>
      </c>
      <c r="J29" s="213"/>
      <c r="K29" s="213" t="s">
        <v>727</v>
      </c>
      <c r="L29" s="251">
        <v>53119000</v>
      </c>
      <c r="M29" s="220">
        <v>15114000</v>
      </c>
      <c r="N29" s="221">
        <f>SUM(표1_6[[#This Row],[본 공사 금액]:[추가 공사 금액]])</f>
        <v>68233000</v>
      </c>
      <c r="O29" s="220">
        <v>12086038</v>
      </c>
      <c r="P29" s="222">
        <v>0.26</v>
      </c>
      <c r="Q29" s="223" t="s">
        <v>729</v>
      </c>
      <c r="R29" s="171" t="s">
        <v>444</v>
      </c>
      <c r="S29" s="171" t="s">
        <v>443</v>
      </c>
      <c r="T29" s="171" t="s">
        <v>465</v>
      </c>
      <c r="U29" s="124"/>
      <c r="V29" s="287"/>
    </row>
    <row r="30" spans="1:22" s="3" customFormat="1" ht="18" thickBot="1" x14ac:dyDescent="0.35">
      <c r="A30" s="233" t="s">
        <v>558</v>
      </c>
      <c r="B30" s="246" t="s">
        <v>645</v>
      </c>
      <c r="C30" s="247">
        <v>45828</v>
      </c>
      <c r="D30" s="236" t="s">
        <v>725</v>
      </c>
      <c r="E30" s="237">
        <v>45869</v>
      </c>
      <c r="F30" s="238" t="s">
        <v>558</v>
      </c>
      <c r="G30" s="238" t="s">
        <v>493</v>
      </c>
      <c r="H30" s="238" t="s">
        <v>493</v>
      </c>
      <c r="I30" s="239" t="s">
        <v>391</v>
      </c>
      <c r="J30" s="238"/>
      <c r="K30" s="238" t="s">
        <v>494</v>
      </c>
      <c r="L30" s="241">
        <v>178000000</v>
      </c>
      <c r="M30" s="242"/>
      <c r="N30" s="243">
        <f>SUM(표1_6[[#This Row],[본 공사 금액]:[추가 공사 금액]])</f>
        <v>178000000</v>
      </c>
      <c r="O30" s="242">
        <v>60816168</v>
      </c>
      <c r="P30" s="244">
        <v>0.38</v>
      </c>
      <c r="Q30" s="245" t="s">
        <v>495</v>
      </c>
      <c r="R30" s="246" t="s">
        <v>444</v>
      </c>
      <c r="S30" s="246" t="s">
        <v>443</v>
      </c>
      <c r="T30" s="246" t="s">
        <v>496</v>
      </c>
      <c r="U30" s="234" t="s">
        <v>724</v>
      </c>
      <c r="V30" s="287"/>
    </row>
    <row r="31" spans="1:22" s="264" customFormat="1" x14ac:dyDescent="0.3">
      <c r="A31" s="252" t="s">
        <v>565</v>
      </c>
      <c r="B31" s="253" t="s">
        <v>563</v>
      </c>
      <c r="C31" s="254">
        <v>45845</v>
      </c>
      <c r="D31" s="255"/>
      <c r="E31" s="256">
        <v>45901</v>
      </c>
      <c r="F31" s="252" t="s">
        <v>565</v>
      </c>
      <c r="G31" s="252" t="s">
        <v>566</v>
      </c>
      <c r="H31" s="252" t="s">
        <v>567</v>
      </c>
      <c r="I31" s="257" t="s">
        <v>568</v>
      </c>
      <c r="J31" s="252"/>
      <c r="K31" s="252"/>
      <c r="L31" s="258">
        <v>36905000</v>
      </c>
      <c r="M31" s="259"/>
      <c r="N31" s="260">
        <f>SUM(표1_6[[#This Row],[본 공사 금액]:[추가 공사 금액]])</f>
        <v>36905000</v>
      </c>
      <c r="O31" s="259">
        <v>17411938</v>
      </c>
      <c r="P31" s="261">
        <v>0.53</v>
      </c>
      <c r="Q31" s="262" t="s">
        <v>722</v>
      </c>
      <c r="R31" s="253" t="s">
        <v>444</v>
      </c>
      <c r="S31" s="253" t="s">
        <v>443</v>
      </c>
      <c r="T31" s="253" t="s">
        <v>569</v>
      </c>
      <c r="U31" s="263" t="s">
        <v>730</v>
      </c>
      <c r="V31" s="289"/>
    </row>
    <row r="32" spans="1:22" s="3" customFormat="1" x14ac:dyDescent="0.3">
      <c r="A32" s="188" t="s">
        <v>570</v>
      </c>
      <c r="B32" s="123" t="s">
        <v>564</v>
      </c>
      <c r="C32" s="156">
        <v>45839</v>
      </c>
      <c r="D32" s="157">
        <v>45842</v>
      </c>
      <c r="E32" s="158">
        <v>45852</v>
      </c>
      <c r="F32" s="159" t="s">
        <v>570</v>
      </c>
      <c r="G32" s="159" t="s">
        <v>571</v>
      </c>
      <c r="H32" s="159" t="s">
        <v>570</v>
      </c>
      <c r="I32" s="160" t="s">
        <v>430</v>
      </c>
      <c r="J32" s="159"/>
      <c r="K32" s="159" t="s">
        <v>572</v>
      </c>
      <c r="L32" s="161">
        <v>7752566</v>
      </c>
      <c r="M32" s="162"/>
      <c r="N32" s="206">
        <f>SUM(표1_6[[#This Row],[본 공사 금액]:[추가 공사 금액]])</f>
        <v>7752566</v>
      </c>
      <c r="O32" s="162">
        <v>3592613</v>
      </c>
      <c r="P32" s="163">
        <v>0.51</v>
      </c>
      <c r="Q32" s="164" t="s">
        <v>573</v>
      </c>
      <c r="R32" s="123" t="s">
        <v>444</v>
      </c>
      <c r="S32" s="123" t="s">
        <v>443</v>
      </c>
      <c r="T32" s="123" t="s">
        <v>574</v>
      </c>
      <c r="U32" s="124"/>
      <c r="V32" s="287"/>
    </row>
    <row r="33" spans="1:22" hidden="1" x14ac:dyDescent="0.3">
      <c r="A33" s="73" t="s">
        <v>576</v>
      </c>
      <c r="B33" s="38" t="s">
        <v>576</v>
      </c>
      <c r="C33" s="45" t="s">
        <v>473</v>
      </c>
      <c r="D33" s="73" t="s">
        <v>473</v>
      </c>
      <c r="E33" s="73" t="s">
        <v>473</v>
      </c>
      <c r="F33" s="73" t="s">
        <v>576</v>
      </c>
      <c r="G33" s="75"/>
      <c r="H33" s="74"/>
      <c r="I33" s="74"/>
      <c r="J33" s="85"/>
      <c r="K33" s="76"/>
      <c r="L33" s="76">
        <v>2838000</v>
      </c>
      <c r="M33" s="86"/>
      <c r="N33" s="209">
        <f>SUM(표1_6[[#This Row],[본 공사 금액]:[추가 공사 금액]])</f>
        <v>2838000</v>
      </c>
      <c r="O33" s="121">
        <v>2838000</v>
      </c>
      <c r="P33" s="78">
        <v>1</v>
      </c>
      <c r="Q33" s="37"/>
      <c r="R33" s="37"/>
      <c r="S33" s="37"/>
      <c r="T33" s="37"/>
      <c r="U33" s="40"/>
      <c r="V33" s="288"/>
    </row>
    <row r="34" spans="1:22" hidden="1" x14ac:dyDescent="0.3">
      <c r="A34" s="74" t="s">
        <v>540</v>
      </c>
      <c r="B34" s="123" t="s">
        <v>582</v>
      </c>
      <c r="C34" s="45" t="s">
        <v>473</v>
      </c>
      <c r="D34" s="73" t="s">
        <v>473</v>
      </c>
      <c r="E34" s="73" t="s">
        <v>473</v>
      </c>
      <c r="F34" s="74" t="s">
        <v>540</v>
      </c>
      <c r="G34" s="74"/>
      <c r="H34" s="74"/>
      <c r="I34" s="75"/>
      <c r="J34" s="74"/>
      <c r="K34" s="74"/>
      <c r="L34" s="76">
        <v>990000</v>
      </c>
      <c r="M34" s="77"/>
      <c r="N34" s="207">
        <f>SUM(표1_6[[#This Row],[본 공사 금액]:[추가 공사 금액]])</f>
        <v>990000</v>
      </c>
      <c r="O34" s="77">
        <v>405000</v>
      </c>
      <c r="P34" s="78">
        <v>0.45</v>
      </c>
      <c r="Q34" s="39"/>
      <c r="R34" s="37"/>
      <c r="S34" s="37"/>
      <c r="T34" s="37"/>
      <c r="U34" s="40"/>
      <c r="V34" s="288"/>
    </row>
    <row r="35" spans="1:22" hidden="1" x14ac:dyDescent="0.3">
      <c r="A35" s="74" t="s">
        <v>540</v>
      </c>
      <c r="B35" s="123" t="s">
        <v>581</v>
      </c>
      <c r="C35" s="45" t="s">
        <v>473</v>
      </c>
      <c r="D35" s="73" t="s">
        <v>473</v>
      </c>
      <c r="E35" s="73" t="s">
        <v>473</v>
      </c>
      <c r="F35" s="74" t="s">
        <v>540</v>
      </c>
      <c r="G35" s="74"/>
      <c r="H35" s="74"/>
      <c r="I35" s="75"/>
      <c r="J35" s="74"/>
      <c r="K35" s="74"/>
      <c r="L35" s="76">
        <v>440000</v>
      </c>
      <c r="M35" s="77"/>
      <c r="N35" s="207">
        <f>SUM(표1_6[[#This Row],[본 공사 금액]:[추가 공사 금액]])</f>
        <v>440000</v>
      </c>
      <c r="O35" s="77">
        <v>440000</v>
      </c>
      <c r="P35" s="78">
        <v>1</v>
      </c>
      <c r="Q35" s="39"/>
      <c r="R35" s="37"/>
      <c r="S35" s="37"/>
      <c r="T35" s="37"/>
      <c r="U35" s="40"/>
      <c r="V35" s="288"/>
    </row>
    <row r="36" spans="1:22" s="3" customFormat="1" ht="18.75" customHeight="1" x14ac:dyDescent="0.3">
      <c r="A36" s="188" t="s">
        <v>597</v>
      </c>
      <c r="B36" s="123" t="s">
        <v>593</v>
      </c>
      <c r="C36" s="156">
        <v>45842</v>
      </c>
      <c r="D36" s="157">
        <v>45843</v>
      </c>
      <c r="E36" s="158">
        <v>45847</v>
      </c>
      <c r="F36" s="159" t="s">
        <v>597</v>
      </c>
      <c r="G36" s="159"/>
      <c r="H36" s="159"/>
      <c r="I36" s="160" t="s">
        <v>459</v>
      </c>
      <c r="J36" s="159" t="s">
        <v>732</v>
      </c>
      <c r="K36" s="159" t="s">
        <v>731</v>
      </c>
      <c r="L36" s="161">
        <v>6127000</v>
      </c>
      <c r="M36" s="162"/>
      <c r="N36" s="206">
        <f>SUM(표1_6[[#This Row],[본 공사 금액]:[추가 공사 금액]])</f>
        <v>6127000</v>
      </c>
      <c r="O36" s="162">
        <v>2298132</v>
      </c>
      <c r="P36" s="163">
        <v>0.41</v>
      </c>
      <c r="Q36" s="164" t="s">
        <v>598</v>
      </c>
      <c r="R36" s="123" t="s">
        <v>599</v>
      </c>
      <c r="S36" s="123" t="s">
        <v>600</v>
      </c>
      <c r="T36" s="123" t="s">
        <v>601</v>
      </c>
      <c r="U36" s="124"/>
      <c r="V36" s="287"/>
    </row>
    <row r="37" spans="1:22" s="3" customFormat="1" x14ac:dyDescent="0.3">
      <c r="A37" s="159" t="s">
        <v>588</v>
      </c>
      <c r="B37" s="123" t="s">
        <v>584</v>
      </c>
      <c r="C37" s="156">
        <v>45868</v>
      </c>
      <c r="D37" s="157">
        <v>45866</v>
      </c>
      <c r="E37" s="158">
        <v>45879</v>
      </c>
      <c r="F37" s="159" t="s">
        <v>588</v>
      </c>
      <c r="G37" s="159" t="s">
        <v>589</v>
      </c>
      <c r="H37" s="159" t="s">
        <v>590</v>
      </c>
      <c r="I37" s="160" t="s">
        <v>459</v>
      </c>
      <c r="J37" s="159" t="s">
        <v>733</v>
      </c>
      <c r="K37" s="159" t="s">
        <v>591</v>
      </c>
      <c r="L37" s="161">
        <v>94050000</v>
      </c>
      <c r="M37" s="162">
        <v>517000</v>
      </c>
      <c r="N37" s="206">
        <f>SUM(표1_6[[#This Row],[본 공사 금액]:[추가 공사 금액]])</f>
        <v>94567000</v>
      </c>
      <c r="O37" s="162">
        <v>26203955</v>
      </c>
      <c r="P37" s="163">
        <v>0.31</v>
      </c>
      <c r="Q37" s="164" t="s">
        <v>735</v>
      </c>
      <c r="R37" s="123" t="s">
        <v>599</v>
      </c>
      <c r="S37" s="123" t="s">
        <v>600</v>
      </c>
      <c r="T37" s="123" t="s">
        <v>734</v>
      </c>
      <c r="U37" s="124"/>
      <c r="V37" s="287"/>
    </row>
    <row r="38" spans="1:22" s="3" customFormat="1" x14ac:dyDescent="0.3">
      <c r="A38" s="188" t="s">
        <v>586</v>
      </c>
      <c r="B38" s="123" t="s">
        <v>585</v>
      </c>
      <c r="C38" s="156">
        <v>45861</v>
      </c>
      <c r="D38" s="157">
        <v>45861</v>
      </c>
      <c r="E38" s="158">
        <v>45890</v>
      </c>
      <c r="F38" s="159" t="s">
        <v>586</v>
      </c>
      <c r="G38" s="159" t="s">
        <v>587</v>
      </c>
      <c r="H38" s="159" t="s">
        <v>587</v>
      </c>
      <c r="I38" s="160" t="s">
        <v>391</v>
      </c>
      <c r="J38" s="159"/>
      <c r="K38" s="159"/>
      <c r="L38" s="161">
        <v>18280000</v>
      </c>
      <c r="M38" s="162">
        <v>165000</v>
      </c>
      <c r="N38" s="206">
        <f>SUM(표1_6[[#This Row],[본 공사 금액]:[추가 공사 금액]])</f>
        <v>18445000</v>
      </c>
      <c r="O38" s="162">
        <v>26203955</v>
      </c>
      <c r="P38" s="163">
        <v>0.44</v>
      </c>
      <c r="Q38" s="164"/>
      <c r="R38" s="123"/>
      <c r="S38" s="123"/>
      <c r="T38" s="123"/>
      <c r="U38" s="124"/>
      <c r="V38" s="287"/>
    </row>
    <row r="39" spans="1:22" s="3" customFormat="1" x14ac:dyDescent="0.3">
      <c r="A39" s="159" t="s">
        <v>614</v>
      </c>
      <c r="B39" s="273" t="s">
        <v>608</v>
      </c>
      <c r="C39" s="156">
        <v>45866</v>
      </c>
      <c r="D39" s="157">
        <v>45867</v>
      </c>
      <c r="E39" s="158">
        <v>45897</v>
      </c>
      <c r="F39" s="159" t="s">
        <v>614</v>
      </c>
      <c r="G39" s="159" t="s">
        <v>592</v>
      </c>
      <c r="H39" s="159" t="s">
        <v>616</v>
      </c>
      <c r="I39" s="160" t="s">
        <v>459</v>
      </c>
      <c r="J39" s="159"/>
      <c r="K39" s="159" t="s">
        <v>615</v>
      </c>
      <c r="L39" s="161">
        <v>33500000</v>
      </c>
      <c r="M39" s="162"/>
      <c r="N39" s="206">
        <f>SUM(표1_6[[#This Row],[본 공사 금액]:[추가 공사 금액]])</f>
        <v>33500000</v>
      </c>
      <c r="O39" s="162">
        <v>16114218</v>
      </c>
      <c r="P39" s="163">
        <v>0.53</v>
      </c>
      <c r="Q39" s="164" t="s">
        <v>620</v>
      </c>
      <c r="R39" s="123" t="s">
        <v>444</v>
      </c>
      <c r="S39" s="123" t="s">
        <v>443</v>
      </c>
      <c r="T39" s="123" t="s">
        <v>622</v>
      </c>
      <c r="U39" s="124"/>
      <c r="V39" s="287"/>
    </row>
    <row r="40" spans="1:22" hidden="1" x14ac:dyDescent="0.3">
      <c r="A40" s="74" t="s">
        <v>540</v>
      </c>
      <c r="B40" s="123" t="s">
        <v>602</v>
      </c>
      <c r="C40" s="45" t="s">
        <v>473</v>
      </c>
      <c r="D40" s="73" t="s">
        <v>473</v>
      </c>
      <c r="E40" s="73" t="s">
        <v>473</v>
      </c>
      <c r="F40" s="74" t="s">
        <v>540</v>
      </c>
      <c r="G40" s="74"/>
      <c r="H40" s="74"/>
      <c r="I40" s="75"/>
      <c r="J40" s="74"/>
      <c r="K40" s="74"/>
      <c r="L40" s="76">
        <v>1782000</v>
      </c>
      <c r="M40" s="77"/>
      <c r="N40" s="207">
        <f>SUM(표1_6[[#This Row],[본 공사 금액]:[추가 공사 금액]])</f>
        <v>1782000</v>
      </c>
      <c r="O40" s="77">
        <v>1782000</v>
      </c>
      <c r="P40" s="78">
        <v>1</v>
      </c>
      <c r="Q40" s="39"/>
      <c r="R40" s="37"/>
      <c r="S40" s="37"/>
      <c r="T40" s="37"/>
      <c r="U40" s="40"/>
      <c r="V40" s="288"/>
    </row>
    <row r="41" spans="1:22" hidden="1" x14ac:dyDescent="0.3">
      <c r="A41" s="74" t="s">
        <v>540</v>
      </c>
      <c r="B41" s="123" t="s">
        <v>603</v>
      </c>
      <c r="C41" s="45" t="s">
        <v>473</v>
      </c>
      <c r="D41" s="73" t="s">
        <v>473</v>
      </c>
      <c r="E41" s="73" t="s">
        <v>473</v>
      </c>
      <c r="F41" s="74" t="s">
        <v>540</v>
      </c>
      <c r="G41" s="74"/>
      <c r="H41" s="74"/>
      <c r="I41" s="75"/>
      <c r="J41" s="74"/>
      <c r="K41" s="74"/>
      <c r="L41" s="76">
        <v>550000</v>
      </c>
      <c r="M41" s="77"/>
      <c r="N41" s="207">
        <f>SUM(표1_6[[#This Row],[본 공사 금액]:[추가 공사 금액]])</f>
        <v>550000</v>
      </c>
      <c r="O41" s="77">
        <v>550000</v>
      </c>
      <c r="P41" s="78">
        <v>1</v>
      </c>
      <c r="Q41" s="39"/>
      <c r="R41" s="37"/>
      <c r="S41" s="37"/>
      <c r="T41" s="37"/>
      <c r="U41" s="40"/>
      <c r="V41" s="288"/>
    </row>
    <row r="42" spans="1:22" hidden="1" x14ac:dyDescent="0.3">
      <c r="A42" s="74" t="s">
        <v>540</v>
      </c>
      <c r="B42" s="123" t="s">
        <v>604</v>
      </c>
      <c r="C42" s="45" t="s">
        <v>473</v>
      </c>
      <c r="D42" s="73" t="s">
        <v>473</v>
      </c>
      <c r="E42" s="73" t="s">
        <v>473</v>
      </c>
      <c r="F42" s="74" t="s">
        <v>540</v>
      </c>
      <c r="G42" s="74"/>
      <c r="H42" s="74"/>
      <c r="I42" s="75"/>
      <c r="J42" s="74"/>
      <c r="K42" s="74"/>
      <c r="L42" s="111">
        <v>3300000</v>
      </c>
      <c r="M42" s="111"/>
      <c r="N42" s="210">
        <f>SUM(표1_6[[#This Row],[본 공사 금액]:[추가 공사 금액]])</f>
        <v>3300000</v>
      </c>
      <c r="O42" s="112">
        <v>3300000</v>
      </c>
      <c r="P42" s="78">
        <v>1</v>
      </c>
      <c r="Q42" s="39"/>
      <c r="R42" s="37"/>
      <c r="S42" s="37"/>
      <c r="T42" s="37"/>
      <c r="U42" s="40"/>
      <c r="V42" s="288"/>
    </row>
    <row r="43" spans="1:22" s="3" customFormat="1" ht="19.5" customHeight="1" x14ac:dyDescent="0.3">
      <c r="A43" s="159" t="s">
        <v>610</v>
      </c>
      <c r="B43" s="123" t="s">
        <v>605</v>
      </c>
      <c r="C43" s="156">
        <v>45898</v>
      </c>
      <c r="D43" s="157">
        <v>45901</v>
      </c>
      <c r="E43" s="158">
        <v>45923</v>
      </c>
      <c r="F43" s="159" t="s">
        <v>610</v>
      </c>
      <c r="G43" s="159"/>
      <c r="H43" s="159" t="s">
        <v>689</v>
      </c>
      <c r="I43" s="160" t="s">
        <v>430</v>
      </c>
      <c r="J43" s="159"/>
      <c r="K43" s="159" t="s">
        <v>690</v>
      </c>
      <c r="L43" s="161">
        <v>72000000</v>
      </c>
      <c r="M43" s="159"/>
      <c r="N43" s="206">
        <f>SUM(표1_6[[#This Row],[본 공사 금액]:[추가 공사 금액]])</f>
        <v>72000000</v>
      </c>
      <c r="O43" s="162">
        <v>27114985</v>
      </c>
      <c r="P43" s="163">
        <v>0.41</v>
      </c>
      <c r="Q43" s="164" t="s">
        <v>611</v>
      </c>
      <c r="R43" s="123" t="s">
        <v>444</v>
      </c>
      <c r="S43" s="123" t="s">
        <v>443</v>
      </c>
      <c r="T43" s="123" t="s">
        <v>612</v>
      </c>
      <c r="U43" s="124"/>
      <c r="V43" s="287"/>
    </row>
    <row r="44" spans="1:22" s="3" customFormat="1" x14ac:dyDescent="0.3">
      <c r="A44" s="188" t="s">
        <v>613</v>
      </c>
      <c r="B44" s="123" t="s">
        <v>609</v>
      </c>
      <c r="C44" s="156">
        <v>45901</v>
      </c>
      <c r="D44" s="157">
        <v>45902</v>
      </c>
      <c r="E44" s="158">
        <v>45922</v>
      </c>
      <c r="F44" s="159" t="s">
        <v>613</v>
      </c>
      <c r="G44" s="159" t="s">
        <v>592</v>
      </c>
      <c r="H44" s="159" t="s">
        <v>616</v>
      </c>
      <c r="I44" s="160" t="s">
        <v>459</v>
      </c>
      <c r="J44" s="159"/>
      <c r="K44" s="159" t="s">
        <v>615</v>
      </c>
      <c r="L44" s="161">
        <v>20850000</v>
      </c>
      <c r="M44" s="162"/>
      <c r="N44" s="206">
        <f>SUM(표1_6[[#This Row],[본 공사 금액]:[추가 공사 금액]])</f>
        <v>20850000</v>
      </c>
      <c r="O44" s="162">
        <v>8671645</v>
      </c>
      <c r="P44" s="163">
        <v>0.46</v>
      </c>
      <c r="Q44" s="164" t="s">
        <v>621</v>
      </c>
      <c r="R44" s="123" t="s">
        <v>444</v>
      </c>
      <c r="S44" s="123" t="s">
        <v>443</v>
      </c>
      <c r="T44" s="123" t="s">
        <v>622</v>
      </c>
      <c r="U44" s="124"/>
      <c r="V44" s="287"/>
    </row>
    <row r="45" spans="1:22" s="3" customFormat="1" x14ac:dyDescent="0.3">
      <c r="A45" s="159" t="s">
        <v>624</v>
      </c>
      <c r="B45" s="123" t="s">
        <v>623</v>
      </c>
      <c r="C45" s="156">
        <v>45910</v>
      </c>
      <c r="D45" s="157">
        <v>45915</v>
      </c>
      <c r="E45" s="158">
        <v>45934</v>
      </c>
      <c r="F45" s="159" t="s">
        <v>624</v>
      </c>
      <c r="G45" s="159" t="s">
        <v>623</v>
      </c>
      <c r="H45" s="159" t="s">
        <v>625</v>
      </c>
      <c r="I45" s="160" t="s">
        <v>459</v>
      </c>
      <c r="J45" s="159" t="s">
        <v>626</v>
      </c>
      <c r="K45" s="159" t="s">
        <v>627</v>
      </c>
      <c r="L45" s="161">
        <v>43000000</v>
      </c>
      <c r="M45" s="162">
        <v>1342000</v>
      </c>
      <c r="N45" s="206">
        <f>SUM(표1_6[[#This Row],[본 공사 금액]:[추가 공사 금액]])</f>
        <v>44342000</v>
      </c>
      <c r="O45" s="162">
        <v>13947935</v>
      </c>
      <c r="P45" s="163">
        <v>0.35</v>
      </c>
      <c r="Q45" s="164" t="s">
        <v>629</v>
      </c>
      <c r="R45" s="123" t="s">
        <v>444</v>
      </c>
      <c r="S45" s="123" t="s">
        <v>443</v>
      </c>
      <c r="T45" s="123" t="s">
        <v>628</v>
      </c>
      <c r="U45" s="124"/>
      <c r="V45" s="287"/>
    </row>
    <row r="46" spans="1:22" s="3" customFormat="1" ht="18.75" customHeight="1" x14ac:dyDescent="0.3">
      <c r="A46" s="188" t="s">
        <v>637</v>
      </c>
      <c r="B46" s="123" t="s">
        <v>631</v>
      </c>
      <c r="C46" s="156">
        <v>45918</v>
      </c>
      <c r="D46" s="157">
        <v>45918</v>
      </c>
      <c r="E46" s="158">
        <v>45945</v>
      </c>
      <c r="F46" s="159" t="s">
        <v>637</v>
      </c>
      <c r="G46" s="159" t="s">
        <v>602</v>
      </c>
      <c r="H46" s="159"/>
      <c r="I46" s="160" t="s">
        <v>459</v>
      </c>
      <c r="J46" s="159"/>
      <c r="K46" s="159"/>
      <c r="L46" s="161">
        <v>21824000</v>
      </c>
      <c r="M46" s="162"/>
      <c r="N46" s="206">
        <f>SUM(표1_6[[#This Row],[본 공사 금액]:[추가 공사 금액]])</f>
        <v>21824000</v>
      </c>
      <c r="O46" s="162">
        <v>9276583</v>
      </c>
      <c r="P46" s="163">
        <v>0.47</v>
      </c>
      <c r="Q46" s="164" t="s">
        <v>737</v>
      </c>
      <c r="R46" s="123" t="s">
        <v>444</v>
      </c>
      <c r="S46" s="123" t="s">
        <v>443</v>
      </c>
      <c r="T46" s="123" t="s">
        <v>640</v>
      </c>
      <c r="U46" s="124"/>
      <c r="V46" s="287"/>
    </row>
    <row r="47" spans="1:22" s="3" customFormat="1" x14ac:dyDescent="0.3">
      <c r="A47" s="159" t="s">
        <v>634</v>
      </c>
      <c r="B47" s="123" t="s">
        <v>630</v>
      </c>
      <c r="C47" s="156">
        <v>45919</v>
      </c>
      <c r="D47" s="157">
        <v>45922</v>
      </c>
      <c r="E47" s="158">
        <v>45950</v>
      </c>
      <c r="F47" s="159" t="s">
        <v>634</v>
      </c>
      <c r="G47" s="159" t="s">
        <v>635</v>
      </c>
      <c r="H47" s="159" t="s">
        <v>635</v>
      </c>
      <c r="I47" s="160" t="s">
        <v>391</v>
      </c>
      <c r="J47" s="159"/>
      <c r="K47" s="159" t="s">
        <v>636</v>
      </c>
      <c r="L47" s="161">
        <v>30000000</v>
      </c>
      <c r="M47" s="162"/>
      <c r="N47" s="206">
        <f>SUM(표1_6[[#This Row],[본 공사 금액]:[추가 공사 금액]])</f>
        <v>30000000</v>
      </c>
      <c r="O47" s="162">
        <v>7516101</v>
      </c>
      <c r="P47" s="163">
        <v>0.25</v>
      </c>
      <c r="Q47" s="164" t="s">
        <v>738</v>
      </c>
      <c r="R47" s="123" t="s">
        <v>444</v>
      </c>
      <c r="S47" s="123" t="s">
        <v>443</v>
      </c>
      <c r="T47" s="123" t="s">
        <v>641</v>
      </c>
      <c r="U47" s="124" t="s">
        <v>739</v>
      </c>
      <c r="V47" s="287"/>
    </row>
    <row r="48" spans="1:22" s="3" customFormat="1" x14ac:dyDescent="0.3">
      <c r="A48" s="274" t="s">
        <v>633</v>
      </c>
      <c r="B48" s="123" t="s">
        <v>632</v>
      </c>
      <c r="C48" s="156">
        <v>45917</v>
      </c>
      <c r="D48" s="157">
        <v>45917</v>
      </c>
      <c r="E48" s="158">
        <v>45919</v>
      </c>
      <c r="F48" s="123" t="s">
        <v>633</v>
      </c>
      <c r="G48" s="159" t="s">
        <v>639</v>
      </c>
      <c r="H48" s="159" t="s">
        <v>687</v>
      </c>
      <c r="I48" s="160" t="s">
        <v>459</v>
      </c>
      <c r="J48" s="159"/>
      <c r="K48" s="159"/>
      <c r="L48" s="161">
        <v>7579000</v>
      </c>
      <c r="M48" s="162"/>
      <c r="N48" s="206">
        <f>SUM(표1_6[[#This Row],[본 공사 금액]:[추가 공사 금액]])</f>
        <v>7579000</v>
      </c>
      <c r="O48" s="162">
        <v>3558721</v>
      </c>
      <c r="P48" s="163">
        <v>0.52</v>
      </c>
      <c r="Q48" s="159" t="s">
        <v>638</v>
      </c>
      <c r="R48" s="123" t="s">
        <v>444</v>
      </c>
      <c r="S48" s="123" t="s">
        <v>443</v>
      </c>
      <c r="T48" s="123" t="s">
        <v>685</v>
      </c>
      <c r="U48" s="124"/>
      <c r="V48" s="287"/>
    </row>
    <row r="49" spans="1:22" s="3" customFormat="1" x14ac:dyDescent="0.3">
      <c r="A49" s="123" t="s">
        <v>632</v>
      </c>
      <c r="B49" s="123" t="s">
        <v>633</v>
      </c>
      <c r="C49" s="156">
        <v>45904</v>
      </c>
      <c r="D49" s="157">
        <v>45905</v>
      </c>
      <c r="E49" s="158">
        <v>45909</v>
      </c>
      <c r="F49" s="123" t="s">
        <v>632</v>
      </c>
      <c r="G49" s="159" t="s">
        <v>639</v>
      </c>
      <c r="H49" s="159" t="s">
        <v>687</v>
      </c>
      <c r="I49" s="160" t="s">
        <v>459</v>
      </c>
      <c r="J49" s="159"/>
      <c r="K49" s="159"/>
      <c r="L49" s="161">
        <v>1518000</v>
      </c>
      <c r="M49" s="162"/>
      <c r="N49" s="206">
        <f>SUM(표1_6[[#This Row],[본 공사 금액]:[추가 공사 금액]])</f>
        <v>1518000</v>
      </c>
      <c r="O49" s="162">
        <v>180000</v>
      </c>
      <c r="P49" s="163">
        <v>0.13</v>
      </c>
      <c r="Q49" s="159" t="s">
        <v>638</v>
      </c>
      <c r="R49" s="123" t="s">
        <v>444</v>
      </c>
      <c r="S49" s="123" t="s">
        <v>443</v>
      </c>
      <c r="T49" s="123" t="s">
        <v>685</v>
      </c>
      <c r="U49" s="124"/>
      <c r="V49" s="287"/>
    </row>
    <row r="50" spans="1:22" s="3" customFormat="1" x14ac:dyDescent="0.3">
      <c r="A50" s="188" t="s">
        <v>648</v>
      </c>
      <c r="B50" s="123" t="s">
        <v>642</v>
      </c>
      <c r="C50" s="156">
        <v>45934</v>
      </c>
      <c r="D50" s="157">
        <v>45940</v>
      </c>
      <c r="E50" s="158">
        <v>45955</v>
      </c>
      <c r="F50" s="159" t="s">
        <v>648</v>
      </c>
      <c r="G50" s="159" t="s">
        <v>649</v>
      </c>
      <c r="H50" s="159" t="s">
        <v>650</v>
      </c>
      <c r="I50" s="160" t="s">
        <v>459</v>
      </c>
      <c r="J50" s="159" t="s">
        <v>651</v>
      </c>
      <c r="K50" s="159" t="s">
        <v>652</v>
      </c>
      <c r="L50" s="161">
        <v>33638000</v>
      </c>
      <c r="M50" s="162"/>
      <c r="N50" s="206">
        <f>SUM(표1_6[[#This Row],[본 공사 금액]:[추가 공사 금액]])</f>
        <v>33638000</v>
      </c>
      <c r="O50" s="162">
        <v>11898064</v>
      </c>
      <c r="P50" s="163">
        <v>0.39</v>
      </c>
      <c r="Q50" s="164" t="s">
        <v>740</v>
      </c>
      <c r="R50" s="123" t="s">
        <v>444</v>
      </c>
      <c r="S50" s="123" t="s">
        <v>443</v>
      </c>
      <c r="T50" s="123" t="s">
        <v>686</v>
      </c>
      <c r="U50" s="124"/>
      <c r="V50" s="287"/>
    </row>
    <row r="51" spans="1:22" s="3" customFormat="1" x14ac:dyDescent="0.3">
      <c r="A51" s="159" t="s">
        <v>654</v>
      </c>
      <c r="B51" s="123" t="s">
        <v>643</v>
      </c>
      <c r="C51" s="156">
        <v>45940</v>
      </c>
      <c r="D51" s="157">
        <v>45943</v>
      </c>
      <c r="E51" s="158">
        <v>45990</v>
      </c>
      <c r="F51" s="159" t="s">
        <v>654</v>
      </c>
      <c r="G51" s="159" t="s">
        <v>659</v>
      </c>
      <c r="H51" s="159" t="s">
        <v>660</v>
      </c>
      <c r="I51" s="160" t="s">
        <v>459</v>
      </c>
      <c r="J51" s="159"/>
      <c r="K51" s="159" t="s">
        <v>661</v>
      </c>
      <c r="L51" s="161">
        <v>291236000</v>
      </c>
      <c r="M51" s="162">
        <v>31383000</v>
      </c>
      <c r="N51" s="206">
        <f>SUM(표1_6[[#This Row],[본 공사 금액]:[추가 공사 금액]])</f>
        <v>322619000</v>
      </c>
      <c r="O51" s="162">
        <v>57050134</v>
      </c>
      <c r="P51" s="163">
        <v>0.24</v>
      </c>
      <c r="Q51" s="164" t="s">
        <v>655</v>
      </c>
      <c r="R51" s="123" t="s">
        <v>444</v>
      </c>
      <c r="S51" s="123" t="s">
        <v>443</v>
      </c>
      <c r="T51" s="123" t="s">
        <v>656</v>
      </c>
      <c r="U51" s="124"/>
      <c r="V51" s="287"/>
    </row>
    <row r="52" spans="1:22" s="3" customFormat="1" x14ac:dyDescent="0.3">
      <c r="A52" s="159" t="s">
        <v>657</v>
      </c>
      <c r="B52" s="123" t="s">
        <v>653</v>
      </c>
      <c r="C52" s="156">
        <v>45931</v>
      </c>
      <c r="D52" s="157">
        <v>45931</v>
      </c>
      <c r="E52" s="158">
        <v>45966</v>
      </c>
      <c r="F52" s="159" t="s">
        <v>657</v>
      </c>
      <c r="G52" s="159" t="s">
        <v>658</v>
      </c>
      <c r="H52" s="159" t="s">
        <v>658</v>
      </c>
      <c r="I52" s="160" t="s">
        <v>391</v>
      </c>
      <c r="J52" s="159"/>
      <c r="K52" s="159"/>
      <c r="L52" s="161">
        <v>18282000</v>
      </c>
      <c r="M52" s="162"/>
      <c r="N52" s="206">
        <f>SUM(표1_6[[#This Row],[본 공사 금액]:[추가 공사 금액]])</f>
        <v>18282000</v>
      </c>
      <c r="O52" s="162">
        <v>8241053</v>
      </c>
      <c r="P52" s="163">
        <v>0.5</v>
      </c>
      <c r="Q52" s="164" t="s">
        <v>741</v>
      </c>
      <c r="R52" s="123" t="s">
        <v>444</v>
      </c>
      <c r="S52" s="123" t="s">
        <v>443</v>
      </c>
      <c r="T52" s="123" t="s">
        <v>681</v>
      </c>
      <c r="U52" s="124" t="s">
        <v>739</v>
      </c>
      <c r="V52" s="287"/>
    </row>
    <row r="53" spans="1:22" hidden="1" x14ac:dyDescent="0.3">
      <c r="A53" s="74" t="s">
        <v>700</v>
      </c>
      <c r="B53" s="123" t="s">
        <v>581</v>
      </c>
      <c r="C53" s="45" t="s">
        <v>473</v>
      </c>
      <c r="D53" s="73" t="s">
        <v>473</v>
      </c>
      <c r="E53" s="73" t="s">
        <v>473</v>
      </c>
      <c r="F53" s="74" t="s">
        <v>700</v>
      </c>
      <c r="G53" s="74"/>
      <c r="H53" s="74"/>
      <c r="I53" s="75"/>
      <c r="J53" s="74"/>
      <c r="K53" s="74"/>
      <c r="L53" s="76">
        <v>165000</v>
      </c>
      <c r="M53" s="77"/>
      <c r="N53" s="207">
        <f>SUM(표1_6[[#This Row],[본 공사 금액]:[추가 공사 금액]])</f>
        <v>165000</v>
      </c>
      <c r="O53" s="77">
        <v>165000</v>
      </c>
      <c r="P53" s="78">
        <v>1</v>
      </c>
      <c r="Q53" s="39"/>
      <c r="R53" s="37"/>
      <c r="S53" s="37"/>
      <c r="T53" s="37"/>
      <c r="U53" s="40"/>
      <c r="V53" s="288"/>
    </row>
    <row r="54" spans="1:22" hidden="1" x14ac:dyDescent="0.3">
      <c r="A54" s="74" t="s">
        <v>699</v>
      </c>
      <c r="B54" s="123" t="s">
        <v>581</v>
      </c>
      <c r="C54" s="45" t="s">
        <v>473</v>
      </c>
      <c r="D54" s="73" t="s">
        <v>473</v>
      </c>
      <c r="E54" s="73" t="s">
        <v>473</v>
      </c>
      <c r="F54" s="74" t="s">
        <v>699</v>
      </c>
      <c r="G54" s="74"/>
      <c r="H54" s="74"/>
      <c r="I54" s="75"/>
      <c r="J54" s="74"/>
      <c r="K54" s="74"/>
      <c r="L54" s="76">
        <v>330000</v>
      </c>
      <c r="M54" s="77"/>
      <c r="N54" s="207">
        <f>SUM(표1_6[[#This Row],[본 공사 금액]:[추가 공사 금액]])</f>
        <v>330000</v>
      </c>
      <c r="O54" s="76">
        <v>330000</v>
      </c>
      <c r="P54" s="78">
        <v>1</v>
      </c>
      <c r="Q54" s="39"/>
      <c r="R54" s="37"/>
      <c r="S54" s="37"/>
      <c r="T54" s="37"/>
      <c r="U54" s="40"/>
      <c r="V54" s="288"/>
    </row>
    <row r="55" spans="1:22" s="3" customFormat="1" x14ac:dyDescent="0.3">
      <c r="A55" s="188" t="s">
        <v>667</v>
      </c>
      <c r="B55" s="123" t="s">
        <v>662</v>
      </c>
      <c r="C55" s="156">
        <v>45957</v>
      </c>
      <c r="D55" s="157">
        <v>45957</v>
      </c>
      <c r="E55" s="158">
        <v>45971</v>
      </c>
      <c r="F55" s="159" t="s">
        <v>667</v>
      </c>
      <c r="G55" s="159" t="s">
        <v>668</v>
      </c>
      <c r="H55" s="159" t="s">
        <v>669</v>
      </c>
      <c r="I55" s="160" t="s">
        <v>430</v>
      </c>
      <c r="J55" s="159"/>
      <c r="K55" s="159" t="s">
        <v>682</v>
      </c>
      <c r="L55" s="161">
        <v>12760000</v>
      </c>
      <c r="M55" s="162"/>
      <c r="N55" s="206">
        <f>SUM(표1_6[[#This Row],[본 공사 금액]:[추가 공사 금액]])</f>
        <v>12760000</v>
      </c>
      <c r="O55" s="162">
        <v>3732122</v>
      </c>
      <c r="P55" s="163">
        <v>0.32</v>
      </c>
      <c r="Q55" s="164" t="s">
        <v>684</v>
      </c>
      <c r="R55" s="123" t="s">
        <v>444</v>
      </c>
      <c r="S55" s="123" t="s">
        <v>443</v>
      </c>
      <c r="T55" s="123" t="s">
        <v>683</v>
      </c>
      <c r="U55" s="124"/>
      <c r="V55" s="287"/>
    </row>
    <row r="56" spans="1:22" s="3" customFormat="1" ht="18" customHeight="1" x14ac:dyDescent="0.3">
      <c r="A56" s="159" t="s">
        <v>670</v>
      </c>
      <c r="B56" s="123" t="s">
        <v>663</v>
      </c>
      <c r="C56" s="156">
        <v>45960</v>
      </c>
      <c r="D56" s="157">
        <v>45960</v>
      </c>
      <c r="E56" s="158">
        <v>45977</v>
      </c>
      <c r="F56" s="159" t="s">
        <v>670</v>
      </c>
      <c r="G56" s="159" t="s">
        <v>671</v>
      </c>
      <c r="H56" s="159" t="s">
        <v>672</v>
      </c>
      <c r="I56" s="160" t="s">
        <v>459</v>
      </c>
      <c r="J56" s="159" t="s">
        <v>673</v>
      </c>
      <c r="K56" s="159" t="s">
        <v>674</v>
      </c>
      <c r="L56" s="161">
        <v>32490000</v>
      </c>
      <c r="M56" s="162"/>
      <c r="N56" s="206">
        <f>SUM(표1_6[[#This Row],[본 공사 금액]:[추가 공사 금액]])</f>
        <v>32490000</v>
      </c>
      <c r="O56" s="162">
        <v>13191119</v>
      </c>
      <c r="P56" s="275">
        <v>0.45</v>
      </c>
      <c r="Q56" s="164" t="s">
        <v>676</v>
      </c>
      <c r="R56" s="123" t="s">
        <v>444</v>
      </c>
      <c r="S56" s="123" t="s">
        <v>443</v>
      </c>
      <c r="T56" s="123" t="s">
        <v>675</v>
      </c>
      <c r="U56" s="124"/>
      <c r="V56" s="287"/>
    </row>
    <row r="57" spans="1:22" s="3" customFormat="1" x14ac:dyDescent="0.3">
      <c r="A57" s="188" t="s">
        <v>692</v>
      </c>
      <c r="B57" s="123" t="s">
        <v>691</v>
      </c>
      <c r="C57" s="156">
        <v>45985</v>
      </c>
      <c r="D57" s="156">
        <v>45985</v>
      </c>
      <c r="E57" s="158">
        <v>45999</v>
      </c>
      <c r="F57" s="159" t="s">
        <v>692</v>
      </c>
      <c r="G57" s="159" t="s">
        <v>693</v>
      </c>
      <c r="H57" s="159" t="s">
        <v>694</v>
      </c>
      <c r="I57" s="160" t="s">
        <v>459</v>
      </c>
      <c r="J57" s="159"/>
      <c r="K57" s="159" t="s">
        <v>695</v>
      </c>
      <c r="L57" s="161">
        <v>16900000</v>
      </c>
      <c r="M57" s="162"/>
      <c r="N57" s="206">
        <v>16790000</v>
      </c>
      <c r="O57" s="162">
        <v>4423459</v>
      </c>
      <c r="P57" s="200">
        <v>0.28999999999999998</v>
      </c>
      <c r="Q57" s="164" t="s">
        <v>696</v>
      </c>
      <c r="R57" s="123" t="s">
        <v>444</v>
      </c>
      <c r="S57" s="123" t="s">
        <v>443</v>
      </c>
      <c r="T57" s="123" t="s">
        <v>697</v>
      </c>
      <c r="U57" s="124"/>
      <c r="V57" s="287"/>
    </row>
    <row r="58" spans="1:22" hidden="1" x14ac:dyDescent="0.3">
      <c r="A58" s="74" t="s">
        <v>698</v>
      </c>
      <c r="B58" s="37" t="s">
        <v>520</v>
      </c>
      <c r="C58" s="43" t="s">
        <v>701</v>
      </c>
      <c r="D58" s="73" t="s">
        <v>701</v>
      </c>
      <c r="E58" s="80" t="s">
        <v>701</v>
      </c>
      <c r="F58" s="74" t="s">
        <v>698</v>
      </c>
      <c r="G58" s="74"/>
      <c r="H58" s="74"/>
      <c r="I58" s="75"/>
      <c r="J58" s="74"/>
      <c r="K58" s="74"/>
      <c r="L58" s="76">
        <v>275000</v>
      </c>
      <c r="M58" s="77"/>
      <c r="N58" s="207">
        <f>SUM(표1_6[[#This Row],[본 공사 금액]:[추가 공사 금액]])</f>
        <v>275000</v>
      </c>
      <c r="O58" s="77">
        <v>275000</v>
      </c>
      <c r="P58" s="78">
        <v>1</v>
      </c>
      <c r="Q58" s="39"/>
      <c r="R58" s="37"/>
      <c r="S58" s="37"/>
      <c r="T58" s="37"/>
      <c r="U58" s="40"/>
      <c r="V58" s="288"/>
    </row>
    <row r="59" spans="1:22" x14ac:dyDescent="0.3">
      <c r="A59" s="173" t="s">
        <v>703</v>
      </c>
      <c r="B59" s="25" t="s">
        <v>702</v>
      </c>
      <c r="C59" s="34">
        <v>46002</v>
      </c>
      <c r="D59" s="65">
        <v>46006</v>
      </c>
      <c r="E59" s="66">
        <v>45662</v>
      </c>
      <c r="F59" s="67" t="s">
        <v>703</v>
      </c>
      <c r="G59" s="67" t="s">
        <v>704</v>
      </c>
      <c r="H59" s="67" t="s">
        <v>704</v>
      </c>
      <c r="I59" s="68" t="s">
        <v>430</v>
      </c>
      <c r="J59" s="67"/>
      <c r="K59" s="67" t="s">
        <v>707</v>
      </c>
      <c r="L59" s="79">
        <v>30400000</v>
      </c>
      <c r="M59" s="71"/>
      <c r="N59" s="205">
        <f>SUM(표1_6[[#This Row],[본 공사 금액]:[추가 공사 금액]])</f>
        <v>30400000</v>
      </c>
      <c r="O59" s="71">
        <v>13132988</v>
      </c>
      <c r="P59" s="72">
        <v>0.48</v>
      </c>
      <c r="Q59" s="35" t="s">
        <v>705</v>
      </c>
      <c r="R59" s="25" t="s">
        <v>444</v>
      </c>
      <c r="S59" s="25" t="s">
        <v>443</v>
      </c>
      <c r="T59" s="25" t="s">
        <v>706</v>
      </c>
      <c r="U59" s="11" t="s">
        <v>743</v>
      </c>
      <c r="V59" s="9"/>
    </row>
    <row r="60" spans="1:22" s="3" customFormat="1" x14ac:dyDescent="0.3">
      <c r="A60" s="188"/>
      <c r="B60" s="123"/>
      <c r="C60" s="156"/>
      <c r="D60" s="156"/>
      <c r="E60" s="158"/>
      <c r="F60" s="159"/>
      <c r="G60" s="159"/>
      <c r="H60" s="159"/>
      <c r="I60" s="160"/>
      <c r="J60" s="159"/>
      <c r="K60" s="159"/>
      <c r="L60" s="161"/>
      <c r="M60" s="162"/>
      <c r="N60" s="206"/>
      <c r="O60" s="162"/>
      <c r="P60" s="200"/>
      <c r="Q60" s="164"/>
      <c r="R60" s="123"/>
      <c r="S60" s="123"/>
      <c r="T60" s="123"/>
      <c r="U60" s="124"/>
      <c r="V60" s="287"/>
    </row>
    <row r="61" spans="1:22" hidden="1" x14ac:dyDescent="0.3">
      <c r="A61" s="74"/>
      <c r="B61" s="37"/>
      <c r="C61" s="43"/>
      <c r="D61" s="73"/>
      <c r="E61" s="80"/>
      <c r="F61" s="74"/>
      <c r="G61" s="74"/>
      <c r="H61" s="74"/>
      <c r="I61" s="75"/>
      <c r="J61" s="74"/>
      <c r="K61" s="74"/>
      <c r="L61" s="76"/>
      <c r="M61" s="77"/>
      <c r="N61" s="207"/>
      <c r="O61" s="77"/>
      <c r="P61" s="78"/>
      <c r="Q61" s="39"/>
      <c r="R61" s="37"/>
      <c r="S61" s="37"/>
      <c r="T61" s="37"/>
      <c r="U61" s="40"/>
      <c r="V61" s="288"/>
    </row>
    <row r="62" spans="1:22" x14ac:dyDescent="0.3">
      <c r="A62" s="173"/>
      <c r="B62" s="25"/>
      <c r="C62" s="34"/>
      <c r="D62" s="65"/>
      <c r="E62" s="66"/>
      <c r="F62" s="67"/>
      <c r="G62" s="67"/>
      <c r="H62" s="67"/>
      <c r="I62" s="68"/>
      <c r="J62" s="67"/>
      <c r="K62" s="67"/>
      <c r="L62" s="79"/>
      <c r="M62" s="71"/>
      <c r="N62" s="205"/>
      <c r="O62" s="71"/>
      <c r="P62" s="72"/>
      <c r="Q62" s="35"/>
      <c r="R62" s="25"/>
      <c r="S62" s="25"/>
      <c r="T62" s="25"/>
      <c r="V62" s="9"/>
    </row>
    <row r="63" spans="1:22" ht="16.5" customHeight="1" x14ac:dyDescent="0.3">
      <c r="A63" s="74"/>
      <c r="B63" s="37"/>
      <c r="C63" s="43"/>
      <c r="D63" s="73"/>
      <c r="E63" s="80"/>
      <c r="F63" s="74"/>
      <c r="G63" s="74"/>
      <c r="H63" s="74"/>
      <c r="I63" s="75"/>
      <c r="J63" s="74"/>
      <c r="K63" s="74"/>
      <c r="L63" s="76"/>
      <c r="M63" s="77"/>
      <c r="N63" s="207"/>
      <c r="O63" s="77"/>
      <c r="P63" s="78"/>
      <c r="Q63" s="39"/>
      <c r="R63" s="37"/>
      <c r="S63" s="37"/>
      <c r="T63" s="37"/>
      <c r="U63" s="40"/>
      <c r="V63" s="288"/>
    </row>
    <row r="64" spans="1:22" x14ac:dyDescent="0.3">
      <c r="A64" s="173"/>
      <c r="B64" s="25"/>
      <c r="C64" s="34"/>
      <c r="D64" s="65"/>
      <c r="E64" s="66"/>
      <c r="F64" s="67"/>
      <c r="G64" s="67"/>
      <c r="H64" s="67"/>
      <c r="I64" s="68"/>
      <c r="J64" s="67"/>
      <c r="K64" s="67"/>
      <c r="L64" s="79"/>
      <c r="M64" s="71"/>
      <c r="N64" s="205"/>
      <c r="O64" s="71"/>
      <c r="P64" s="72"/>
      <c r="Q64" s="35"/>
      <c r="R64" s="25"/>
      <c r="S64" s="25"/>
      <c r="T64" s="25"/>
      <c r="V64" s="9"/>
    </row>
    <row r="65" spans="1:22" x14ac:dyDescent="0.3">
      <c r="A65" s="67"/>
      <c r="B65" s="25"/>
      <c r="C65" s="34"/>
      <c r="D65" s="65"/>
      <c r="E65" s="66"/>
      <c r="F65" s="67"/>
      <c r="G65" s="67"/>
      <c r="H65" s="67"/>
      <c r="I65" s="68"/>
      <c r="J65" s="67"/>
      <c r="K65" s="67"/>
      <c r="L65" s="79"/>
      <c r="M65" s="71"/>
      <c r="N65" s="205"/>
      <c r="O65" s="71"/>
      <c r="P65" s="72"/>
      <c r="Q65" s="35"/>
      <c r="R65" s="25"/>
      <c r="S65" s="25"/>
      <c r="T65" s="25"/>
      <c r="V65" s="9"/>
    </row>
    <row r="66" spans="1:22" x14ac:dyDescent="0.3">
      <c r="A66" s="173"/>
      <c r="B66" s="25"/>
      <c r="C66" s="34"/>
      <c r="D66" s="65"/>
      <c r="E66" s="66"/>
      <c r="F66" s="67"/>
      <c r="G66" s="67"/>
      <c r="H66" s="67"/>
      <c r="I66" s="68"/>
      <c r="J66" s="67"/>
      <c r="K66" s="67"/>
      <c r="L66" s="79"/>
      <c r="M66" s="71"/>
      <c r="N66" s="205"/>
      <c r="O66" s="71"/>
      <c r="P66" s="72"/>
      <c r="Q66" s="35"/>
      <c r="R66" s="25"/>
      <c r="S66" s="25"/>
      <c r="T66" s="25"/>
      <c r="V66" s="9"/>
    </row>
    <row r="67" spans="1:22" x14ac:dyDescent="0.3">
      <c r="A67" s="67"/>
      <c r="B67" s="25"/>
      <c r="C67" s="34"/>
      <c r="D67" s="65"/>
      <c r="E67" s="66"/>
      <c r="F67" s="67"/>
      <c r="G67" s="67"/>
      <c r="H67" s="67"/>
      <c r="I67" s="68"/>
      <c r="J67" s="67"/>
      <c r="K67" s="67"/>
      <c r="L67" s="79"/>
      <c r="M67" s="71"/>
      <c r="N67" s="205"/>
      <c r="O67" s="71"/>
      <c r="P67" s="72"/>
      <c r="Q67" s="35"/>
      <c r="R67" s="25"/>
      <c r="S67" s="25"/>
      <c r="T67" s="25"/>
      <c r="V67" s="9"/>
    </row>
    <row r="68" spans="1:22" x14ac:dyDescent="0.3">
      <c r="A68" s="67"/>
      <c r="B68" s="25"/>
      <c r="C68" s="34"/>
      <c r="D68" s="65"/>
      <c r="E68" s="66"/>
      <c r="F68" s="67"/>
      <c r="G68" s="67"/>
      <c r="H68" s="67"/>
      <c r="I68" s="68"/>
      <c r="J68" s="67"/>
      <c r="K68" s="67"/>
      <c r="L68" s="79"/>
      <c r="M68" s="71"/>
      <c r="N68" s="205"/>
      <c r="O68" s="71"/>
      <c r="P68" s="72"/>
      <c r="Q68" s="35"/>
      <c r="R68" s="25"/>
      <c r="S68" s="25"/>
      <c r="T68" s="25"/>
      <c r="V68" s="9"/>
    </row>
    <row r="69" spans="1:22" x14ac:dyDescent="0.3">
      <c r="A69" s="74"/>
      <c r="B69" s="25"/>
      <c r="C69" s="34"/>
      <c r="D69" s="65"/>
      <c r="E69" s="66"/>
      <c r="F69" s="67"/>
      <c r="G69" s="67"/>
      <c r="H69" s="67"/>
      <c r="I69" s="68"/>
      <c r="J69" s="67"/>
      <c r="K69" s="67"/>
      <c r="L69" s="79"/>
      <c r="M69" s="71"/>
      <c r="N69" s="205"/>
      <c r="O69" s="71"/>
      <c r="P69" s="72"/>
      <c r="Q69" s="35"/>
      <c r="R69" s="25"/>
      <c r="S69" s="25"/>
      <c r="T69" s="25"/>
      <c r="V69" s="9"/>
    </row>
    <row r="70" spans="1:22" x14ac:dyDescent="0.3">
      <c r="A70" s="67"/>
      <c r="B70" s="25"/>
      <c r="C70" s="34"/>
      <c r="D70" s="65"/>
      <c r="E70" s="66"/>
      <c r="F70" s="67"/>
      <c r="G70" s="67"/>
      <c r="H70" s="67"/>
      <c r="I70" s="68"/>
      <c r="J70" s="67"/>
      <c r="K70" s="67"/>
      <c r="L70" s="79"/>
      <c r="M70" s="71"/>
      <c r="N70" s="205"/>
      <c r="O70" s="71"/>
      <c r="P70" s="72"/>
      <c r="Q70" s="35"/>
      <c r="R70" s="25"/>
      <c r="S70" s="25"/>
      <c r="T70" s="25"/>
      <c r="V70" s="9"/>
    </row>
    <row r="71" spans="1:22" x14ac:dyDescent="0.3">
      <c r="A71" s="67"/>
      <c r="B71" s="25"/>
      <c r="C71" s="25"/>
      <c r="D71" s="65"/>
      <c r="E71" s="66"/>
      <c r="F71" s="67"/>
      <c r="G71" s="67"/>
      <c r="H71" s="67"/>
      <c r="I71" s="68"/>
      <c r="J71" s="67"/>
      <c r="K71" s="67"/>
      <c r="L71" s="79"/>
      <c r="M71" s="71"/>
      <c r="N71" s="205"/>
      <c r="O71" s="71"/>
      <c r="P71" s="72"/>
      <c r="Q71" s="35"/>
      <c r="R71" s="25"/>
      <c r="S71" s="25"/>
      <c r="T71" s="25"/>
      <c r="V71" s="9"/>
    </row>
    <row r="72" spans="1:22" x14ac:dyDescent="0.3">
      <c r="A72" s="67"/>
      <c r="B72" s="25"/>
      <c r="C72" s="25"/>
      <c r="D72" s="65"/>
      <c r="E72" s="66"/>
      <c r="F72" s="67"/>
      <c r="G72" s="67"/>
      <c r="H72" s="67"/>
      <c r="I72" s="68"/>
      <c r="J72" s="67"/>
      <c r="K72" s="67"/>
      <c r="L72" s="79"/>
      <c r="M72" s="71"/>
      <c r="N72" s="205"/>
      <c r="O72" s="71"/>
      <c r="P72" s="72"/>
      <c r="Q72" s="35"/>
      <c r="R72" s="25"/>
      <c r="S72" s="25"/>
      <c r="T72" s="25"/>
      <c r="V72" s="9"/>
    </row>
    <row r="73" spans="1:22" x14ac:dyDescent="0.3">
      <c r="A73" s="67"/>
      <c r="B73" s="25"/>
      <c r="C73" s="25"/>
      <c r="D73" s="65"/>
      <c r="E73" s="66"/>
      <c r="F73" s="67"/>
      <c r="G73" s="67"/>
      <c r="H73" s="67"/>
      <c r="I73" s="68"/>
      <c r="J73" s="67"/>
      <c r="K73" s="67"/>
      <c r="L73" s="79"/>
      <c r="M73" s="71"/>
      <c r="N73" s="205"/>
      <c r="O73" s="71"/>
      <c r="P73" s="72"/>
      <c r="Q73" s="35"/>
      <c r="R73" s="25"/>
      <c r="S73" s="25"/>
      <c r="T73" s="25"/>
      <c r="V73" s="9"/>
    </row>
    <row r="74" spans="1:22" ht="18.75" customHeight="1" x14ac:dyDescent="0.3">
      <c r="A74" s="67"/>
      <c r="B74" s="32"/>
      <c r="C74" s="26"/>
      <c r="D74" s="87"/>
      <c r="E74" s="88"/>
      <c r="F74" s="89"/>
      <c r="G74" s="89"/>
      <c r="H74" s="89"/>
      <c r="I74" s="90"/>
      <c r="J74" s="89"/>
      <c r="K74" s="89"/>
      <c r="L74" s="91"/>
      <c r="M74" s="92"/>
      <c r="N74" s="211"/>
      <c r="O74" s="92"/>
      <c r="P74" s="93"/>
      <c r="Q74" s="36"/>
      <c r="R74" s="26"/>
      <c r="S74" s="26"/>
      <c r="T74" s="26"/>
      <c r="V74" s="9"/>
    </row>
    <row r="75" spans="1:22" x14ac:dyDescent="0.3">
      <c r="A75" s="67"/>
    </row>
    <row r="76" spans="1:22" x14ac:dyDescent="0.3">
      <c r="A76" s="67"/>
    </row>
    <row r="77" spans="1:22" x14ac:dyDescent="0.3">
      <c r="A77" s="67"/>
    </row>
    <row r="78" spans="1:22" x14ac:dyDescent="0.3">
      <c r="A78" s="67"/>
    </row>
    <row r="79" spans="1:22" x14ac:dyDescent="0.3">
      <c r="A79" s="67"/>
    </row>
    <row r="80" spans="1:22" x14ac:dyDescent="0.3">
      <c r="A80" s="89"/>
    </row>
  </sheetData>
  <autoFilter ref="A1:A12" xr:uid="{CCD2F1C9-F65A-4B04-9002-E1882FAF227E}"/>
  <phoneticPr fontId="1" type="noConversion"/>
  <pageMargins left="0.70866141732283472" right="0.70866141732283472" top="0.74803149606299213" bottom="0.74803149606299213" header="0.31496062992125984" footer="0.31496062992125984"/>
  <pageSetup paperSize="9" scale="45" orientation="landscape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A012-E942-4143-B7F7-534EEBBD4268}">
  <dimension ref="A1:X4"/>
  <sheetViews>
    <sheetView zoomScale="85" zoomScaleNormal="85" workbookViewId="0">
      <selection activeCell="A19" sqref="A6:A19"/>
    </sheetView>
  </sheetViews>
  <sheetFormatPr defaultRowHeight="16.5" x14ac:dyDescent="0.3"/>
  <cols>
    <col min="1" max="1" width="74.375" bestFit="1" customWidth="1"/>
    <col min="2" max="2" width="5.25" bestFit="1" customWidth="1"/>
    <col min="3" max="3" width="13.75" bestFit="1" customWidth="1"/>
    <col min="4" max="4" width="15" bestFit="1" customWidth="1"/>
    <col min="5" max="5" width="45.375" customWidth="1"/>
    <col min="6" max="6" width="11.625" hidden="1" customWidth="1"/>
    <col min="7" max="8" width="13.25" hidden="1" customWidth="1"/>
    <col min="9" max="9" width="74.375" hidden="1" customWidth="1"/>
    <col min="10" max="10" width="35.375" hidden="1" customWidth="1"/>
    <col min="11" max="11" width="10.75" hidden="1" customWidth="1"/>
    <col min="12" max="12" width="12.125" hidden="1" customWidth="1"/>
    <col min="13" max="13" width="0.375" hidden="1" customWidth="1"/>
    <col min="14" max="14" width="27.5" hidden="1" customWidth="1"/>
    <col min="15" max="15" width="17.375" hidden="1" customWidth="1"/>
    <col min="16" max="16" width="18.25" hidden="1" customWidth="1"/>
    <col min="17" max="17" width="17.625" hidden="1" customWidth="1"/>
    <col min="18" max="18" width="16" hidden="1" customWidth="1"/>
    <col min="19" max="19" width="5.875" hidden="1" customWidth="1"/>
    <col min="20" max="20" width="89.5" bestFit="1" customWidth="1"/>
    <col min="21" max="21" width="9" bestFit="1" customWidth="1"/>
    <col min="22" max="22" width="9.625" bestFit="1" customWidth="1"/>
    <col min="23" max="23" width="15" bestFit="1" customWidth="1"/>
    <col min="24" max="24" width="88.125" bestFit="1" customWidth="1"/>
    <col min="25" max="25" width="19.5" customWidth="1"/>
  </cols>
  <sheetData>
    <row r="1" spans="1:24" ht="17.25" x14ac:dyDescent="0.3">
      <c r="A1" s="172" t="s">
        <v>113</v>
      </c>
      <c r="B1" s="30" t="s">
        <v>744</v>
      </c>
      <c r="C1" s="30"/>
      <c r="D1" s="31" t="s">
        <v>437</v>
      </c>
      <c r="E1" s="30" t="s">
        <v>0</v>
      </c>
      <c r="F1" s="29" t="s">
        <v>434</v>
      </c>
      <c r="G1" s="48" t="s">
        <v>1</v>
      </c>
      <c r="H1" s="49" t="s">
        <v>2</v>
      </c>
      <c r="I1" s="50" t="s">
        <v>113</v>
      </c>
      <c r="J1" s="51" t="s">
        <v>435</v>
      </c>
      <c r="K1" s="51" t="s">
        <v>436</v>
      </c>
      <c r="L1" s="52" t="s">
        <v>450</v>
      </c>
      <c r="M1" s="51" t="s">
        <v>439</v>
      </c>
      <c r="N1" s="51" t="s">
        <v>438</v>
      </c>
      <c r="O1" s="53" t="s">
        <v>486</v>
      </c>
      <c r="P1" s="54" t="s">
        <v>487</v>
      </c>
      <c r="Q1" s="203" t="s">
        <v>423</v>
      </c>
      <c r="R1" s="54" t="s">
        <v>606</v>
      </c>
      <c r="S1" s="55" t="s">
        <v>607</v>
      </c>
      <c r="T1" s="33" t="s">
        <v>431</v>
      </c>
      <c r="U1" s="31" t="s">
        <v>432</v>
      </c>
      <c r="V1" s="31" t="s">
        <v>433</v>
      </c>
      <c r="W1" s="31" t="s">
        <v>437</v>
      </c>
      <c r="X1" s="30" t="s">
        <v>511</v>
      </c>
    </row>
    <row r="2" spans="1:24" ht="17.25" x14ac:dyDescent="0.3">
      <c r="A2" s="292" t="s">
        <v>597</v>
      </c>
      <c r="B2" s="13" t="s">
        <v>745</v>
      </c>
      <c r="C2" s="13" t="s">
        <v>757</v>
      </c>
      <c r="D2" s="126" t="s">
        <v>601</v>
      </c>
      <c r="E2" s="126" t="s">
        <v>593</v>
      </c>
      <c r="F2" s="127">
        <v>45842</v>
      </c>
      <c r="G2" s="128">
        <v>45843</v>
      </c>
      <c r="H2" s="129">
        <v>45847</v>
      </c>
      <c r="I2" s="130" t="s">
        <v>597</v>
      </c>
      <c r="J2" s="130"/>
      <c r="K2" s="130"/>
      <c r="L2" s="131" t="s">
        <v>459</v>
      </c>
      <c r="M2" s="130" t="s">
        <v>732</v>
      </c>
      <c r="N2" s="130" t="s">
        <v>731</v>
      </c>
      <c r="O2" s="132">
        <v>6127000</v>
      </c>
      <c r="P2" s="133"/>
      <c r="Q2" s="208">
        <f>SUM(표1_6[[#This Row],[본 공사 금액]:[추가 공사 금액]])</f>
        <v>33220000</v>
      </c>
      <c r="R2" s="133">
        <v>2298132</v>
      </c>
      <c r="S2" s="134">
        <v>0.41</v>
      </c>
      <c r="T2" s="135" t="s">
        <v>598</v>
      </c>
      <c r="U2" s="126" t="s">
        <v>599</v>
      </c>
      <c r="V2" s="126" t="s">
        <v>600</v>
      </c>
      <c r="W2" s="126" t="s">
        <v>601</v>
      </c>
      <c r="X2" s="136"/>
    </row>
    <row r="3" spans="1:24" s="3" customFormat="1" ht="17.25" x14ac:dyDescent="0.3">
      <c r="A3" s="130" t="s">
        <v>561</v>
      </c>
      <c r="B3" s="13" t="s">
        <v>745</v>
      </c>
      <c r="C3" s="13"/>
      <c r="D3" s="126" t="s">
        <v>759</v>
      </c>
      <c r="E3" s="126" t="s">
        <v>583</v>
      </c>
      <c r="F3" s="127">
        <v>45792</v>
      </c>
      <c r="G3" s="128">
        <v>45803</v>
      </c>
      <c r="H3" s="129">
        <v>45853</v>
      </c>
      <c r="I3" s="130" t="s">
        <v>561</v>
      </c>
      <c r="J3" s="130" t="s">
        <v>562</v>
      </c>
      <c r="K3" s="130"/>
      <c r="L3" s="131"/>
      <c r="M3" s="130"/>
      <c r="N3" s="130"/>
      <c r="O3" s="132">
        <v>52800000</v>
      </c>
      <c r="P3" s="133">
        <v>6468000</v>
      </c>
      <c r="Q3" s="208">
        <f>SUM(표1_6[[#This Row],[본 공사 금액]:[추가 공사 금액]])</f>
        <v>27335000</v>
      </c>
      <c r="R3" s="133">
        <v>18357259</v>
      </c>
      <c r="S3" s="134">
        <v>0.38</v>
      </c>
      <c r="T3" s="135" t="s">
        <v>747</v>
      </c>
      <c r="U3" s="126"/>
      <c r="V3" s="126"/>
      <c r="W3" s="126"/>
      <c r="X3" s="136"/>
    </row>
    <row r="4" spans="1:24" ht="17.25" x14ac:dyDescent="0.3">
      <c r="A4" s="292" t="s">
        <v>503</v>
      </c>
      <c r="B4" s="13" t="s">
        <v>745</v>
      </c>
      <c r="C4" s="13" t="s">
        <v>758</v>
      </c>
      <c r="D4" s="126" t="s">
        <v>508</v>
      </c>
      <c r="E4" s="136" t="s">
        <v>502</v>
      </c>
      <c r="F4" s="293">
        <v>45736</v>
      </c>
      <c r="G4" s="128">
        <v>45737</v>
      </c>
      <c r="H4" s="129">
        <v>45750</v>
      </c>
      <c r="I4" s="130" t="s">
        <v>503</v>
      </c>
      <c r="J4" s="130" t="s">
        <v>504</v>
      </c>
      <c r="K4" s="130" t="s">
        <v>505</v>
      </c>
      <c r="L4" s="131" t="s">
        <v>459</v>
      </c>
      <c r="M4" s="130" t="s">
        <v>514</v>
      </c>
      <c r="N4" s="290" t="s">
        <v>506</v>
      </c>
      <c r="O4" s="291">
        <v>40000000</v>
      </c>
      <c r="P4" s="133"/>
      <c r="Q4" s="208">
        <f>SUM(표1_6[[#This Row],[본 공사 금액]:[추가 공사 금액]])</f>
        <v>32500000</v>
      </c>
      <c r="R4" s="133">
        <v>10606044</v>
      </c>
      <c r="S4" s="134">
        <v>0.28999999999999998</v>
      </c>
      <c r="T4" s="135" t="s">
        <v>507</v>
      </c>
      <c r="U4" s="126" t="s">
        <v>444</v>
      </c>
      <c r="V4" s="126" t="s">
        <v>443</v>
      </c>
      <c r="W4" s="126" t="s">
        <v>508</v>
      </c>
      <c r="X4" s="136" t="s">
        <v>746</v>
      </c>
    </row>
  </sheetData>
  <autoFilter ref="A1:X1" xr:uid="{B4B7A012-E942-4143-B7F7-534EEBBD4268}"/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A9DF6-091A-4C24-855E-134FCDBD0F0E}">
  <dimension ref="A2:N57"/>
  <sheetViews>
    <sheetView workbookViewId="0">
      <pane ySplit="3" topLeftCell="A40" activePane="bottomLeft" state="frozen"/>
      <selection pane="bottomLeft" activeCell="A53" sqref="A53:XFD54"/>
    </sheetView>
  </sheetViews>
  <sheetFormatPr defaultRowHeight="16.5" x14ac:dyDescent="0.3"/>
  <cols>
    <col min="2" max="2" width="35.125" customWidth="1"/>
    <col min="3" max="4" width="17.875" style="1" customWidth="1"/>
    <col min="5" max="5" width="42.625" customWidth="1"/>
    <col min="6" max="6" width="22.375" customWidth="1"/>
    <col min="7" max="7" width="22.375" style="7" customWidth="1"/>
    <col min="8" max="8" width="9" style="22"/>
    <col min="9" max="9" width="80" bestFit="1" customWidth="1"/>
  </cols>
  <sheetData>
    <row r="2" spans="1:14" x14ac:dyDescent="0.3">
      <c r="A2" t="s">
        <v>5</v>
      </c>
    </row>
    <row r="3" spans="1:14" x14ac:dyDescent="0.3">
      <c r="B3" s="9" t="s">
        <v>0</v>
      </c>
      <c r="C3" s="10" t="s">
        <v>1</v>
      </c>
      <c r="D3" s="10" t="s">
        <v>2</v>
      </c>
      <c r="E3" s="9" t="s">
        <v>113</v>
      </c>
      <c r="F3" s="9" t="s">
        <v>176</v>
      </c>
      <c r="G3" s="12" t="s">
        <v>115</v>
      </c>
      <c r="H3" s="41" t="s">
        <v>426</v>
      </c>
      <c r="I3" s="2" t="s">
        <v>440</v>
      </c>
    </row>
    <row r="4" spans="1:14" x14ac:dyDescent="0.3">
      <c r="B4" s="9" t="s">
        <v>3</v>
      </c>
      <c r="C4" s="10">
        <v>45299</v>
      </c>
      <c r="D4" s="10">
        <v>45327</v>
      </c>
      <c r="E4" s="13" t="s">
        <v>177</v>
      </c>
      <c r="F4" s="13" t="s">
        <v>178</v>
      </c>
      <c r="G4" s="17">
        <v>9830000</v>
      </c>
      <c r="H4" s="42"/>
      <c r="I4" s="4"/>
      <c r="J4" s="5"/>
      <c r="K4" s="5"/>
      <c r="L4" s="5"/>
      <c r="M4" s="5"/>
      <c r="N4" s="5"/>
    </row>
    <row r="5" spans="1:14" x14ac:dyDescent="0.3">
      <c r="B5" s="9" t="s">
        <v>4</v>
      </c>
      <c r="C5" s="10">
        <v>45309</v>
      </c>
      <c r="D5" s="10">
        <v>45337</v>
      </c>
      <c r="E5" s="13" t="s">
        <v>179</v>
      </c>
      <c r="F5" s="13" t="s">
        <v>180</v>
      </c>
      <c r="G5" s="17">
        <v>52448000</v>
      </c>
      <c r="H5" s="42"/>
      <c r="I5" s="4"/>
      <c r="J5" s="5"/>
      <c r="K5" s="5"/>
      <c r="L5" s="5"/>
      <c r="M5" s="5"/>
      <c r="N5" s="5"/>
    </row>
    <row r="6" spans="1:14" s="5" customFormat="1" ht="33" x14ac:dyDescent="0.3">
      <c r="B6" s="13" t="s">
        <v>6</v>
      </c>
      <c r="C6" s="20">
        <v>45315</v>
      </c>
      <c r="D6" s="20">
        <v>45343</v>
      </c>
      <c r="E6" s="16" t="s">
        <v>181</v>
      </c>
      <c r="F6" s="13" t="s">
        <v>182</v>
      </c>
      <c r="G6" s="17">
        <v>83330187</v>
      </c>
      <c r="H6" s="42"/>
      <c r="I6" s="4"/>
    </row>
    <row r="7" spans="1:14" s="5" customFormat="1" x14ac:dyDescent="0.3">
      <c r="B7" s="13" t="s">
        <v>7</v>
      </c>
      <c r="C7" s="20">
        <v>45355</v>
      </c>
      <c r="D7" s="20">
        <v>45374</v>
      </c>
      <c r="E7" s="13" t="s">
        <v>183</v>
      </c>
      <c r="F7" s="13" t="s">
        <v>184</v>
      </c>
      <c r="G7" s="17">
        <v>23400000</v>
      </c>
      <c r="H7" s="42"/>
      <c r="I7" s="4"/>
    </row>
    <row r="8" spans="1:14" s="5" customFormat="1" x14ac:dyDescent="0.3">
      <c r="B8" s="13" t="s">
        <v>8</v>
      </c>
      <c r="C8" s="20">
        <v>45355</v>
      </c>
      <c r="D8" s="20">
        <v>45368</v>
      </c>
      <c r="E8" s="13" t="s">
        <v>185</v>
      </c>
      <c r="F8" s="13" t="s">
        <v>186</v>
      </c>
      <c r="G8" s="17">
        <v>17952000</v>
      </c>
      <c r="H8" s="42"/>
      <c r="I8" s="4"/>
    </row>
    <row r="9" spans="1:14" s="5" customFormat="1" x14ac:dyDescent="0.3">
      <c r="A9" s="24"/>
      <c r="B9" s="13" t="s">
        <v>10</v>
      </c>
      <c r="C9" s="20">
        <v>45355</v>
      </c>
      <c r="D9" s="20">
        <v>45386</v>
      </c>
      <c r="E9" s="13" t="s">
        <v>189</v>
      </c>
      <c r="F9" s="13" t="s">
        <v>190</v>
      </c>
      <c r="G9" s="17">
        <v>75900000</v>
      </c>
      <c r="H9" s="42"/>
      <c r="I9" s="4"/>
    </row>
    <row r="10" spans="1:14" s="5" customFormat="1" x14ac:dyDescent="0.3">
      <c r="A10" s="24"/>
      <c r="B10" s="13" t="s">
        <v>9</v>
      </c>
      <c r="C10" s="20">
        <v>45357</v>
      </c>
      <c r="D10" s="20">
        <v>45374</v>
      </c>
      <c r="E10" s="13" t="s">
        <v>187</v>
      </c>
      <c r="F10" s="13" t="s">
        <v>188</v>
      </c>
      <c r="G10" s="17">
        <v>16192000</v>
      </c>
      <c r="H10" s="42"/>
      <c r="I10" s="4"/>
    </row>
    <row r="11" spans="1:14" s="5" customFormat="1" x14ac:dyDescent="0.3">
      <c r="A11" s="24"/>
      <c r="B11" s="13" t="s">
        <v>12</v>
      </c>
      <c r="C11" s="20">
        <v>45363</v>
      </c>
      <c r="D11" s="20">
        <v>45390</v>
      </c>
      <c r="E11" s="13" t="s">
        <v>194</v>
      </c>
      <c r="F11" s="13" t="s">
        <v>195</v>
      </c>
      <c r="G11" s="17">
        <v>18600000</v>
      </c>
      <c r="H11" s="42"/>
      <c r="I11" s="4"/>
    </row>
    <row r="12" spans="1:14" s="5" customFormat="1" x14ac:dyDescent="0.3">
      <c r="B12" s="13" t="s">
        <v>11</v>
      </c>
      <c r="C12" s="20">
        <v>45369</v>
      </c>
      <c r="D12" s="20">
        <v>45387</v>
      </c>
      <c r="E12" s="13" t="s">
        <v>191</v>
      </c>
      <c r="F12" s="13" t="s">
        <v>192</v>
      </c>
      <c r="G12" s="17">
        <v>17600000</v>
      </c>
      <c r="H12" s="42"/>
      <c r="I12" s="4"/>
    </row>
    <row r="13" spans="1:14" s="5" customFormat="1" x14ac:dyDescent="0.3">
      <c r="A13" s="24"/>
      <c r="B13" s="13" t="s">
        <v>46</v>
      </c>
      <c r="C13" s="20">
        <v>45376</v>
      </c>
      <c r="D13" s="20">
        <v>45390</v>
      </c>
      <c r="E13" s="13" t="s">
        <v>196</v>
      </c>
      <c r="F13" s="13" t="s">
        <v>193</v>
      </c>
      <c r="G13" s="17">
        <v>22221100</v>
      </c>
      <c r="H13" s="42"/>
      <c r="I13" s="4"/>
    </row>
    <row r="14" spans="1:14" s="5" customFormat="1" x14ac:dyDescent="0.3">
      <c r="B14" s="13" t="s">
        <v>14</v>
      </c>
      <c r="C14" s="20">
        <v>45387</v>
      </c>
      <c r="D14" s="20">
        <v>45402</v>
      </c>
      <c r="E14" s="13" t="s">
        <v>199</v>
      </c>
      <c r="F14" s="13" t="s">
        <v>14</v>
      </c>
      <c r="G14" s="17">
        <v>15300000</v>
      </c>
      <c r="H14" s="42"/>
      <c r="I14" s="4"/>
    </row>
    <row r="15" spans="1:14" s="5" customFormat="1" x14ac:dyDescent="0.3">
      <c r="B15" s="13" t="s">
        <v>13</v>
      </c>
      <c r="C15" s="20">
        <v>45390</v>
      </c>
      <c r="D15" s="20">
        <v>45399</v>
      </c>
      <c r="E15" s="13" t="s">
        <v>197</v>
      </c>
      <c r="F15" s="13" t="s">
        <v>198</v>
      </c>
      <c r="G15" s="17">
        <v>7316000</v>
      </c>
      <c r="H15" s="42"/>
      <c r="I15" s="4"/>
    </row>
    <row r="16" spans="1:14" s="5" customFormat="1" x14ac:dyDescent="0.3">
      <c r="B16" s="13" t="s">
        <v>18</v>
      </c>
      <c r="C16" s="20">
        <v>45413</v>
      </c>
      <c r="D16" s="20">
        <v>45436</v>
      </c>
      <c r="E16" s="13" t="s">
        <v>205</v>
      </c>
      <c r="F16" s="13" t="s">
        <v>206</v>
      </c>
      <c r="G16" s="17">
        <v>4136000</v>
      </c>
      <c r="H16" s="42"/>
      <c r="I16" s="4"/>
    </row>
    <row r="17" spans="1:14" s="5" customFormat="1" x14ac:dyDescent="0.3">
      <c r="A17" s="24"/>
      <c r="B17" s="13" t="s">
        <v>15</v>
      </c>
      <c r="C17" s="20">
        <v>45429</v>
      </c>
      <c r="D17" s="20">
        <v>45465</v>
      </c>
      <c r="E17" s="13" t="s">
        <v>200</v>
      </c>
      <c r="F17" s="13" t="s">
        <v>201</v>
      </c>
      <c r="G17" s="17">
        <v>80487000</v>
      </c>
      <c r="H17" s="42">
        <v>0.1</v>
      </c>
      <c r="I17" s="4"/>
    </row>
    <row r="18" spans="1:14" s="5" customFormat="1" x14ac:dyDescent="0.3">
      <c r="B18" s="13" t="s">
        <v>17</v>
      </c>
      <c r="C18" s="20">
        <v>45435</v>
      </c>
      <c r="D18" s="20">
        <v>45440</v>
      </c>
      <c r="E18" s="13" t="s">
        <v>203</v>
      </c>
      <c r="F18" s="13" t="s">
        <v>204</v>
      </c>
      <c r="G18" s="17">
        <v>6000000</v>
      </c>
      <c r="H18" s="42">
        <v>0.28000000000000003</v>
      </c>
      <c r="I18" s="4"/>
    </row>
    <row r="19" spans="1:14" s="5" customFormat="1" x14ac:dyDescent="0.3">
      <c r="A19" s="24"/>
      <c r="B19" s="13" t="s">
        <v>16</v>
      </c>
      <c r="C19" s="20">
        <v>45437</v>
      </c>
      <c r="D19" s="20">
        <v>45448</v>
      </c>
      <c r="E19" s="13" t="s">
        <v>202</v>
      </c>
      <c r="F19" s="13" t="s">
        <v>16</v>
      </c>
      <c r="G19" s="17">
        <v>18877000</v>
      </c>
      <c r="H19" s="42"/>
      <c r="I19" s="4"/>
    </row>
    <row r="20" spans="1:14" s="5" customFormat="1" x14ac:dyDescent="0.3">
      <c r="B20" s="13" t="s">
        <v>19</v>
      </c>
      <c r="C20" s="20">
        <v>45451</v>
      </c>
      <c r="D20" s="20">
        <v>45467</v>
      </c>
      <c r="E20" s="13" t="s">
        <v>207</v>
      </c>
      <c r="F20" s="13" t="s">
        <v>208</v>
      </c>
      <c r="G20" s="17">
        <v>12606000</v>
      </c>
      <c r="H20" s="42">
        <v>0.25</v>
      </c>
      <c r="I20" s="4"/>
    </row>
    <row r="21" spans="1:14" s="5" customFormat="1" x14ac:dyDescent="0.3">
      <c r="A21" s="24"/>
      <c r="B21" s="13" t="s">
        <v>424</v>
      </c>
      <c r="C21" s="20">
        <v>45453</v>
      </c>
      <c r="D21" s="20">
        <v>45475</v>
      </c>
      <c r="E21" s="13" t="s">
        <v>209</v>
      </c>
      <c r="F21" s="13" t="s">
        <v>210</v>
      </c>
      <c r="G21" s="17">
        <v>43703000</v>
      </c>
      <c r="H21" s="42">
        <v>0.32</v>
      </c>
      <c r="I21" s="4"/>
    </row>
    <row r="22" spans="1:14" s="5" customFormat="1" x14ac:dyDescent="0.3">
      <c r="A22" s="24"/>
      <c r="B22" s="13" t="s">
        <v>425</v>
      </c>
      <c r="C22" s="20">
        <v>45453</v>
      </c>
      <c r="D22" s="20">
        <v>45475</v>
      </c>
      <c r="E22" s="13" t="s">
        <v>214</v>
      </c>
      <c r="F22" s="13" t="s">
        <v>215</v>
      </c>
      <c r="G22" s="17">
        <v>31625000</v>
      </c>
      <c r="H22" s="42">
        <v>0.27</v>
      </c>
      <c r="I22" s="4"/>
    </row>
    <row r="23" spans="1:14" s="5" customFormat="1" x14ac:dyDescent="0.3">
      <c r="B23" s="13" t="s">
        <v>20</v>
      </c>
      <c r="C23" s="20">
        <v>45458</v>
      </c>
      <c r="D23" s="20">
        <v>45460</v>
      </c>
      <c r="E23" s="13" t="s">
        <v>211</v>
      </c>
      <c r="F23" s="13" t="s">
        <v>16</v>
      </c>
      <c r="G23" s="17">
        <v>1826000</v>
      </c>
      <c r="H23" s="42"/>
      <c r="I23" s="4"/>
    </row>
    <row r="24" spans="1:14" s="5" customFormat="1" x14ac:dyDescent="0.3">
      <c r="A24" s="24"/>
      <c r="B24" s="13" t="s">
        <v>21</v>
      </c>
      <c r="C24" s="20">
        <v>45460</v>
      </c>
      <c r="D24" s="20">
        <v>45479</v>
      </c>
      <c r="E24" s="13" t="s">
        <v>212</v>
      </c>
      <c r="F24" s="13" t="s">
        <v>213</v>
      </c>
      <c r="G24" s="17">
        <v>24800000</v>
      </c>
      <c r="H24" s="42"/>
      <c r="I24" s="4"/>
    </row>
    <row r="25" spans="1:14" s="5" customFormat="1" x14ac:dyDescent="0.3">
      <c r="B25" s="13" t="s">
        <v>22</v>
      </c>
      <c r="C25" s="20">
        <v>45471</v>
      </c>
      <c r="D25" s="20">
        <v>45492</v>
      </c>
      <c r="E25" s="13" t="s">
        <v>216</v>
      </c>
      <c r="F25" s="13" t="s">
        <v>217</v>
      </c>
      <c r="G25" s="17">
        <v>27500000</v>
      </c>
      <c r="H25" s="42"/>
      <c r="I25" s="4"/>
    </row>
    <row r="26" spans="1:14" s="5" customFormat="1" x14ac:dyDescent="0.3">
      <c r="B26" s="13" t="s">
        <v>23</v>
      </c>
      <c r="C26" s="20">
        <v>45471</v>
      </c>
      <c r="D26" s="20">
        <v>45476</v>
      </c>
      <c r="E26" s="13" t="s">
        <v>218</v>
      </c>
      <c r="F26" s="13" t="s">
        <v>219</v>
      </c>
      <c r="G26" s="17">
        <v>2255000</v>
      </c>
      <c r="H26" s="42"/>
      <c r="I26" s="4"/>
    </row>
    <row r="27" spans="1:14" s="5" customFormat="1" x14ac:dyDescent="0.3">
      <c r="B27" s="13" t="s">
        <v>24</v>
      </c>
      <c r="C27" s="20">
        <v>45476</v>
      </c>
      <c r="D27" s="20">
        <v>45495</v>
      </c>
      <c r="E27" s="13" t="s">
        <v>220</v>
      </c>
      <c r="F27" s="13" t="s">
        <v>221</v>
      </c>
      <c r="G27" s="17">
        <v>13695000</v>
      </c>
      <c r="H27" s="42"/>
      <c r="I27" s="4"/>
    </row>
    <row r="28" spans="1:14" s="5" customFormat="1" x14ac:dyDescent="0.3">
      <c r="B28" s="13" t="s">
        <v>25</v>
      </c>
      <c r="C28" s="20">
        <v>45481</v>
      </c>
      <c r="D28" s="20">
        <v>45504</v>
      </c>
      <c r="E28" s="13" t="s">
        <v>222</v>
      </c>
      <c r="F28" s="13" t="s">
        <v>223</v>
      </c>
      <c r="G28" s="17">
        <v>22500000</v>
      </c>
      <c r="H28" s="42"/>
      <c r="I28" s="4"/>
    </row>
    <row r="29" spans="1:14" s="5" customFormat="1" x14ac:dyDescent="0.3">
      <c r="B29" s="13" t="s">
        <v>26</v>
      </c>
      <c r="C29" s="20">
        <v>45491</v>
      </c>
      <c r="D29" s="20">
        <v>45503</v>
      </c>
      <c r="E29" s="13" t="s">
        <v>26</v>
      </c>
      <c r="F29" s="13" t="s">
        <v>224</v>
      </c>
      <c r="G29" s="17">
        <v>8700000</v>
      </c>
      <c r="H29" s="42"/>
      <c r="I29" s="4"/>
    </row>
    <row r="30" spans="1:14" s="5" customFormat="1" x14ac:dyDescent="0.3">
      <c r="B30" s="13" t="s">
        <v>225</v>
      </c>
      <c r="C30" s="20">
        <v>45499</v>
      </c>
      <c r="D30" s="20">
        <v>45504</v>
      </c>
      <c r="E30" s="13" t="s">
        <v>226</v>
      </c>
      <c r="F30" s="13" t="s">
        <v>227</v>
      </c>
      <c r="G30" s="17">
        <v>3685000</v>
      </c>
      <c r="H30" s="42"/>
      <c r="I30" s="4"/>
    </row>
    <row r="31" spans="1:14" s="5" customFormat="1" x14ac:dyDescent="0.3">
      <c r="A31" s="24"/>
      <c r="B31" s="13" t="s">
        <v>28</v>
      </c>
      <c r="C31" s="20">
        <v>45502</v>
      </c>
      <c r="D31" s="20">
        <v>45514</v>
      </c>
      <c r="E31" s="13" t="s">
        <v>230</v>
      </c>
      <c r="F31" s="13" t="s">
        <v>231</v>
      </c>
      <c r="G31" s="17">
        <v>16470000</v>
      </c>
      <c r="H31" s="42"/>
      <c r="I31" s="4"/>
    </row>
    <row r="32" spans="1:14" x14ac:dyDescent="0.3">
      <c r="A32" s="5"/>
      <c r="B32" s="13" t="s">
        <v>27</v>
      </c>
      <c r="C32" s="20">
        <v>45503</v>
      </c>
      <c r="D32" s="20">
        <v>45503</v>
      </c>
      <c r="E32" s="13" t="s">
        <v>228</v>
      </c>
      <c r="F32" s="13" t="s">
        <v>229</v>
      </c>
      <c r="G32" s="17">
        <v>440000</v>
      </c>
      <c r="H32" s="42"/>
      <c r="I32" s="4"/>
      <c r="J32" s="5"/>
      <c r="K32" s="5"/>
      <c r="L32" s="5"/>
      <c r="M32" s="5"/>
      <c r="N32" s="5"/>
    </row>
    <row r="33" spans="1:14" x14ac:dyDescent="0.3">
      <c r="A33" s="5"/>
      <c r="B33" s="13" t="s">
        <v>29</v>
      </c>
      <c r="C33" s="20">
        <v>45510</v>
      </c>
      <c r="D33" s="20">
        <v>45512</v>
      </c>
      <c r="E33" s="13" t="s">
        <v>232</v>
      </c>
      <c r="F33" s="13" t="s">
        <v>233</v>
      </c>
      <c r="G33" s="17">
        <v>2684000</v>
      </c>
      <c r="H33" s="42"/>
      <c r="I33" s="4"/>
      <c r="J33" s="5"/>
      <c r="K33" s="5"/>
      <c r="L33" s="5"/>
      <c r="M33" s="5"/>
      <c r="N33" s="5"/>
    </row>
    <row r="34" spans="1:14" x14ac:dyDescent="0.3">
      <c r="A34" s="5"/>
      <c r="B34" s="13" t="s">
        <v>30</v>
      </c>
      <c r="C34" s="20">
        <v>45511</v>
      </c>
      <c r="D34" s="20">
        <v>45538</v>
      </c>
      <c r="E34" s="13" t="s">
        <v>234</v>
      </c>
      <c r="F34" s="13" t="s">
        <v>235</v>
      </c>
      <c r="G34" s="17">
        <v>16400000</v>
      </c>
      <c r="H34" s="42"/>
      <c r="I34" s="4"/>
      <c r="J34" s="5"/>
      <c r="K34" s="5"/>
      <c r="L34" s="5"/>
      <c r="M34" s="5"/>
      <c r="N34" s="5"/>
    </row>
    <row r="35" spans="1:14" x14ac:dyDescent="0.3">
      <c r="A35" s="5"/>
      <c r="B35" s="13" t="s">
        <v>31</v>
      </c>
      <c r="C35" s="20">
        <v>45516</v>
      </c>
      <c r="D35" s="20">
        <v>45531</v>
      </c>
      <c r="E35" s="13" t="s">
        <v>388</v>
      </c>
      <c r="F35" s="13" t="s">
        <v>389</v>
      </c>
      <c r="G35" s="17">
        <v>2800000</v>
      </c>
      <c r="H35" s="42"/>
      <c r="I35" s="4"/>
      <c r="J35" s="5"/>
      <c r="K35" s="5"/>
      <c r="L35" s="5"/>
      <c r="M35" s="5"/>
      <c r="N35" s="5"/>
    </row>
    <row r="36" spans="1:14" s="3" customFormat="1" x14ac:dyDescent="0.3">
      <c r="A36" s="24"/>
      <c r="B36" s="13" t="s">
        <v>32</v>
      </c>
      <c r="C36" s="20">
        <v>45518</v>
      </c>
      <c r="D36" s="20">
        <v>45535</v>
      </c>
      <c r="E36" s="13" t="s">
        <v>236</v>
      </c>
      <c r="F36" s="13" t="s">
        <v>237</v>
      </c>
      <c r="G36" s="17">
        <v>22200000</v>
      </c>
      <c r="H36" s="42">
        <v>0.28000000000000003</v>
      </c>
      <c r="I36" s="4"/>
      <c r="J36" s="5"/>
      <c r="K36" s="5"/>
      <c r="L36" s="5"/>
      <c r="M36" s="5"/>
      <c r="N36" s="5"/>
    </row>
    <row r="37" spans="1:14" x14ac:dyDescent="0.3">
      <c r="A37" s="5"/>
      <c r="B37" s="13" t="s">
        <v>33</v>
      </c>
      <c r="C37" s="20">
        <v>45529</v>
      </c>
      <c r="D37" s="20">
        <v>45542</v>
      </c>
      <c r="E37" s="13" t="s">
        <v>238</v>
      </c>
      <c r="F37" s="13" t="s">
        <v>239</v>
      </c>
      <c r="G37" s="17">
        <v>12529000</v>
      </c>
      <c r="H37" s="42">
        <v>0.57999999999999996</v>
      </c>
      <c r="I37" s="4"/>
      <c r="J37" s="5"/>
      <c r="K37" s="5"/>
      <c r="L37" s="5"/>
      <c r="M37" s="5"/>
      <c r="N37" s="5"/>
    </row>
    <row r="38" spans="1:14" x14ac:dyDescent="0.3">
      <c r="A38" s="5"/>
      <c r="B38" s="13" t="s">
        <v>34</v>
      </c>
      <c r="C38" s="20">
        <v>45534</v>
      </c>
      <c r="D38" s="20">
        <v>45545</v>
      </c>
      <c r="E38" s="13"/>
      <c r="F38" s="13"/>
      <c r="G38" s="17"/>
      <c r="I38" s="4"/>
      <c r="J38" s="5"/>
      <c r="K38" s="5"/>
      <c r="L38" s="5"/>
      <c r="M38" s="5"/>
      <c r="N38" s="5"/>
    </row>
    <row r="39" spans="1:14" x14ac:dyDescent="0.3">
      <c r="A39" s="24"/>
      <c r="B39" s="13" t="s">
        <v>35</v>
      </c>
      <c r="C39" s="20">
        <v>45538</v>
      </c>
      <c r="D39" s="20">
        <v>45549</v>
      </c>
      <c r="E39" s="13" t="s">
        <v>240</v>
      </c>
      <c r="F39" s="13" t="s">
        <v>241</v>
      </c>
      <c r="G39" s="17">
        <v>14872000</v>
      </c>
      <c r="H39" s="42">
        <v>0.46</v>
      </c>
      <c r="I39" s="4"/>
      <c r="J39" s="5"/>
      <c r="K39" s="5"/>
      <c r="L39" s="5"/>
      <c r="M39" s="5"/>
      <c r="N39" s="5"/>
    </row>
    <row r="40" spans="1:14" s="3" customFormat="1" ht="33" x14ac:dyDescent="0.3">
      <c r="A40" s="24"/>
      <c r="B40" s="13" t="s">
        <v>36</v>
      </c>
      <c r="C40" s="20">
        <v>45539</v>
      </c>
      <c r="D40" s="20">
        <v>45559</v>
      </c>
      <c r="E40" s="16" t="s">
        <v>242</v>
      </c>
      <c r="F40" s="16" t="s">
        <v>243</v>
      </c>
      <c r="G40" s="17">
        <v>29799000</v>
      </c>
      <c r="H40" s="42">
        <v>0.36</v>
      </c>
      <c r="I40" s="4"/>
      <c r="J40" s="5"/>
      <c r="K40" s="5"/>
      <c r="L40" s="5"/>
      <c r="M40" s="5"/>
      <c r="N40" s="5"/>
    </row>
    <row r="41" spans="1:14" x14ac:dyDescent="0.3">
      <c r="A41" s="24"/>
      <c r="B41" s="13" t="s">
        <v>37</v>
      </c>
      <c r="C41" s="20">
        <v>45572</v>
      </c>
      <c r="D41" s="20">
        <v>45591</v>
      </c>
      <c r="E41" s="13" t="s">
        <v>244</v>
      </c>
      <c r="F41" s="13" t="s">
        <v>37</v>
      </c>
      <c r="G41" s="17">
        <v>31999000</v>
      </c>
      <c r="H41" s="42">
        <v>0.28999999999999998</v>
      </c>
      <c r="I41" s="4"/>
      <c r="J41" s="5"/>
      <c r="K41" s="5"/>
      <c r="L41" s="5"/>
      <c r="M41" s="5"/>
      <c r="N41" s="5"/>
    </row>
    <row r="42" spans="1:14" x14ac:dyDescent="0.3">
      <c r="A42" s="24"/>
      <c r="B42" s="13" t="s">
        <v>39</v>
      </c>
      <c r="C42" s="20">
        <v>45572</v>
      </c>
      <c r="D42" s="20">
        <v>45601</v>
      </c>
      <c r="E42" s="13" t="s">
        <v>247</v>
      </c>
      <c r="F42" s="13" t="s">
        <v>248</v>
      </c>
      <c r="G42" s="17">
        <v>45000000</v>
      </c>
      <c r="H42" s="42">
        <v>0.15</v>
      </c>
      <c r="I42" s="4"/>
      <c r="J42" s="5"/>
      <c r="K42" s="5"/>
      <c r="L42" s="5"/>
      <c r="M42" s="5"/>
      <c r="N42" s="5"/>
    </row>
    <row r="43" spans="1:14" s="3" customFormat="1" x14ac:dyDescent="0.3">
      <c r="A43" s="24"/>
      <c r="B43" s="9" t="s">
        <v>40</v>
      </c>
      <c r="C43" s="10">
        <v>45581</v>
      </c>
      <c r="D43" s="10">
        <v>45612</v>
      </c>
      <c r="E43" s="13" t="s">
        <v>249</v>
      </c>
      <c r="F43" s="13" t="s">
        <v>250</v>
      </c>
      <c r="G43" s="17">
        <v>19624000</v>
      </c>
      <c r="H43" s="42"/>
      <c r="I43" s="4"/>
      <c r="J43" s="5"/>
      <c r="K43" s="5"/>
      <c r="L43" s="5"/>
      <c r="M43" s="5"/>
      <c r="N43" s="5"/>
    </row>
    <row r="44" spans="1:14" x14ac:dyDescent="0.3">
      <c r="B44" s="9" t="s">
        <v>41</v>
      </c>
      <c r="C44" s="10">
        <v>45588</v>
      </c>
      <c r="D44" s="10">
        <v>45611</v>
      </c>
      <c r="E44" s="13" t="s">
        <v>251</v>
      </c>
      <c r="F44" s="13" t="s">
        <v>252</v>
      </c>
      <c r="G44" s="17">
        <v>66000000</v>
      </c>
      <c r="H44" s="42">
        <v>0.24</v>
      </c>
      <c r="I44" s="4"/>
      <c r="J44" s="5"/>
      <c r="K44" s="5"/>
      <c r="L44" s="5"/>
      <c r="M44" s="5"/>
      <c r="N44" s="5"/>
    </row>
    <row r="45" spans="1:14" x14ac:dyDescent="0.3">
      <c r="A45" s="24"/>
      <c r="B45" s="9" t="s">
        <v>38</v>
      </c>
      <c r="C45" s="10">
        <v>45592</v>
      </c>
      <c r="D45" s="10">
        <v>45602</v>
      </c>
      <c r="E45" s="13" t="s">
        <v>245</v>
      </c>
      <c r="F45" s="13" t="s">
        <v>246</v>
      </c>
      <c r="G45" s="17">
        <v>85800000</v>
      </c>
      <c r="H45" s="42">
        <v>0.21</v>
      </c>
      <c r="I45" s="4"/>
      <c r="J45" s="5"/>
      <c r="K45" s="5"/>
      <c r="L45" s="5"/>
      <c r="M45" s="5"/>
      <c r="N45" s="5"/>
    </row>
    <row r="46" spans="1:14" ht="33" x14ac:dyDescent="0.3">
      <c r="A46" s="24"/>
      <c r="B46" s="9" t="s">
        <v>42</v>
      </c>
      <c r="C46" s="10">
        <v>45603</v>
      </c>
      <c r="D46" s="10">
        <v>45607</v>
      </c>
      <c r="E46" s="13" t="s">
        <v>253</v>
      </c>
      <c r="F46" s="16" t="s">
        <v>243</v>
      </c>
      <c r="G46" s="17">
        <v>13222000</v>
      </c>
      <c r="H46" s="42"/>
      <c r="I46" s="4"/>
      <c r="J46" s="5"/>
      <c r="K46" s="5"/>
      <c r="L46" s="5"/>
      <c r="M46" s="5"/>
      <c r="N46" s="5"/>
    </row>
    <row r="47" spans="1:14" s="3" customFormat="1" ht="33" x14ac:dyDescent="0.3">
      <c r="A47" s="24"/>
      <c r="B47" s="9" t="s">
        <v>254</v>
      </c>
      <c r="C47" s="10">
        <v>45603</v>
      </c>
      <c r="D47" s="10">
        <v>45607</v>
      </c>
      <c r="E47" s="16" t="s">
        <v>255</v>
      </c>
      <c r="F47" s="16" t="s">
        <v>243</v>
      </c>
      <c r="G47" s="17">
        <v>10252000</v>
      </c>
      <c r="H47" s="42"/>
      <c r="I47" s="4"/>
      <c r="J47" s="5"/>
      <c r="K47" s="5"/>
      <c r="L47" s="5"/>
      <c r="M47" s="5"/>
      <c r="N47" s="5"/>
    </row>
    <row r="48" spans="1:14" x14ac:dyDescent="0.3">
      <c r="A48" s="24"/>
      <c r="B48" s="13" t="s">
        <v>43</v>
      </c>
      <c r="C48" s="20">
        <v>45607</v>
      </c>
      <c r="D48" s="20">
        <v>45640</v>
      </c>
      <c r="E48" s="13" t="s">
        <v>256</v>
      </c>
      <c r="F48" s="13" t="s">
        <v>257</v>
      </c>
      <c r="G48" s="17">
        <v>96160000</v>
      </c>
      <c r="H48" s="42">
        <v>0.28999999999999998</v>
      </c>
      <c r="I48" s="4" t="s">
        <v>477</v>
      </c>
      <c r="J48" s="5"/>
      <c r="K48" s="5"/>
      <c r="L48" s="5"/>
      <c r="M48" s="5"/>
      <c r="N48" s="5"/>
    </row>
    <row r="49" spans="1:14" ht="33" x14ac:dyDescent="0.3">
      <c r="A49" s="24"/>
      <c r="B49" s="9" t="s">
        <v>44</v>
      </c>
      <c r="C49" s="10">
        <v>45615</v>
      </c>
      <c r="D49" s="10">
        <v>45639</v>
      </c>
      <c r="E49" s="16" t="s">
        <v>258</v>
      </c>
      <c r="F49" s="16" t="s">
        <v>44</v>
      </c>
      <c r="G49" s="17">
        <v>31850000</v>
      </c>
      <c r="H49" s="42">
        <v>0.28000000000000003</v>
      </c>
      <c r="I49" s="4"/>
      <c r="J49" s="5"/>
      <c r="K49" s="5"/>
      <c r="L49" s="5"/>
      <c r="M49" s="5"/>
      <c r="N49" s="5"/>
    </row>
    <row r="50" spans="1:14" x14ac:dyDescent="0.3">
      <c r="A50" s="24"/>
      <c r="B50" s="9" t="s">
        <v>45</v>
      </c>
      <c r="C50" s="10">
        <v>45628</v>
      </c>
      <c r="D50" s="10">
        <v>45650</v>
      </c>
      <c r="E50" s="13" t="s">
        <v>259</v>
      </c>
      <c r="F50" s="13" t="s">
        <v>260</v>
      </c>
      <c r="G50" s="17">
        <v>25900000</v>
      </c>
      <c r="H50" s="42">
        <v>0.45</v>
      </c>
      <c r="I50" s="4"/>
      <c r="J50" s="5"/>
      <c r="K50" s="5"/>
      <c r="L50" s="5"/>
      <c r="M50" s="5"/>
      <c r="N50" s="5"/>
    </row>
    <row r="51" spans="1:14" x14ac:dyDescent="0.3">
      <c r="A51" s="24"/>
      <c r="B51" s="9" t="s">
        <v>408</v>
      </c>
      <c r="C51" s="10">
        <v>45621</v>
      </c>
      <c r="D51" s="10">
        <v>45657</v>
      </c>
      <c r="E51" s="13" t="s">
        <v>409</v>
      </c>
      <c r="F51" s="13" t="s">
        <v>410</v>
      </c>
      <c r="G51" s="17">
        <v>23287000</v>
      </c>
      <c r="H51" s="42">
        <v>0.38</v>
      </c>
      <c r="I51" s="4"/>
      <c r="J51" s="5"/>
      <c r="K51" s="5"/>
      <c r="L51" s="5"/>
      <c r="M51" s="5"/>
      <c r="N51" s="5"/>
    </row>
    <row r="52" spans="1:14" x14ac:dyDescent="0.3">
      <c r="B52" s="9" t="s">
        <v>414</v>
      </c>
      <c r="C52" s="10">
        <v>45628</v>
      </c>
      <c r="D52" s="10">
        <v>46004</v>
      </c>
      <c r="E52" s="13" t="s">
        <v>415</v>
      </c>
      <c r="F52" s="13" t="s">
        <v>416</v>
      </c>
      <c r="G52" s="12">
        <v>3905000</v>
      </c>
      <c r="H52" s="41">
        <v>0.53</v>
      </c>
      <c r="I52" s="2"/>
    </row>
    <row r="53" spans="1:14" x14ac:dyDescent="0.3">
      <c r="A53" s="24"/>
      <c r="B53" s="9" t="s">
        <v>417</v>
      </c>
      <c r="C53" s="10">
        <v>45630</v>
      </c>
      <c r="D53" s="10">
        <v>45661</v>
      </c>
      <c r="E53" s="13" t="s">
        <v>418</v>
      </c>
      <c r="F53" s="13" t="s">
        <v>419</v>
      </c>
      <c r="G53" s="12">
        <v>49100000</v>
      </c>
      <c r="H53" s="41">
        <v>0.31</v>
      </c>
      <c r="I53" s="2"/>
    </row>
    <row r="54" spans="1:14" x14ac:dyDescent="0.3">
      <c r="A54" s="24"/>
      <c r="B54" s="9" t="s">
        <v>420</v>
      </c>
      <c r="C54" s="10">
        <v>45653</v>
      </c>
      <c r="D54" s="10">
        <v>45666</v>
      </c>
      <c r="E54" s="13" t="s">
        <v>421</v>
      </c>
      <c r="F54" s="13" t="s">
        <v>422</v>
      </c>
      <c r="G54" s="12">
        <v>33220000</v>
      </c>
      <c r="H54" s="41">
        <v>0.38</v>
      </c>
      <c r="I54" s="2"/>
      <c r="J54" s="5"/>
    </row>
    <row r="55" spans="1:14" x14ac:dyDescent="0.3">
      <c r="B55" s="9" t="s">
        <v>427</v>
      </c>
      <c r="C55" s="10">
        <v>45609</v>
      </c>
      <c r="D55" s="10">
        <v>45639</v>
      </c>
      <c r="E55" s="9" t="s">
        <v>428</v>
      </c>
      <c r="F55" s="9" t="s">
        <v>429</v>
      </c>
      <c r="G55" s="12">
        <v>6502000</v>
      </c>
      <c r="H55" s="41">
        <v>0.52</v>
      </c>
      <c r="I55" s="2"/>
    </row>
    <row r="56" spans="1:14" x14ac:dyDescent="0.3">
      <c r="B56" s="9" t="s">
        <v>480</v>
      </c>
      <c r="C56" s="10">
        <v>45641</v>
      </c>
      <c r="D56" s="10" t="s">
        <v>481</v>
      </c>
      <c r="E56" s="9" t="s">
        <v>482</v>
      </c>
      <c r="F56" s="9" t="s">
        <v>483</v>
      </c>
      <c r="G56" s="12">
        <v>7700000</v>
      </c>
      <c r="H56" s="41"/>
    </row>
    <row r="57" spans="1:14" x14ac:dyDescent="0.3">
      <c r="B57" s="295" t="s">
        <v>423</v>
      </c>
      <c r="C57" s="295"/>
      <c r="D57" s="295"/>
      <c r="E57" s="295"/>
      <c r="F57" s="295"/>
      <c r="G57" s="8">
        <f>SUM(G4:G56)</f>
        <v>1330199287</v>
      </c>
      <c r="H57" s="23"/>
    </row>
  </sheetData>
  <sortState xmlns:xlrd2="http://schemas.microsoft.com/office/spreadsheetml/2017/richdata2" ref="A4:G50">
    <sortCondition ref="C4:C50"/>
  </sortState>
  <mergeCells count="1">
    <mergeCell ref="B57:F57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D483-61D7-43B2-ADC7-956C173F0EEF}">
  <dimension ref="A2:BT40"/>
  <sheetViews>
    <sheetView workbookViewId="0">
      <selection activeCell="E16" sqref="E16"/>
    </sheetView>
  </sheetViews>
  <sheetFormatPr defaultRowHeight="16.5" x14ac:dyDescent="0.3"/>
  <cols>
    <col min="2" max="2" width="25.625" customWidth="1"/>
    <col min="3" max="4" width="19.375" style="1" customWidth="1"/>
    <col min="5" max="6" width="27.5" customWidth="1"/>
    <col min="7" max="7" width="27.5" style="7" customWidth="1"/>
  </cols>
  <sheetData>
    <row r="2" spans="1:8" x14ac:dyDescent="0.3">
      <c r="A2" t="s">
        <v>47</v>
      </c>
    </row>
    <row r="3" spans="1:8" x14ac:dyDescent="0.3">
      <c r="B3" s="9" t="s">
        <v>0</v>
      </c>
      <c r="C3" s="10" t="s">
        <v>1</v>
      </c>
      <c r="D3" s="10" t="s">
        <v>2</v>
      </c>
      <c r="E3" s="9" t="s">
        <v>113</v>
      </c>
      <c r="F3" s="9" t="s">
        <v>176</v>
      </c>
      <c r="G3" s="12" t="s">
        <v>115</v>
      </c>
      <c r="H3" s="2" t="s">
        <v>390</v>
      </c>
    </row>
    <row r="4" spans="1:8" s="5" customFormat="1" x14ac:dyDescent="0.3">
      <c r="B4" s="13" t="s">
        <v>55</v>
      </c>
      <c r="C4" s="20">
        <v>44928</v>
      </c>
      <c r="D4" s="20">
        <v>44942</v>
      </c>
      <c r="E4" s="13" t="s">
        <v>261</v>
      </c>
      <c r="F4" s="13" t="s">
        <v>262</v>
      </c>
      <c r="G4" s="17">
        <v>11457600</v>
      </c>
      <c r="H4" s="4" t="s">
        <v>391</v>
      </c>
    </row>
    <row r="5" spans="1:8" s="5" customFormat="1" x14ac:dyDescent="0.3">
      <c r="B5" s="13" t="s">
        <v>57</v>
      </c>
      <c r="C5" s="20">
        <v>44958</v>
      </c>
      <c r="D5" s="20">
        <v>44975</v>
      </c>
      <c r="E5" s="13" t="s">
        <v>57</v>
      </c>
      <c r="F5" s="13" t="s">
        <v>265</v>
      </c>
      <c r="G5" s="17">
        <v>15279000</v>
      </c>
      <c r="H5" s="4" t="s">
        <v>391</v>
      </c>
    </row>
    <row r="6" spans="1:8" s="5" customFormat="1" x14ac:dyDescent="0.3">
      <c r="B6" s="13" t="s">
        <v>56</v>
      </c>
      <c r="C6" s="20">
        <v>44973</v>
      </c>
      <c r="D6" s="20">
        <v>44993</v>
      </c>
      <c r="E6" s="13" t="s">
        <v>263</v>
      </c>
      <c r="F6" s="13" t="s">
        <v>264</v>
      </c>
      <c r="G6" s="17">
        <v>21213000</v>
      </c>
      <c r="H6" s="4" t="s">
        <v>391</v>
      </c>
    </row>
    <row r="7" spans="1:8" s="5" customFormat="1" x14ac:dyDescent="0.3">
      <c r="B7" s="13" t="s">
        <v>58</v>
      </c>
      <c r="C7" s="20">
        <v>44982</v>
      </c>
      <c r="D7" s="20">
        <v>45003</v>
      </c>
      <c r="E7" s="13" t="s">
        <v>266</v>
      </c>
      <c r="F7" s="13" t="s">
        <v>266</v>
      </c>
      <c r="G7" s="17">
        <v>35500000</v>
      </c>
      <c r="H7" s="4" t="s">
        <v>391</v>
      </c>
    </row>
    <row r="8" spans="1:8" s="5" customFormat="1" x14ac:dyDescent="0.3">
      <c r="B8" s="13" t="s">
        <v>62</v>
      </c>
      <c r="C8" s="20">
        <v>45000</v>
      </c>
      <c r="D8" s="20">
        <v>45031</v>
      </c>
      <c r="E8" s="13" t="s">
        <v>273</v>
      </c>
      <c r="F8" s="13" t="s">
        <v>274</v>
      </c>
      <c r="G8" s="17">
        <v>137800000</v>
      </c>
      <c r="H8" s="4" t="s">
        <v>391</v>
      </c>
    </row>
    <row r="9" spans="1:8" s="5" customFormat="1" x14ac:dyDescent="0.3">
      <c r="B9" s="13" t="s">
        <v>59</v>
      </c>
      <c r="C9" s="20">
        <v>45008</v>
      </c>
      <c r="D9" s="20">
        <v>45033</v>
      </c>
      <c r="E9" s="13" t="s">
        <v>267</v>
      </c>
      <c r="F9" s="13" t="s">
        <v>268</v>
      </c>
      <c r="G9" s="17">
        <v>21600000</v>
      </c>
      <c r="H9" s="4" t="s">
        <v>391</v>
      </c>
    </row>
    <row r="10" spans="1:8" s="5" customFormat="1" x14ac:dyDescent="0.3">
      <c r="B10" s="13" t="s">
        <v>61</v>
      </c>
      <c r="C10" s="20">
        <v>45008</v>
      </c>
      <c r="D10" s="20">
        <v>45039</v>
      </c>
      <c r="E10" s="13" t="s">
        <v>271</v>
      </c>
      <c r="F10" s="13" t="s">
        <v>272</v>
      </c>
      <c r="G10" s="17">
        <v>62450000</v>
      </c>
      <c r="H10" s="4" t="s">
        <v>391</v>
      </c>
    </row>
    <row r="11" spans="1:8" s="5" customFormat="1" x14ac:dyDescent="0.3">
      <c r="B11" s="13" t="s">
        <v>60</v>
      </c>
      <c r="C11" s="20">
        <v>45016</v>
      </c>
      <c r="D11" s="20">
        <v>45028</v>
      </c>
      <c r="E11" s="13" t="s">
        <v>269</v>
      </c>
      <c r="F11" s="13" t="s">
        <v>270</v>
      </c>
      <c r="G11" s="17">
        <v>9029900</v>
      </c>
      <c r="H11" s="4" t="s">
        <v>391</v>
      </c>
    </row>
    <row r="12" spans="1:8" s="5" customFormat="1" x14ac:dyDescent="0.3">
      <c r="B12" s="13" t="s">
        <v>63</v>
      </c>
      <c r="C12" s="20">
        <v>45035</v>
      </c>
      <c r="D12" s="20">
        <v>45049</v>
      </c>
      <c r="E12" s="13" t="s">
        <v>275</v>
      </c>
      <c r="F12" s="13" t="s">
        <v>276</v>
      </c>
      <c r="G12" s="17">
        <v>12881000</v>
      </c>
      <c r="H12" s="4" t="s">
        <v>391</v>
      </c>
    </row>
    <row r="13" spans="1:8" s="5" customFormat="1" x14ac:dyDescent="0.3">
      <c r="B13" s="13" t="s">
        <v>64</v>
      </c>
      <c r="C13" s="20">
        <v>45040</v>
      </c>
      <c r="D13" s="20">
        <v>45086</v>
      </c>
      <c r="E13" s="13" t="s">
        <v>228</v>
      </c>
      <c r="F13" s="13" t="s">
        <v>229</v>
      </c>
      <c r="G13" s="17">
        <v>270000000</v>
      </c>
      <c r="H13" s="4" t="s">
        <v>391</v>
      </c>
    </row>
    <row r="14" spans="1:8" s="5" customFormat="1" x14ac:dyDescent="0.3">
      <c r="B14" s="13" t="s">
        <v>65</v>
      </c>
      <c r="C14" s="20">
        <v>45040</v>
      </c>
      <c r="D14" s="20">
        <v>45071</v>
      </c>
      <c r="E14" s="13" t="s">
        <v>277</v>
      </c>
      <c r="F14" s="13" t="s">
        <v>278</v>
      </c>
      <c r="G14" s="17">
        <v>35379000</v>
      </c>
      <c r="H14" s="4" t="s">
        <v>391</v>
      </c>
    </row>
    <row r="15" spans="1:8" s="5" customFormat="1" x14ac:dyDescent="0.3">
      <c r="B15" s="13" t="s">
        <v>66</v>
      </c>
      <c r="C15" s="20">
        <v>45050</v>
      </c>
      <c r="D15" s="20">
        <v>45076</v>
      </c>
      <c r="E15" s="13" t="s">
        <v>279</v>
      </c>
      <c r="F15" s="13" t="s">
        <v>280</v>
      </c>
      <c r="G15" s="17">
        <v>37000000</v>
      </c>
      <c r="H15" s="4" t="s">
        <v>391</v>
      </c>
    </row>
    <row r="16" spans="1:8" s="5" customFormat="1" x14ac:dyDescent="0.3">
      <c r="B16" s="13" t="s">
        <v>67</v>
      </c>
      <c r="C16" s="20">
        <v>45103</v>
      </c>
      <c r="D16" s="20">
        <v>45138</v>
      </c>
      <c r="E16" s="13" t="s">
        <v>286</v>
      </c>
      <c r="F16" s="13" t="s">
        <v>287</v>
      </c>
      <c r="G16" s="17">
        <v>108000000</v>
      </c>
      <c r="H16" s="4" t="s">
        <v>391</v>
      </c>
    </row>
    <row r="17" spans="1:8" s="5" customFormat="1" x14ac:dyDescent="0.3">
      <c r="B17" s="13" t="s">
        <v>285</v>
      </c>
      <c r="C17" s="20">
        <v>45105</v>
      </c>
      <c r="D17" s="20">
        <v>45107</v>
      </c>
      <c r="E17" s="13" t="s">
        <v>284</v>
      </c>
      <c r="F17" s="13" t="s">
        <v>283</v>
      </c>
      <c r="G17" s="17">
        <v>4290000</v>
      </c>
      <c r="H17" s="4" t="s">
        <v>391</v>
      </c>
    </row>
    <row r="18" spans="1:8" s="5" customFormat="1" x14ac:dyDescent="0.3">
      <c r="B18" s="13" t="s">
        <v>281</v>
      </c>
      <c r="C18" s="20">
        <v>45110</v>
      </c>
      <c r="D18" s="20">
        <v>45140</v>
      </c>
      <c r="E18" s="13" t="s">
        <v>282</v>
      </c>
      <c r="F18" s="13" t="s">
        <v>283</v>
      </c>
      <c r="G18" s="17">
        <v>88000000</v>
      </c>
      <c r="H18" s="4" t="s">
        <v>391</v>
      </c>
    </row>
    <row r="19" spans="1:8" s="5" customFormat="1" x14ac:dyDescent="0.3">
      <c r="B19" s="13" t="s">
        <v>69</v>
      </c>
      <c r="C19" s="20">
        <v>45117</v>
      </c>
      <c r="D19" s="20">
        <v>45135</v>
      </c>
      <c r="E19" s="13" t="s">
        <v>290</v>
      </c>
      <c r="F19" s="13" t="s">
        <v>291</v>
      </c>
      <c r="G19" s="17">
        <v>17149000</v>
      </c>
      <c r="H19" s="4" t="s">
        <v>392</v>
      </c>
    </row>
    <row r="20" spans="1:8" s="5" customFormat="1" x14ac:dyDescent="0.3">
      <c r="B20" s="13" t="s">
        <v>68</v>
      </c>
      <c r="C20" s="20">
        <v>45136</v>
      </c>
      <c r="D20" s="20">
        <v>45156</v>
      </c>
      <c r="E20" s="13" t="s">
        <v>288</v>
      </c>
      <c r="F20" s="13" t="s">
        <v>289</v>
      </c>
      <c r="G20" s="17">
        <v>46750000</v>
      </c>
      <c r="H20" s="4" t="s">
        <v>391</v>
      </c>
    </row>
    <row r="21" spans="1:8" s="5" customFormat="1" x14ac:dyDescent="0.3">
      <c r="B21" s="13" t="s">
        <v>71</v>
      </c>
      <c r="C21" s="20">
        <v>45148</v>
      </c>
      <c r="D21" s="20">
        <v>45155</v>
      </c>
      <c r="E21" s="13" t="s">
        <v>294</v>
      </c>
      <c r="F21" s="13" t="s">
        <v>229</v>
      </c>
      <c r="G21" s="17">
        <v>12650000</v>
      </c>
      <c r="H21" s="4" t="s">
        <v>393</v>
      </c>
    </row>
    <row r="22" spans="1:8" s="5" customFormat="1" x14ac:dyDescent="0.3">
      <c r="B22" s="13" t="s">
        <v>70</v>
      </c>
      <c r="C22" s="20">
        <v>45154</v>
      </c>
      <c r="D22" s="20">
        <v>45162</v>
      </c>
      <c r="E22" s="13" t="s">
        <v>292</v>
      </c>
      <c r="F22" s="13" t="s">
        <v>293</v>
      </c>
      <c r="G22" s="17">
        <v>6000000</v>
      </c>
      <c r="H22" s="4" t="s">
        <v>393</v>
      </c>
    </row>
    <row r="23" spans="1:8" s="5" customFormat="1" ht="33" x14ac:dyDescent="0.3">
      <c r="B23" s="13" t="s">
        <v>73</v>
      </c>
      <c r="C23" s="20">
        <v>45162</v>
      </c>
      <c r="D23" s="20">
        <v>45162</v>
      </c>
      <c r="E23" s="16" t="s">
        <v>296</v>
      </c>
      <c r="F23" s="13" t="s">
        <v>219</v>
      </c>
      <c r="G23" s="17">
        <v>2860000</v>
      </c>
      <c r="H23" s="4" t="s">
        <v>393</v>
      </c>
    </row>
    <row r="24" spans="1:8" s="5" customFormat="1" ht="33" x14ac:dyDescent="0.3">
      <c r="B24" s="13" t="s">
        <v>72</v>
      </c>
      <c r="C24" s="20">
        <v>45169</v>
      </c>
      <c r="D24" s="20">
        <v>45172</v>
      </c>
      <c r="E24" s="16" t="s">
        <v>295</v>
      </c>
      <c r="F24" s="13" t="s">
        <v>219</v>
      </c>
      <c r="G24" s="17">
        <v>3080000</v>
      </c>
      <c r="H24" s="4" t="s">
        <v>393</v>
      </c>
    </row>
    <row r="25" spans="1:8" s="5" customFormat="1" x14ac:dyDescent="0.3">
      <c r="B25" s="13" t="s">
        <v>74</v>
      </c>
      <c r="C25" s="20">
        <v>45177</v>
      </c>
      <c r="D25" s="20">
        <v>45196</v>
      </c>
      <c r="E25" s="13" t="s">
        <v>297</v>
      </c>
      <c r="F25" s="13" t="s">
        <v>298</v>
      </c>
      <c r="G25" s="17">
        <v>50000000</v>
      </c>
      <c r="H25" s="4" t="s">
        <v>393</v>
      </c>
    </row>
    <row r="26" spans="1:8" s="5" customFormat="1" x14ac:dyDescent="0.3">
      <c r="B26" s="13" t="s">
        <v>75</v>
      </c>
      <c r="C26" s="20">
        <v>45191</v>
      </c>
      <c r="D26" s="20">
        <v>45224</v>
      </c>
      <c r="E26" s="13"/>
      <c r="F26" s="13"/>
      <c r="G26" s="17"/>
      <c r="H26" s="4"/>
    </row>
    <row r="27" spans="1:8" s="5" customFormat="1" x14ac:dyDescent="0.3">
      <c r="B27" s="13" t="s">
        <v>77</v>
      </c>
      <c r="C27" s="20">
        <v>45225</v>
      </c>
      <c r="D27" s="20">
        <v>45240</v>
      </c>
      <c r="E27" s="13"/>
      <c r="F27" s="13"/>
      <c r="G27" s="17"/>
      <c r="H27" s="4"/>
    </row>
    <row r="28" spans="1:8" s="5" customFormat="1" x14ac:dyDescent="0.3">
      <c r="B28" s="13" t="s">
        <v>78</v>
      </c>
      <c r="C28" s="20">
        <v>45225</v>
      </c>
      <c r="D28" s="20">
        <v>45240</v>
      </c>
      <c r="E28" s="13" t="s">
        <v>302</v>
      </c>
      <c r="F28" s="13" t="s">
        <v>303</v>
      </c>
      <c r="G28" s="17">
        <v>23320000</v>
      </c>
      <c r="H28" s="4" t="s">
        <v>393</v>
      </c>
    </row>
    <row r="29" spans="1:8" s="5" customFormat="1" x14ac:dyDescent="0.3">
      <c r="B29" s="13" t="s">
        <v>76</v>
      </c>
      <c r="C29" s="20">
        <v>45231</v>
      </c>
      <c r="D29" s="20">
        <v>45250</v>
      </c>
      <c r="E29" s="13" t="s">
        <v>299</v>
      </c>
      <c r="F29" s="13" t="s">
        <v>300</v>
      </c>
      <c r="G29" s="17">
        <v>62000000</v>
      </c>
      <c r="H29" s="4" t="s">
        <v>393</v>
      </c>
    </row>
    <row r="30" spans="1:8" s="5" customFormat="1" x14ac:dyDescent="0.3">
      <c r="B30" s="13" t="s">
        <v>80</v>
      </c>
      <c r="C30" s="20">
        <v>45231</v>
      </c>
      <c r="D30" s="20">
        <v>45280</v>
      </c>
      <c r="E30" s="13" t="s">
        <v>309</v>
      </c>
      <c r="F30" s="13" t="s">
        <v>310</v>
      </c>
      <c r="G30" s="17">
        <v>7800000</v>
      </c>
      <c r="H30" s="4" t="s">
        <v>393</v>
      </c>
    </row>
    <row r="31" spans="1:8" x14ac:dyDescent="0.3">
      <c r="A31" s="5"/>
      <c r="B31" s="9" t="s">
        <v>51</v>
      </c>
      <c r="C31" s="10">
        <v>45233</v>
      </c>
      <c r="D31" s="10">
        <v>45250</v>
      </c>
      <c r="E31" s="9" t="s">
        <v>304</v>
      </c>
      <c r="F31" s="9" t="s">
        <v>305</v>
      </c>
      <c r="G31" s="12">
        <v>48540800</v>
      </c>
      <c r="H31" s="4" t="s">
        <v>393</v>
      </c>
    </row>
    <row r="32" spans="1:8" x14ac:dyDescent="0.3">
      <c r="A32" s="5"/>
      <c r="B32" s="9" t="s">
        <v>49</v>
      </c>
      <c r="C32" s="10">
        <v>45237</v>
      </c>
      <c r="D32" s="10">
        <v>45265</v>
      </c>
      <c r="E32" s="9" t="s">
        <v>312</v>
      </c>
      <c r="F32" s="9" t="s">
        <v>313</v>
      </c>
      <c r="G32" s="12">
        <v>75688800</v>
      </c>
      <c r="H32" s="4" t="s">
        <v>393</v>
      </c>
    </row>
    <row r="33" spans="1:72" x14ac:dyDescent="0.3">
      <c r="A33" s="5"/>
      <c r="B33" s="9" t="s">
        <v>52</v>
      </c>
      <c r="C33" s="10">
        <v>45239</v>
      </c>
      <c r="D33" s="10">
        <v>45293</v>
      </c>
      <c r="E33" s="9" t="s">
        <v>311</v>
      </c>
      <c r="F33" s="9" t="s">
        <v>190</v>
      </c>
      <c r="G33" s="12">
        <v>26400000</v>
      </c>
      <c r="H33" s="4" t="s">
        <v>393</v>
      </c>
    </row>
    <row r="34" spans="1:72" x14ac:dyDescent="0.3">
      <c r="A34" s="5"/>
      <c r="B34" s="9" t="s">
        <v>50</v>
      </c>
      <c r="C34" s="10">
        <v>45240</v>
      </c>
      <c r="D34" s="10">
        <v>45260</v>
      </c>
      <c r="E34" s="9" t="s">
        <v>301</v>
      </c>
      <c r="F34" s="9" t="s">
        <v>190</v>
      </c>
      <c r="G34" s="12">
        <v>10450000</v>
      </c>
      <c r="H34" s="4" t="s">
        <v>393</v>
      </c>
    </row>
    <row r="35" spans="1:72" s="3" customFormat="1" x14ac:dyDescent="0.3">
      <c r="A35"/>
      <c r="B35" s="9" t="s">
        <v>48</v>
      </c>
      <c r="C35" s="10">
        <v>45247</v>
      </c>
      <c r="D35" s="10">
        <v>45288</v>
      </c>
      <c r="E35" s="9" t="s">
        <v>314</v>
      </c>
      <c r="F35" s="9" t="s">
        <v>315</v>
      </c>
      <c r="G35" s="12">
        <v>14249400</v>
      </c>
      <c r="H35" s="4" t="s">
        <v>393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</row>
    <row r="36" spans="1:72" x14ac:dyDescent="0.3">
      <c r="B36" s="9" t="s">
        <v>79</v>
      </c>
      <c r="C36" s="10">
        <v>45250</v>
      </c>
      <c r="D36" s="10">
        <v>45260</v>
      </c>
      <c r="E36" s="9" t="s">
        <v>306</v>
      </c>
      <c r="F36" s="9" t="s">
        <v>283</v>
      </c>
      <c r="G36" s="12">
        <v>8062000</v>
      </c>
      <c r="H36" s="4" t="s">
        <v>391</v>
      </c>
    </row>
    <row r="37" spans="1:72" s="5" customFormat="1" x14ac:dyDescent="0.3">
      <c r="B37" s="13" t="s">
        <v>53</v>
      </c>
      <c r="C37" s="20">
        <v>45250</v>
      </c>
      <c r="D37" s="20">
        <v>45268</v>
      </c>
      <c r="E37" s="13" t="s">
        <v>307</v>
      </c>
      <c r="F37" s="13" t="s">
        <v>308</v>
      </c>
      <c r="G37" s="17">
        <v>30800000</v>
      </c>
      <c r="H37" s="4" t="s">
        <v>393</v>
      </c>
    </row>
    <row r="38" spans="1:72" s="5" customFormat="1" x14ac:dyDescent="0.3">
      <c r="B38" s="13" t="s">
        <v>54</v>
      </c>
      <c r="C38" s="20">
        <v>45272</v>
      </c>
      <c r="D38" s="20">
        <v>45288</v>
      </c>
      <c r="E38" s="13" t="s">
        <v>316</v>
      </c>
      <c r="F38" s="13" t="s">
        <v>317</v>
      </c>
      <c r="G38" s="17">
        <v>21600000</v>
      </c>
      <c r="H38" s="4" t="s">
        <v>393</v>
      </c>
    </row>
    <row r="40" spans="1:72" x14ac:dyDescent="0.3">
      <c r="B40" s="295" t="s">
        <v>423</v>
      </c>
      <c r="C40" s="295"/>
      <c r="D40" s="295"/>
      <c r="E40" s="295"/>
      <c r="F40" s="295"/>
      <c r="G40" s="8">
        <f>SUM(G4:G39)</f>
        <v>1337279500</v>
      </c>
    </row>
  </sheetData>
  <sortState xmlns:xlrd2="http://schemas.microsoft.com/office/spreadsheetml/2017/richdata2" ref="A4:H38">
    <sortCondition ref="C4:C38"/>
  </sortState>
  <mergeCells count="1">
    <mergeCell ref="B40:F40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60FC-BA58-4924-B5A4-B179D254373C}">
  <dimension ref="A2:G40"/>
  <sheetViews>
    <sheetView workbookViewId="0">
      <selection activeCell="C28" sqref="C28"/>
    </sheetView>
  </sheetViews>
  <sheetFormatPr defaultRowHeight="16.5" x14ac:dyDescent="0.3"/>
  <cols>
    <col min="2" max="2" width="27.625" customWidth="1"/>
    <col min="3" max="3" width="13.25" style="1" customWidth="1"/>
    <col min="4" max="4" width="12.25" style="1" customWidth="1"/>
    <col min="5" max="5" width="31.75" customWidth="1"/>
    <col min="6" max="6" width="36" customWidth="1"/>
    <col min="7" max="7" width="15.625" customWidth="1"/>
  </cols>
  <sheetData>
    <row r="2" spans="1:7" x14ac:dyDescent="0.3">
      <c r="A2" t="s">
        <v>175</v>
      </c>
    </row>
    <row r="3" spans="1:7" x14ac:dyDescent="0.3">
      <c r="B3" s="9" t="s">
        <v>0</v>
      </c>
      <c r="C3" s="10" t="s">
        <v>1</v>
      </c>
      <c r="D3" s="10" t="s">
        <v>2</v>
      </c>
      <c r="E3" s="9" t="s">
        <v>113</v>
      </c>
      <c r="F3" s="9" t="s">
        <v>114</v>
      </c>
      <c r="G3" s="9" t="s">
        <v>115</v>
      </c>
    </row>
    <row r="4" spans="1:7" x14ac:dyDescent="0.3">
      <c r="B4" s="9" t="s">
        <v>82</v>
      </c>
      <c r="C4" s="10">
        <v>44571</v>
      </c>
      <c r="D4" s="10">
        <v>44590</v>
      </c>
      <c r="E4" s="9" t="s">
        <v>119</v>
      </c>
      <c r="F4" s="9" t="s">
        <v>118</v>
      </c>
      <c r="G4" s="19">
        <v>17399200</v>
      </c>
    </row>
    <row r="5" spans="1:7" x14ac:dyDescent="0.3">
      <c r="B5" s="9" t="s">
        <v>83</v>
      </c>
      <c r="C5" s="10">
        <v>44571</v>
      </c>
      <c r="D5" s="10">
        <v>44576</v>
      </c>
      <c r="E5" s="9" t="s">
        <v>83</v>
      </c>
      <c r="F5" s="9" t="s">
        <v>120</v>
      </c>
      <c r="G5" s="19">
        <v>8500000</v>
      </c>
    </row>
    <row r="6" spans="1:7" s="5" customFormat="1" x14ac:dyDescent="0.3">
      <c r="B6" s="13" t="s">
        <v>81</v>
      </c>
      <c r="C6" s="20">
        <v>44580</v>
      </c>
      <c r="D6" s="20">
        <v>44610</v>
      </c>
      <c r="E6" s="13" t="s">
        <v>116</v>
      </c>
      <c r="F6" s="13" t="s">
        <v>117</v>
      </c>
      <c r="G6" s="21">
        <v>29000000</v>
      </c>
    </row>
    <row r="7" spans="1:7" x14ac:dyDescent="0.3">
      <c r="B7" s="9" t="s">
        <v>84</v>
      </c>
      <c r="C7" s="10">
        <v>44599</v>
      </c>
      <c r="D7" s="10">
        <v>44618</v>
      </c>
      <c r="E7" s="9" t="s">
        <v>121</v>
      </c>
      <c r="F7" s="9" t="s">
        <v>122</v>
      </c>
      <c r="G7" s="19">
        <v>18473000</v>
      </c>
    </row>
    <row r="8" spans="1:7" x14ac:dyDescent="0.3">
      <c r="B8" s="9" t="s">
        <v>86</v>
      </c>
      <c r="C8" s="10">
        <v>44602</v>
      </c>
      <c r="D8" s="10">
        <v>44615</v>
      </c>
      <c r="E8" s="9" t="s">
        <v>125</v>
      </c>
      <c r="F8" s="9" t="s">
        <v>126</v>
      </c>
      <c r="G8" s="19">
        <v>18292500</v>
      </c>
    </row>
    <row r="9" spans="1:7" s="5" customFormat="1" x14ac:dyDescent="0.3">
      <c r="B9" s="13" t="s">
        <v>87</v>
      </c>
      <c r="C9" s="20">
        <v>44613</v>
      </c>
      <c r="D9" s="20">
        <v>44625</v>
      </c>
      <c r="E9" s="13" t="s">
        <v>127</v>
      </c>
      <c r="F9" s="13" t="s">
        <v>128</v>
      </c>
      <c r="G9" s="21">
        <v>35400000</v>
      </c>
    </row>
    <row r="10" spans="1:7" x14ac:dyDescent="0.3">
      <c r="B10" s="9" t="s">
        <v>89</v>
      </c>
      <c r="C10" s="10">
        <v>44621</v>
      </c>
      <c r="D10" s="10">
        <v>44659</v>
      </c>
      <c r="E10" s="9" t="s">
        <v>131</v>
      </c>
      <c r="F10" s="9" t="s">
        <v>132</v>
      </c>
      <c r="G10" s="19">
        <v>42770000</v>
      </c>
    </row>
    <row r="11" spans="1:7" x14ac:dyDescent="0.3">
      <c r="B11" s="9" t="s">
        <v>85</v>
      </c>
      <c r="C11" s="10">
        <v>44623</v>
      </c>
      <c r="D11" s="10">
        <v>44643</v>
      </c>
      <c r="E11" s="9" t="s">
        <v>123</v>
      </c>
      <c r="F11" s="9" t="s">
        <v>124</v>
      </c>
      <c r="G11" s="19">
        <v>22470000</v>
      </c>
    </row>
    <row r="12" spans="1:7" x14ac:dyDescent="0.3">
      <c r="B12" s="9" t="s">
        <v>92</v>
      </c>
      <c r="C12" s="10">
        <v>44632</v>
      </c>
      <c r="D12" s="10">
        <v>44646</v>
      </c>
      <c r="E12" s="9" t="s">
        <v>135</v>
      </c>
      <c r="F12" s="9" t="s">
        <v>136</v>
      </c>
      <c r="G12" s="19">
        <v>12693500</v>
      </c>
    </row>
    <row r="13" spans="1:7" x14ac:dyDescent="0.3">
      <c r="B13" s="9" t="s">
        <v>88</v>
      </c>
      <c r="C13" s="10">
        <v>44634</v>
      </c>
      <c r="D13" s="10">
        <v>44667</v>
      </c>
      <c r="E13" s="9" t="s">
        <v>129</v>
      </c>
      <c r="F13" s="9" t="s">
        <v>130</v>
      </c>
      <c r="G13" s="19">
        <v>76767000</v>
      </c>
    </row>
    <row r="14" spans="1:7" s="5" customFormat="1" x14ac:dyDescent="0.3">
      <c r="B14" s="13" t="s">
        <v>91</v>
      </c>
      <c r="C14" s="20">
        <v>44641</v>
      </c>
      <c r="D14" s="20">
        <v>44666</v>
      </c>
      <c r="E14" s="13" t="s">
        <v>91</v>
      </c>
      <c r="F14" s="13" t="s">
        <v>134</v>
      </c>
      <c r="G14" s="21">
        <v>34718000</v>
      </c>
    </row>
    <row r="15" spans="1:7" x14ac:dyDescent="0.3">
      <c r="B15" s="9" t="s">
        <v>90</v>
      </c>
      <c r="C15" s="10">
        <v>44648</v>
      </c>
      <c r="D15" s="10">
        <v>44673</v>
      </c>
      <c r="E15" s="9" t="s">
        <v>90</v>
      </c>
      <c r="F15" s="9" t="s">
        <v>133</v>
      </c>
      <c r="G15" s="19">
        <v>35000000</v>
      </c>
    </row>
    <row r="16" spans="1:7" x14ac:dyDescent="0.3">
      <c r="B16" s="9" t="s">
        <v>142</v>
      </c>
      <c r="C16" s="10">
        <v>44663</v>
      </c>
      <c r="D16" s="10">
        <v>44691</v>
      </c>
      <c r="E16" s="9" t="s">
        <v>141</v>
      </c>
      <c r="F16" s="9" t="s">
        <v>143</v>
      </c>
      <c r="G16" s="19">
        <v>27460000</v>
      </c>
    </row>
    <row r="17" spans="2:7" x14ac:dyDescent="0.3">
      <c r="B17" s="9" t="s">
        <v>93</v>
      </c>
      <c r="C17" s="10">
        <v>44664</v>
      </c>
      <c r="D17" s="10">
        <v>44691</v>
      </c>
      <c r="E17" s="9" t="s">
        <v>139</v>
      </c>
      <c r="F17" s="9" t="s">
        <v>140</v>
      </c>
      <c r="G17" s="19">
        <v>27000000</v>
      </c>
    </row>
    <row r="18" spans="2:7" ht="18" customHeight="1" x14ac:dyDescent="0.3">
      <c r="B18" s="9" t="s">
        <v>137</v>
      </c>
      <c r="C18" s="10">
        <v>44682</v>
      </c>
      <c r="D18" s="10">
        <v>44699</v>
      </c>
      <c r="E18" s="9" t="s">
        <v>138</v>
      </c>
      <c r="F18" s="9" t="s">
        <v>126</v>
      </c>
      <c r="G18" s="19">
        <v>21360000</v>
      </c>
    </row>
    <row r="19" spans="2:7" s="5" customFormat="1" x14ac:dyDescent="0.3">
      <c r="B19" s="13" t="s">
        <v>96</v>
      </c>
      <c r="C19" s="20">
        <v>44690</v>
      </c>
      <c r="D19" s="20">
        <v>44709</v>
      </c>
      <c r="E19" s="13" t="s">
        <v>96</v>
      </c>
      <c r="F19" s="13" t="s">
        <v>147</v>
      </c>
      <c r="G19" s="21">
        <v>23700000</v>
      </c>
    </row>
    <row r="20" spans="2:7" x14ac:dyDescent="0.3">
      <c r="B20" s="9" t="s">
        <v>94</v>
      </c>
      <c r="C20" s="10">
        <v>44694</v>
      </c>
      <c r="D20" s="10">
        <v>44725</v>
      </c>
      <c r="E20" s="9" t="s">
        <v>94</v>
      </c>
      <c r="F20" s="9" t="s">
        <v>144</v>
      </c>
      <c r="G20" s="19">
        <v>34000000</v>
      </c>
    </row>
    <row r="21" spans="2:7" s="5" customFormat="1" x14ac:dyDescent="0.3">
      <c r="B21" s="13" t="s">
        <v>97</v>
      </c>
      <c r="C21" s="20">
        <v>44712</v>
      </c>
      <c r="D21" s="20">
        <v>44733</v>
      </c>
      <c r="E21" s="13" t="s">
        <v>148</v>
      </c>
      <c r="F21" s="13" t="s">
        <v>149</v>
      </c>
      <c r="G21" s="21">
        <v>23700000</v>
      </c>
    </row>
    <row r="22" spans="2:7" s="5" customFormat="1" x14ac:dyDescent="0.3">
      <c r="B22" s="13" t="s">
        <v>99</v>
      </c>
      <c r="C22" s="20">
        <v>44723</v>
      </c>
      <c r="D22" s="20">
        <v>44752</v>
      </c>
      <c r="E22" s="13" t="s">
        <v>99</v>
      </c>
      <c r="F22" s="13" t="s">
        <v>152</v>
      </c>
      <c r="G22" s="21">
        <v>33330000</v>
      </c>
    </row>
    <row r="23" spans="2:7" s="5" customFormat="1" x14ac:dyDescent="0.3">
      <c r="B23" s="13" t="s">
        <v>98</v>
      </c>
      <c r="C23" s="20">
        <v>44734</v>
      </c>
      <c r="D23" s="20">
        <v>44756</v>
      </c>
      <c r="E23" s="13" t="s">
        <v>150</v>
      </c>
      <c r="F23" s="13" t="s">
        <v>151</v>
      </c>
      <c r="G23" s="21">
        <v>26032380</v>
      </c>
    </row>
    <row r="24" spans="2:7" s="5" customFormat="1" x14ac:dyDescent="0.3">
      <c r="B24" s="13" t="s">
        <v>95</v>
      </c>
      <c r="C24" s="20">
        <v>44769</v>
      </c>
      <c r="D24" s="20">
        <v>44892</v>
      </c>
      <c r="E24" s="13" t="s">
        <v>145</v>
      </c>
      <c r="F24" s="13" t="s">
        <v>146</v>
      </c>
      <c r="G24" s="21">
        <v>76800000</v>
      </c>
    </row>
    <row r="25" spans="2:7" s="5" customFormat="1" x14ac:dyDescent="0.3">
      <c r="B25" s="13" t="s">
        <v>104</v>
      </c>
      <c r="C25" s="20">
        <v>44783</v>
      </c>
      <c r="D25" s="20">
        <v>44849</v>
      </c>
      <c r="E25" s="13" t="s">
        <v>104</v>
      </c>
      <c r="F25" s="13" t="s">
        <v>160</v>
      </c>
      <c r="G25" s="21">
        <v>117900000</v>
      </c>
    </row>
    <row r="26" spans="2:7" s="5" customFormat="1" x14ac:dyDescent="0.3">
      <c r="B26" s="13" t="s">
        <v>101</v>
      </c>
      <c r="C26" s="20">
        <v>44789</v>
      </c>
      <c r="D26" s="20">
        <v>44807</v>
      </c>
      <c r="E26" s="13" t="s">
        <v>155</v>
      </c>
      <c r="F26" s="13" t="s">
        <v>156</v>
      </c>
      <c r="G26" s="21">
        <v>15900000</v>
      </c>
    </row>
    <row r="27" spans="2:7" s="5" customFormat="1" x14ac:dyDescent="0.3">
      <c r="B27" s="13" t="s">
        <v>100</v>
      </c>
      <c r="C27" s="20">
        <v>44790</v>
      </c>
      <c r="D27" s="20">
        <v>44808</v>
      </c>
      <c r="E27" s="13" t="s">
        <v>153</v>
      </c>
      <c r="F27" s="13" t="s">
        <v>154</v>
      </c>
      <c r="G27" s="21">
        <v>9900000</v>
      </c>
    </row>
    <row r="28" spans="2:7" s="5" customFormat="1" x14ac:dyDescent="0.3">
      <c r="B28" s="13" t="s">
        <v>102</v>
      </c>
      <c r="C28" s="20">
        <v>44795</v>
      </c>
      <c r="D28" s="20">
        <v>44802</v>
      </c>
      <c r="E28" s="13" t="s">
        <v>102</v>
      </c>
      <c r="F28" s="13" t="s">
        <v>157</v>
      </c>
      <c r="G28" s="21">
        <v>50000000</v>
      </c>
    </row>
    <row r="29" spans="2:7" s="5" customFormat="1" x14ac:dyDescent="0.3">
      <c r="B29" s="13" t="s">
        <v>103</v>
      </c>
      <c r="C29" s="20">
        <v>44806</v>
      </c>
      <c r="D29" s="20">
        <v>44830</v>
      </c>
      <c r="E29" s="13" t="s">
        <v>158</v>
      </c>
      <c r="F29" s="13" t="s">
        <v>159</v>
      </c>
      <c r="G29" s="21">
        <v>9600000</v>
      </c>
    </row>
    <row r="30" spans="2:7" s="5" customFormat="1" x14ac:dyDescent="0.3">
      <c r="B30" s="13" t="s">
        <v>105</v>
      </c>
      <c r="C30" s="20">
        <v>44807</v>
      </c>
      <c r="D30" s="20">
        <v>44858</v>
      </c>
      <c r="E30" s="13" t="s">
        <v>105</v>
      </c>
      <c r="F30" s="13" t="s">
        <v>161</v>
      </c>
      <c r="G30" s="21">
        <v>33818000</v>
      </c>
    </row>
    <row r="31" spans="2:7" s="5" customFormat="1" x14ac:dyDescent="0.3">
      <c r="B31" s="13" t="s">
        <v>106</v>
      </c>
      <c r="C31" s="20">
        <v>44876</v>
      </c>
      <c r="D31" s="20">
        <v>44896</v>
      </c>
      <c r="E31" s="13" t="s">
        <v>162</v>
      </c>
      <c r="F31" s="13" t="s">
        <v>162</v>
      </c>
      <c r="G31" s="21">
        <v>25760000</v>
      </c>
    </row>
    <row r="32" spans="2:7" s="5" customFormat="1" x14ac:dyDescent="0.3">
      <c r="B32" s="13" t="s">
        <v>112</v>
      </c>
      <c r="C32" s="20">
        <v>44889</v>
      </c>
      <c r="D32" s="20">
        <v>44919</v>
      </c>
      <c r="E32" s="13" t="s">
        <v>173</v>
      </c>
      <c r="F32" s="13" t="s">
        <v>174</v>
      </c>
      <c r="G32" s="21">
        <v>25000000</v>
      </c>
    </row>
    <row r="33" spans="2:7" s="5" customFormat="1" x14ac:dyDescent="0.3">
      <c r="B33" s="13" t="s">
        <v>58</v>
      </c>
      <c r="C33" s="20">
        <v>44896</v>
      </c>
      <c r="D33" s="20">
        <v>44910</v>
      </c>
      <c r="E33" s="13" t="s">
        <v>58</v>
      </c>
      <c r="F33" s="13" t="s">
        <v>163</v>
      </c>
      <c r="G33" s="21">
        <v>20500000</v>
      </c>
    </row>
    <row r="34" spans="2:7" s="5" customFormat="1" x14ac:dyDescent="0.3">
      <c r="B34" s="13" t="s">
        <v>108</v>
      </c>
      <c r="C34" s="20">
        <v>44903</v>
      </c>
      <c r="D34" s="20">
        <v>44935</v>
      </c>
      <c r="E34" s="13" t="s">
        <v>165</v>
      </c>
      <c r="F34" s="13" t="s">
        <v>166</v>
      </c>
      <c r="G34" s="21">
        <v>72600000</v>
      </c>
    </row>
    <row r="35" spans="2:7" s="5" customFormat="1" x14ac:dyDescent="0.3">
      <c r="B35" s="13" t="s">
        <v>109</v>
      </c>
      <c r="C35" s="20">
        <v>44914</v>
      </c>
      <c r="D35" s="20">
        <v>44940</v>
      </c>
      <c r="E35" s="13" t="s">
        <v>167</v>
      </c>
      <c r="F35" s="13" t="s">
        <v>168</v>
      </c>
      <c r="G35" s="21">
        <v>53900000</v>
      </c>
    </row>
    <row r="36" spans="2:7" s="5" customFormat="1" x14ac:dyDescent="0.3">
      <c r="B36" s="13" t="s">
        <v>110</v>
      </c>
      <c r="C36" s="20">
        <v>44915</v>
      </c>
      <c r="D36" s="20">
        <v>44925</v>
      </c>
      <c r="E36" s="13" t="s">
        <v>169</v>
      </c>
      <c r="F36" s="13" t="s">
        <v>170</v>
      </c>
      <c r="G36" s="21">
        <v>8800000</v>
      </c>
    </row>
    <row r="37" spans="2:7" s="5" customFormat="1" x14ac:dyDescent="0.3">
      <c r="B37" s="13" t="s">
        <v>107</v>
      </c>
      <c r="C37" s="20">
        <v>44917</v>
      </c>
      <c r="D37" s="20">
        <v>44563</v>
      </c>
      <c r="E37" s="13" t="s">
        <v>107</v>
      </c>
      <c r="F37" s="13" t="s">
        <v>164</v>
      </c>
      <c r="G37" s="21">
        <v>15000000</v>
      </c>
    </row>
    <row r="38" spans="2:7" s="5" customFormat="1" x14ac:dyDescent="0.3">
      <c r="B38" s="13" t="s">
        <v>111</v>
      </c>
      <c r="C38" s="20">
        <v>44917</v>
      </c>
      <c r="D38" s="20">
        <v>44917</v>
      </c>
      <c r="E38" s="13" t="s">
        <v>171</v>
      </c>
      <c r="F38" s="13" t="s">
        <v>172</v>
      </c>
      <c r="G38" s="21">
        <v>2470000</v>
      </c>
    </row>
    <row r="40" spans="2:7" x14ac:dyDescent="0.3">
      <c r="B40" s="296" t="s">
        <v>423</v>
      </c>
      <c r="C40" s="296"/>
      <c r="D40" s="296"/>
      <c r="E40" s="296"/>
      <c r="F40" s="296"/>
      <c r="G40" s="6">
        <f>SUM(G4:G39)</f>
        <v>1106013580</v>
      </c>
    </row>
  </sheetData>
  <sortState xmlns:xlrd2="http://schemas.microsoft.com/office/spreadsheetml/2017/richdata2" ref="A4:G38">
    <sortCondition ref="C4:C38"/>
  </sortState>
  <mergeCells count="1">
    <mergeCell ref="B40:F40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6BCE3-437F-4DCA-BEA9-BA9225936C0E}">
  <dimension ref="A2:G27"/>
  <sheetViews>
    <sheetView workbookViewId="0">
      <selection activeCell="K21" sqref="K21"/>
    </sheetView>
  </sheetViews>
  <sheetFormatPr defaultRowHeight="16.5" x14ac:dyDescent="0.3"/>
  <cols>
    <col min="2" max="2" width="22.125" customWidth="1"/>
    <col min="3" max="3" width="13.875" customWidth="1"/>
    <col min="4" max="4" width="11.625" customWidth="1"/>
    <col min="5" max="5" width="31.25" customWidth="1"/>
    <col min="6" max="6" width="19.5" customWidth="1"/>
    <col min="7" max="7" width="11.375" style="7" customWidth="1"/>
  </cols>
  <sheetData>
    <row r="2" spans="1:7" x14ac:dyDescent="0.3">
      <c r="A2" t="s">
        <v>318</v>
      </c>
      <c r="C2" s="1"/>
      <c r="D2" s="1"/>
    </row>
    <row r="3" spans="1:7" x14ac:dyDescent="0.3">
      <c r="B3" s="9" t="s">
        <v>0</v>
      </c>
      <c r="C3" s="10" t="s">
        <v>1</v>
      </c>
      <c r="D3" s="10" t="s">
        <v>2</v>
      </c>
      <c r="E3" s="9" t="s">
        <v>113</v>
      </c>
      <c r="F3" s="9" t="s">
        <v>114</v>
      </c>
      <c r="G3" s="12" t="s">
        <v>115</v>
      </c>
    </row>
    <row r="4" spans="1:7" x14ac:dyDescent="0.3">
      <c r="B4" s="9" t="s">
        <v>319</v>
      </c>
      <c r="C4" s="14">
        <v>44218</v>
      </c>
      <c r="D4" s="14">
        <v>44225</v>
      </c>
      <c r="E4" s="9" t="s">
        <v>319</v>
      </c>
      <c r="F4" s="9" t="s">
        <v>320</v>
      </c>
      <c r="G4" s="12">
        <v>4000000</v>
      </c>
    </row>
    <row r="5" spans="1:7" s="5" customFormat="1" x14ac:dyDescent="0.3">
      <c r="B5" s="13" t="s">
        <v>321</v>
      </c>
      <c r="C5" s="15">
        <v>44223</v>
      </c>
      <c r="D5" s="15">
        <v>44249</v>
      </c>
      <c r="E5" s="13" t="s">
        <v>322</v>
      </c>
      <c r="F5" s="13" t="s">
        <v>323</v>
      </c>
      <c r="G5" s="17">
        <v>13379300</v>
      </c>
    </row>
    <row r="6" spans="1:7" s="5" customFormat="1" x14ac:dyDescent="0.3">
      <c r="B6" s="13" t="s">
        <v>324</v>
      </c>
      <c r="C6" s="15">
        <v>44247</v>
      </c>
      <c r="D6" s="15">
        <v>44265</v>
      </c>
      <c r="E6" s="13" t="s">
        <v>324</v>
      </c>
      <c r="F6" s="13" t="s">
        <v>325</v>
      </c>
      <c r="G6" s="17">
        <v>24400000</v>
      </c>
    </row>
    <row r="7" spans="1:7" s="5" customFormat="1" x14ac:dyDescent="0.3">
      <c r="B7" s="13" t="s">
        <v>329</v>
      </c>
      <c r="C7" s="15">
        <v>44263</v>
      </c>
      <c r="D7" s="15">
        <v>44279</v>
      </c>
      <c r="E7" s="13" t="s">
        <v>329</v>
      </c>
      <c r="F7" s="13" t="s">
        <v>330</v>
      </c>
      <c r="G7" s="17">
        <v>20000000</v>
      </c>
    </row>
    <row r="8" spans="1:7" s="5" customFormat="1" x14ac:dyDescent="0.3">
      <c r="B8" s="13" t="s">
        <v>326</v>
      </c>
      <c r="C8" s="15">
        <v>44281</v>
      </c>
      <c r="D8" s="15">
        <v>44305</v>
      </c>
      <c r="E8" s="13" t="s">
        <v>327</v>
      </c>
      <c r="F8" s="13" t="s">
        <v>328</v>
      </c>
      <c r="G8" s="17">
        <v>27730000</v>
      </c>
    </row>
    <row r="9" spans="1:7" s="5" customFormat="1" x14ac:dyDescent="0.3">
      <c r="B9" s="13" t="s">
        <v>331</v>
      </c>
      <c r="C9" s="15">
        <v>44328</v>
      </c>
      <c r="D9" s="15">
        <v>44336</v>
      </c>
      <c r="E9" s="13" t="s">
        <v>331</v>
      </c>
      <c r="F9" s="13" t="s">
        <v>332</v>
      </c>
      <c r="G9" s="17">
        <v>10010000</v>
      </c>
    </row>
    <row r="10" spans="1:7" s="5" customFormat="1" x14ac:dyDescent="0.3">
      <c r="B10" s="13" t="s">
        <v>335</v>
      </c>
      <c r="C10" s="15">
        <v>44333</v>
      </c>
      <c r="D10" s="15">
        <v>44352</v>
      </c>
      <c r="E10" s="13" t="s">
        <v>335</v>
      </c>
      <c r="F10" s="13" t="s">
        <v>336</v>
      </c>
      <c r="G10" s="17">
        <v>13800000</v>
      </c>
    </row>
    <row r="11" spans="1:7" s="5" customFormat="1" x14ac:dyDescent="0.3">
      <c r="B11" s="13" t="s">
        <v>333</v>
      </c>
      <c r="C11" s="15">
        <v>44344</v>
      </c>
      <c r="D11" s="15">
        <v>44362</v>
      </c>
      <c r="E11" s="13" t="s">
        <v>333</v>
      </c>
      <c r="F11" s="13" t="s">
        <v>334</v>
      </c>
      <c r="G11" s="17">
        <v>23100000</v>
      </c>
    </row>
    <row r="12" spans="1:7" s="5" customFormat="1" x14ac:dyDescent="0.3">
      <c r="B12" s="13" t="s">
        <v>337</v>
      </c>
      <c r="C12" s="15">
        <v>44396</v>
      </c>
      <c r="D12" s="15">
        <v>44403</v>
      </c>
      <c r="E12" s="13" t="s">
        <v>338</v>
      </c>
      <c r="F12" s="13" t="s">
        <v>339</v>
      </c>
      <c r="G12" s="17">
        <v>5164500</v>
      </c>
    </row>
    <row r="13" spans="1:7" s="5" customFormat="1" ht="33" x14ac:dyDescent="0.3">
      <c r="B13" s="13" t="s">
        <v>340</v>
      </c>
      <c r="C13" s="15">
        <v>44399</v>
      </c>
      <c r="D13" s="15">
        <v>44428</v>
      </c>
      <c r="E13" s="13" t="s">
        <v>341</v>
      </c>
      <c r="F13" s="16" t="s">
        <v>342</v>
      </c>
      <c r="G13" s="17">
        <v>77500000</v>
      </c>
    </row>
    <row r="14" spans="1:7" s="5" customFormat="1" x14ac:dyDescent="0.3">
      <c r="B14" s="16" t="s">
        <v>343</v>
      </c>
      <c r="C14" s="15">
        <v>44431</v>
      </c>
      <c r="D14" s="15">
        <v>44469</v>
      </c>
      <c r="E14" s="13" t="s">
        <v>344</v>
      </c>
      <c r="F14" s="13" t="s">
        <v>345</v>
      </c>
      <c r="G14" s="17">
        <v>65000000</v>
      </c>
    </row>
    <row r="15" spans="1:7" s="5" customFormat="1" ht="33" x14ac:dyDescent="0.3">
      <c r="B15" s="16" t="s">
        <v>349</v>
      </c>
      <c r="C15" s="15">
        <v>44454</v>
      </c>
      <c r="D15" s="15">
        <v>44469</v>
      </c>
      <c r="E15" s="13" t="s">
        <v>350</v>
      </c>
      <c r="F15" s="16" t="s">
        <v>342</v>
      </c>
      <c r="G15" s="17">
        <v>6000000</v>
      </c>
    </row>
    <row r="16" spans="1:7" s="5" customFormat="1" x14ac:dyDescent="0.3">
      <c r="B16" s="13" t="s">
        <v>346</v>
      </c>
      <c r="C16" s="15">
        <v>44466</v>
      </c>
      <c r="D16" s="15">
        <v>44485</v>
      </c>
      <c r="E16" s="13" t="s">
        <v>347</v>
      </c>
      <c r="F16" s="13" t="s">
        <v>348</v>
      </c>
      <c r="G16" s="17">
        <v>22000000</v>
      </c>
    </row>
    <row r="17" spans="2:7" s="5" customFormat="1" x14ac:dyDescent="0.3">
      <c r="B17" s="13" t="s">
        <v>351</v>
      </c>
      <c r="C17" s="15">
        <v>44470</v>
      </c>
      <c r="D17" s="15">
        <v>44485</v>
      </c>
      <c r="E17" s="13" t="s">
        <v>352</v>
      </c>
      <c r="F17" s="13" t="s">
        <v>353</v>
      </c>
      <c r="G17" s="17">
        <v>18200000</v>
      </c>
    </row>
    <row r="18" spans="2:7" s="5" customFormat="1" x14ac:dyDescent="0.3">
      <c r="B18" s="16" t="s">
        <v>354</v>
      </c>
      <c r="C18" s="15">
        <v>44487</v>
      </c>
      <c r="D18" s="15">
        <v>44510</v>
      </c>
      <c r="E18" s="13" t="s">
        <v>355</v>
      </c>
      <c r="F18" s="13" t="s">
        <v>166</v>
      </c>
      <c r="G18" s="17">
        <v>21200000</v>
      </c>
    </row>
    <row r="19" spans="2:7" s="5" customFormat="1" x14ac:dyDescent="0.3">
      <c r="B19" s="13" t="s">
        <v>356</v>
      </c>
      <c r="C19" s="15">
        <v>44509</v>
      </c>
      <c r="D19" s="15">
        <v>44538</v>
      </c>
      <c r="E19" s="13" t="s">
        <v>357</v>
      </c>
      <c r="F19" s="13" t="s">
        <v>357</v>
      </c>
      <c r="G19" s="17">
        <v>39750000</v>
      </c>
    </row>
    <row r="20" spans="2:7" s="5" customFormat="1" x14ac:dyDescent="0.3">
      <c r="B20" s="16" t="s">
        <v>361</v>
      </c>
      <c r="C20" s="15">
        <v>44510</v>
      </c>
      <c r="D20" s="15">
        <v>44531</v>
      </c>
      <c r="E20" s="16" t="s">
        <v>362</v>
      </c>
      <c r="F20" s="13" t="s">
        <v>363</v>
      </c>
      <c r="G20" s="17">
        <v>18500000</v>
      </c>
    </row>
    <row r="21" spans="2:7" s="5" customFormat="1" x14ac:dyDescent="0.3">
      <c r="B21" s="16" t="s">
        <v>364</v>
      </c>
      <c r="C21" s="15">
        <v>44516</v>
      </c>
      <c r="D21" s="15">
        <v>44537</v>
      </c>
      <c r="E21" s="16" t="s">
        <v>365</v>
      </c>
      <c r="F21" s="13" t="s">
        <v>366</v>
      </c>
      <c r="G21" s="17">
        <v>28999850</v>
      </c>
    </row>
    <row r="22" spans="2:7" s="5" customFormat="1" x14ac:dyDescent="0.3">
      <c r="B22" s="16" t="s">
        <v>358</v>
      </c>
      <c r="C22" s="15">
        <v>44525</v>
      </c>
      <c r="D22" s="15">
        <v>44538</v>
      </c>
      <c r="E22" s="16" t="s">
        <v>359</v>
      </c>
      <c r="F22" s="13" t="s">
        <v>360</v>
      </c>
      <c r="G22" s="17">
        <v>13600000</v>
      </c>
    </row>
    <row r="23" spans="2:7" s="5" customFormat="1" x14ac:dyDescent="0.3">
      <c r="B23" s="16" t="s">
        <v>369</v>
      </c>
      <c r="C23" s="15">
        <v>44538</v>
      </c>
      <c r="D23" s="15">
        <v>44565</v>
      </c>
      <c r="E23" s="16" t="s">
        <v>370</v>
      </c>
      <c r="F23" s="13" t="s">
        <v>371</v>
      </c>
      <c r="G23" s="17">
        <v>36500000</v>
      </c>
    </row>
    <row r="24" spans="2:7" x14ac:dyDescent="0.3">
      <c r="B24" s="18" t="s">
        <v>367</v>
      </c>
      <c r="C24" s="14">
        <v>44550</v>
      </c>
      <c r="D24" s="14">
        <v>44585</v>
      </c>
      <c r="E24" s="18" t="s">
        <v>367</v>
      </c>
      <c r="F24" s="9" t="s">
        <v>368</v>
      </c>
      <c r="G24" s="12">
        <v>185000000</v>
      </c>
    </row>
    <row r="25" spans="2:7" x14ac:dyDescent="0.3">
      <c r="B25" s="18" t="s">
        <v>372</v>
      </c>
      <c r="C25" s="14">
        <v>44550</v>
      </c>
      <c r="D25" s="14">
        <v>44588</v>
      </c>
      <c r="E25" s="18" t="s">
        <v>372</v>
      </c>
      <c r="F25" s="9" t="s">
        <v>373</v>
      </c>
      <c r="G25" s="12">
        <v>17053600</v>
      </c>
    </row>
    <row r="27" spans="2:7" x14ac:dyDescent="0.3">
      <c r="B27" s="295" t="s">
        <v>423</v>
      </c>
      <c r="C27" s="295"/>
      <c r="D27" s="295"/>
      <c r="E27" s="295"/>
      <c r="F27" s="295"/>
      <c r="G27" s="8">
        <f>SUM(G4:G26)</f>
        <v>690887250</v>
      </c>
    </row>
  </sheetData>
  <sortState xmlns:xlrd2="http://schemas.microsoft.com/office/spreadsheetml/2017/richdata2" ref="A4:G25">
    <sortCondition ref="C4:C25"/>
  </sortState>
  <mergeCells count="1">
    <mergeCell ref="B27:F27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E30F-73FD-4B2E-A9EE-FCB83332DF36}">
  <dimension ref="A1:G16"/>
  <sheetViews>
    <sheetView workbookViewId="0">
      <selection activeCell="F9" sqref="F9"/>
    </sheetView>
  </sheetViews>
  <sheetFormatPr defaultRowHeight="16.5" x14ac:dyDescent="0.3"/>
  <cols>
    <col min="2" max="2" width="19" customWidth="1"/>
    <col min="3" max="4" width="17.375" customWidth="1"/>
    <col min="5" max="5" width="31.75" customWidth="1"/>
    <col min="6" max="6" width="17.375" customWidth="1"/>
    <col min="7" max="7" width="17.375" style="7" customWidth="1"/>
  </cols>
  <sheetData>
    <row r="1" spans="1:7" x14ac:dyDescent="0.3">
      <c r="A1" t="s">
        <v>318</v>
      </c>
    </row>
    <row r="2" spans="1:7" x14ac:dyDescent="0.3">
      <c r="B2" s="9" t="s">
        <v>0</v>
      </c>
      <c r="C2" s="10" t="s">
        <v>1</v>
      </c>
      <c r="D2" s="10" t="s">
        <v>2</v>
      </c>
      <c r="E2" s="9" t="s">
        <v>113</v>
      </c>
      <c r="F2" s="9" t="s">
        <v>114</v>
      </c>
      <c r="G2" s="12" t="s">
        <v>115</v>
      </c>
    </row>
    <row r="3" spans="1:7" s="5" customFormat="1" x14ac:dyDescent="0.3">
      <c r="B3" s="13" t="s">
        <v>397</v>
      </c>
      <c r="C3" s="14">
        <v>43880</v>
      </c>
      <c r="D3" s="14">
        <v>43886</v>
      </c>
      <c r="E3" s="13" t="s">
        <v>398</v>
      </c>
      <c r="F3" s="13" t="s">
        <v>399</v>
      </c>
      <c r="G3" s="12">
        <v>4570000</v>
      </c>
    </row>
    <row r="4" spans="1:7" s="5" customFormat="1" x14ac:dyDescent="0.3">
      <c r="B4" s="13" t="s">
        <v>400</v>
      </c>
      <c r="C4" s="14">
        <v>43880</v>
      </c>
      <c r="D4" s="14">
        <v>43887</v>
      </c>
      <c r="E4" s="13" t="s">
        <v>401</v>
      </c>
      <c r="F4" s="13" t="s">
        <v>402</v>
      </c>
      <c r="G4" s="12">
        <v>4650000</v>
      </c>
    </row>
    <row r="5" spans="1:7" s="5" customFormat="1" x14ac:dyDescent="0.3">
      <c r="B5" s="13" t="s">
        <v>403</v>
      </c>
      <c r="C5" s="14">
        <v>43886</v>
      </c>
      <c r="D5" s="14">
        <v>43903</v>
      </c>
      <c r="E5" s="13" t="s">
        <v>404</v>
      </c>
      <c r="F5" s="13" t="s">
        <v>405</v>
      </c>
      <c r="G5" s="12">
        <v>13990000</v>
      </c>
    </row>
    <row r="6" spans="1:7" s="5" customFormat="1" x14ac:dyDescent="0.3">
      <c r="B6" s="13" t="s">
        <v>394</v>
      </c>
      <c r="C6" s="14">
        <v>43909</v>
      </c>
      <c r="D6" s="14">
        <v>43909</v>
      </c>
      <c r="E6" s="13" t="s">
        <v>395</v>
      </c>
      <c r="F6" s="13" t="s">
        <v>396</v>
      </c>
      <c r="G6" s="12">
        <v>10100000</v>
      </c>
    </row>
    <row r="7" spans="1:7" s="5" customFormat="1" x14ac:dyDescent="0.3">
      <c r="B7" s="13" t="s">
        <v>406</v>
      </c>
      <c r="C7" s="14">
        <v>43980</v>
      </c>
      <c r="D7" s="14">
        <v>44000</v>
      </c>
      <c r="E7" s="13" t="s">
        <v>406</v>
      </c>
      <c r="F7" s="13" t="s">
        <v>407</v>
      </c>
      <c r="G7" s="12">
        <v>19690000</v>
      </c>
    </row>
    <row r="8" spans="1:7" s="5" customFormat="1" ht="33" x14ac:dyDescent="0.3">
      <c r="B8" s="13" t="s">
        <v>376</v>
      </c>
      <c r="C8" s="15">
        <v>44046</v>
      </c>
      <c r="D8" s="15">
        <v>44071</v>
      </c>
      <c r="E8" s="16" t="s">
        <v>377</v>
      </c>
      <c r="F8" s="13" t="s">
        <v>378</v>
      </c>
      <c r="G8" s="17">
        <v>29425000</v>
      </c>
    </row>
    <row r="9" spans="1:7" x14ac:dyDescent="0.3">
      <c r="A9" s="5"/>
      <c r="B9" s="13" t="s">
        <v>379</v>
      </c>
      <c r="C9" s="15">
        <v>44058</v>
      </c>
      <c r="D9" s="15">
        <v>44071</v>
      </c>
      <c r="E9" s="13" t="s">
        <v>380</v>
      </c>
      <c r="F9" s="13" t="s">
        <v>381</v>
      </c>
      <c r="G9" s="17">
        <v>16170000</v>
      </c>
    </row>
    <row r="10" spans="1:7" x14ac:dyDescent="0.3">
      <c r="A10" s="5"/>
      <c r="B10" s="13" t="s">
        <v>374</v>
      </c>
      <c r="C10" s="15">
        <v>44176</v>
      </c>
      <c r="D10" s="15">
        <v>44195</v>
      </c>
      <c r="E10" s="13" t="s">
        <v>374</v>
      </c>
      <c r="F10" s="13" t="s">
        <v>375</v>
      </c>
      <c r="G10" s="17">
        <v>27852000</v>
      </c>
    </row>
    <row r="11" spans="1:7" x14ac:dyDescent="0.3">
      <c r="A11" s="5"/>
      <c r="B11" s="13" t="s">
        <v>384</v>
      </c>
      <c r="C11" s="15">
        <v>44186</v>
      </c>
      <c r="D11" s="15">
        <v>44214</v>
      </c>
      <c r="E11" s="13" t="s">
        <v>384</v>
      </c>
      <c r="F11" s="13" t="s">
        <v>385</v>
      </c>
      <c r="G11" s="17">
        <v>38000000</v>
      </c>
    </row>
    <row r="12" spans="1:7" x14ac:dyDescent="0.3">
      <c r="A12" s="5"/>
      <c r="B12" s="13" t="s">
        <v>382</v>
      </c>
      <c r="C12" s="15">
        <v>44194</v>
      </c>
      <c r="D12" s="15">
        <v>44221</v>
      </c>
      <c r="E12" s="13" t="s">
        <v>382</v>
      </c>
      <c r="F12" s="13" t="s">
        <v>383</v>
      </c>
      <c r="G12" s="17">
        <v>34400000</v>
      </c>
    </row>
    <row r="13" spans="1:7" x14ac:dyDescent="0.3">
      <c r="A13" s="5"/>
      <c r="B13" s="13" t="s">
        <v>386</v>
      </c>
      <c r="C13" s="15">
        <v>44199</v>
      </c>
      <c r="D13" s="15">
        <v>44222</v>
      </c>
      <c r="E13" s="13" t="s">
        <v>386</v>
      </c>
      <c r="F13" s="13" t="s">
        <v>387</v>
      </c>
      <c r="G13" s="17">
        <v>19800000</v>
      </c>
    </row>
    <row r="16" spans="1:7" x14ac:dyDescent="0.3">
      <c r="B16" s="296" t="s">
        <v>423</v>
      </c>
      <c r="C16" s="296"/>
      <c r="D16" s="296"/>
      <c r="E16" s="296"/>
      <c r="F16" s="296"/>
      <c r="G16" s="8">
        <f>SUM(G3:G15)</f>
        <v>218647000</v>
      </c>
    </row>
  </sheetData>
  <sortState xmlns:xlrd2="http://schemas.microsoft.com/office/spreadsheetml/2017/richdata2" ref="A3:G13">
    <sortCondition ref="C3:C13"/>
  </sortState>
  <mergeCells count="1">
    <mergeCell ref="B16:F1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3</vt:i4>
      </vt:variant>
    </vt:vector>
  </HeadingPairs>
  <TitlesOfParts>
    <vt:vector size="12" baseType="lpstr">
      <vt:lpstr>법인 2026</vt:lpstr>
      <vt:lpstr>법인 2025</vt:lpstr>
      <vt:lpstr>법인 2025 신고내역</vt:lpstr>
      <vt:lpstr>법인 2025 발송현황</vt:lpstr>
      <vt:lpstr>법인 2024</vt:lpstr>
      <vt:lpstr>법인2023</vt:lpstr>
      <vt:lpstr>2022년</vt:lpstr>
      <vt:lpstr>2021년</vt:lpstr>
      <vt:lpstr>2020년</vt:lpstr>
      <vt:lpstr>'법인 2025'!Print_Area</vt:lpstr>
      <vt:lpstr>'법인 2025 신고내역'!Print_Area</vt:lpstr>
      <vt:lpstr>'법인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소연 이</cp:lastModifiedBy>
  <cp:lastPrinted>2026-03-12T00:39:40Z</cp:lastPrinted>
  <dcterms:created xsi:type="dcterms:W3CDTF">2024-12-12T01:42:23Z</dcterms:created>
  <dcterms:modified xsi:type="dcterms:W3CDTF">2026-03-13T03:16:05Z</dcterms:modified>
</cp:coreProperties>
</file>