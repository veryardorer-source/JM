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jm\001_JM디자인\2026.04.01_플루마\008_견적&amp;제안서\"/>
    </mc:Choice>
  </mc:AlternateContent>
  <xr:revisionPtr revIDLastSave="0" documentId="13_ncr:1_{402CE33B-CEFE-4D44-9974-A4396F19581A}" xr6:coauthVersionLast="47" xr6:coauthVersionMax="47" xr10:uidLastSave="{00000000-0000-0000-0000-000000000000}"/>
  <bookViews>
    <workbookView xWindow="-120" yWindow="-120" windowWidth="29040" windowHeight="15720" activeTab="1" xr2:uid="{9545FB13-B616-4471-A28A-8C58A976B403}"/>
  </bookViews>
  <sheets>
    <sheet name="1층" sheetId="1" r:id="rId1"/>
    <sheet name="2층" sheetId="2" r:id="rId2"/>
    <sheet name="3층" sheetId="3" r:id="rId3"/>
    <sheet name="계단" sheetId="5" r:id="rId4"/>
    <sheet name="Sheet1" sheetId="4" r:id="rId5"/>
  </sheets>
  <definedNames>
    <definedName name="_xlnm._FilterDatabase" localSheetId="0" hidden="1">'1층'!$A$7:$H$38</definedName>
    <definedName name="_xlnm._FilterDatabase" localSheetId="1" hidden="1">'2층'!$A$7:$H$24</definedName>
    <definedName name="_xlnm._FilterDatabase" localSheetId="2" hidden="1">'3층'!$A$7:$H$56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1" i="3" l="1"/>
  <c r="N71" i="3" s="1"/>
  <c r="O71" i="3" s="1"/>
  <c r="M72" i="3"/>
  <c r="N72" i="3" s="1"/>
  <c r="O72" i="3" s="1"/>
  <c r="M73" i="3"/>
  <c r="N73" i="3"/>
  <c r="O73" i="3" s="1"/>
  <c r="M74" i="3"/>
  <c r="N74" i="3"/>
  <c r="O74" i="3"/>
  <c r="M75" i="3"/>
  <c r="N75" i="3"/>
  <c r="O75" i="3" s="1"/>
  <c r="M76" i="3"/>
  <c r="N76" i="3" s="1"/>
  <c r="O76" i="3" s="1"/>
  <c r="M77" i="3"/>
  <c r="N77" i="3"/>
  <c r="O77" i="3"/>
  <c r="M78" i="3"/>
  <c r="N78" i="3" s="1"/>
  <c r="O78" i="3" s="1"/>
  <c r="M79" i="3"/>
  <c r="N79" i="3" s="1"/>
  <c r="O79" i="3" s="1"/>
  <c r="M45" i="2"/>
  <c r="N45" i="2" s="1"/>
  <c r="O45" i="2" s="1"/>
  <c r="M44" i="2"/>
  <c r="N44" i="2" s="1"/>
  <c r="O44" i="2" s="1"/>
  <c r="M43" i="2"/>
  <c r="N43" i="2" s="1"/>
  <c r="O43" i="2" s="1"/>
  <c r="M42" i="2"/>
  <c r="N42" i="2" s="1"/>
  <c r="O42" i="2" s="1"/>
  <c r="O85" i="1"/>
  <c r="O82" i="1"/>
  <c r="O83" i="1"/>
  <c r="O84" i="1"/>
  <c r="O81" i="1"/>
  <c r="M83" i="1"/>
  <c r="N83" i="1" s="1"/>
  <c r="M84" i="1"/>
  <c r="N84" i="1" s="1"/>
  <c r="N82" i="1"/>
  <c r="N81" i="1"/>
  <c r="M82" i="1"/>
  <c r="M81" i="1"/>
  <c r="I287" i="1"/>
  <c r="I286" i="1"/>
  <c r="O82" i="3" l="1"/>
  <c r="O46" i="2"/>
  <c r="E6" i="5" l="1"/>
  <c r="E35" i="5" s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5" i="5"/>
  <c r="E276" i="1"/>
  <c r="E275" i="1"/>
  <c r="E274" i="1"/>
  <c r="E273" i="1"/>
  <c r="E265" i="1"/>
  <c r="E266" i="1"/>
  <c r="E267" i="1"/>
  <c r="E268" i="1"/>
  <c r="E269" i="1"/>
  <c r="E270" i="1"/>
  <c r="E271" i="1"/>
  <c r="E272" i="1"/>
  <c r="E264" i="1"/>
  <c r="E258" i="1"/>
  <c r="E259" i="1"/>
  <c r="E260" i="1"/>
  <c r="E261" i="1"/>
  <c r="E262" i="1"/>
  <c r="E263" i="1"/>
  <c r="E257" i="1"/>
  <c r="E256" i="1"/>
  <c r="E255" i="1"/>
  <c r="E254" i="1"/>
  <c r="E253" i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199" i="1"/>
  <c r="F19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D181" i="1"/>
  <c r="E181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J335" i="1"/>
  <c r="F332" i="1"/>
  <c r="F330" i="1"/>
  <c r="F329" i="1"/>
  <c r="F328" i="1"/>
  <c r="F327" i="1"/>
  <c r="F326" i="1"/>
  <c r="F325" i="1"/>
  <c r="F324" i="1"/>
  <c r="F323" i="1"/>
  <c r="F322" i="1"/>
  <c r="D180" i="1"/>
  <c r="E180" i="1" s="1"/>
  <c r="D176" i="1"/>
  <c r="E176" i="1" s="1"/>
  <c r="D177" i="1"/>
  <c r="E177" i="1" s="1"/>
  <c r="D178" i="1"/>
  <c r="E178" i="1" s="1"/>
  <c r="D179" i="1"/>
  <c r="E179" i="1" s="1"/>
  <c r="D175" i="1"/>
  <c r="E175" i="1" s="1"/>
  <c r="E93" i="1"/>
  <c r="F93" i="1" s="1"/>
  <c r="G93" i="1" s="1"/>
  <c r="E94" i="1"/>
  <c r="F94" i="1" s="1"/>
  <c r="G94" i="1" s="1"/>
  <c r="E95" i="1"/>
  <c r="F95" i="1" s="1"/>
  <c r="G95" i="1" s="1"/>
  <c r="E96" i="1"/>
  <c r="F96" i="1" s="1"/>
  <c r="G96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20" i="1"/>
  <c r="E120" i="1" s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F64" i="1" s="1"/>
  <c r="G64" i="1" s="1"/>
  <c r="E65" i="1"/>
  <c r="F65" i="1" s="1"/>
  <c r="G65" i="1" s="1"/>
  <c r="E66" i="1"/>
  <c r="F66" i="1" s="1"/>
  <c r="G66" i="1" s="1"/>
  <c r="E67" i="1"/>
  <c r="F67" i="1" s="1"/>
  <c r="G67" i="1" s="1"/>
  <c r="E68" i="1"/>
  <c r="F68" i="1" s="1"/>
  <c r="G68" i="1" s="1"/>
  <c r="E69" i="1"/>
  <c r="F69" i="1" s="1"/>
  <c r="G69" i="1" s="1"/>
  <c r="E70" i="1"/>
  <c r="F70" i="1" s="1"/>
  <c r="G70" i="1" s="1"/>
  <c r="E71" i="1"/>
  <c r="F71" i="1" s="1"/>
  <c r="G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E76" i="1"/>
  <c r="F76" i="1" s="1"/>
  <c r="G76" i="1" s="1"/>
  <c r="E77" i="1"/>
  <c r="F77" i="1" s="1"/>
  <c r="G77" i="1" s="1"/>
  <c r="E78" i="1"/>
  <c r="F78" i="1" s="1"/>
  <c r="G78" i="1" s="1"/>
  <c r="E79" i="1"/>
  <c r="F79" i="1" s="1"/>
  <c r="G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F84" i="1" s="1"/>
  <c r="G84" i="1" s="1"/>
  <c r="E85" i="1"/>
  <c r="F85" i="1" s="1"/>
  <c r="G85" i="1" s="1"/>
  <c r="E86" i="1"/>
  <c r="F86" i="1" s="1"/>
  <c r="G86" i="1" s="1"/>
  <c r="E87" i="1"/>
  <c r="F87" i="1" s="1"/>
  <c r="G87" i="1" s="1"/>
  <c r="E88" i="1"/>
  <c r="F88" i="1" s="1"/>
  <c r="G88" i="1" s="1"/>
  <c r="E89" i="1"/>
  <c r="F89" i="1" s="1"/>
  <c r="G89" i="1" s="1"/>
  <c r="E90" i="1"/>
  <c r="F90" i="1" s="1"/>
  <c r="G90" i="1" s="1"/>
  <c r="E91" i="1"/>
  <c r="F91" i="1" s="1"/>
  <c r="G91" i="1" s="1"/>
  <c r="E92" i="1"/>
  <c r="F92" i="1" s="1"/>
  <c r="G92" i="1" s="1"/>
  <c r="E46" i="1"/>
  <c r="E34" i="1"/>
  <c r="E35" i="1"/>
  <c r="E36" i="1"/>
  <c r="E37" i="1"/>
  <c r="E26" i="1"/>
  <c r="E27" i="1"/>
  <c r="E28" i="1"/>
  <c r="E29" i="1"/>
  <c r="E30" i="1"/>
  <c r="E31" i="1"/>
  <c r="E32" i="1"/>
  <c r="E33" i="1"/>
  <c r="E172" i="2"/>
  <c r="K225" i="2"/>
  <c r="E137" i="2"/>
  <c r="E138" i="2"/>
  <c r="E139" i="2"/>
  <c r="E140" i="2"/>
  <c r="E141" i="2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E156" i="2"/>
  <c r="E157" i="2"/>
  <c r="E158" i="2"/>
  <c r="F155" i="2"/>
  <c r="F156" i="2"/>
  <c r="F157" i="2"/>
  <c r="F158" i="2"/>
  <c r="F140" i="2"/>
  <c r="F141" i="2"/>
  <c r="D128" i="2"/>
  <c r="E128" i="2" s="1"/>
  <c r="D127" i="2"/>
  <c r="E127" i="2" s="1"/>
  <c r="D123" i="2"/>
  <c r="E123" i="2" s="1"/>
  <c r="D124" i="2"/>
  <c r="E124" i="2" s="1"/>
  <c r="D125" i="2"/>
  <c r="E125" i="2" s="1"/>
  <c r="D126" i="2"/>
  <c r="E126" i="2" s="1"/>
  <c r="D119" i="2"/>
  <c r="E119" i="2" s="1"/>
  <c r="D120" i="2"/>
  <c r="E120" i="2" s="1"/>
  <c r="D121" i="2"/>
  <c r="E121" i="2" s="1"/>
  <c r="D122" i="2"/>
  <c r="E12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F303" i="3"/>
  <c r="F301" i="3"/>
  <c r="F300" i="3"/>
  <c r="F299" i="3"/>
  <c r="F298" i="3"/>
  <c r="F297" i="3"/>
  <c r="F296" i="3"/>
  <c r="F295" i="3"/>
  <c r="F294" i="3"/>
  <c r="F293" i="3"/>
  <c r="F302" i="3" s="1"/>
  <c r="E227" i="2"/>
  <c r="E225" i="2"/>
  <c r="E224" i="2"/>
  <c r="E223" i="2"/>
  <c r="E222" i="2"/>
  <c r="E221" i="2"/>
  <c r="E220" i="2"/>
  <c r="E219" i="2"/>
  <c r="E218" i="2"/>
  <c r="E217" i="2"/>
  <c r="E63" i="2"/>
  <c r="F63" i="2" s="1"/>
  <c r="G63" i="2" s="1"/>
  <c r="E64" i="2"/>
  <c r="F64" i="2" s="1"/>
  <c r="G64" i="2" s="1"/>
  <c r="E65" i="2"/>
  <c r="F65" i="2" s="1"/>
  <c r="G65" i="2" s="1"/>
  <c r="E66" i="2"/>
  <c r="F66" i="2" s="1"/>
  <c r="G66" i="2" s="1"/>
  <c r="E67" i="2"/>
  <c r="F67" i="2" s="1"/>
  <c r="G67" i="2" s="1"/>
  <c r="E58" i="2"/>
  <c r="F58" i="2" s="1"/>
  <c r="G58" i="2" s="1"/>
  <c r="E59" i="2"/>
  <c r="F59" i="2" s="1"/>
  <c r="G59" i="2" s="1"/>
  <c r="E60" i="2"/>
  <c r="F60" i="2" s="1"/>
  <c r="G60" i="2" s="1"/>
  <c r="E61" i="2"/>
  <c r="F61" i="2" s="1"/>
  <c r="G61" i="2" s="1"/>
  <c r="E62" i="2"/>
  <c r="F62" i="2" s="1"/>
  <c r="G62" i="2" s="1"/>
  <c r="E52" i="2"/>
  <c r="F52" i="2" s="1"/>
  <c r="G52" i="2" s="1"/>
  <c r="E53" i="2"/>
  <c r="F53" i="2" s="1"/>
  <c r="G53" i="2" s="1"/>
  <c r="E54" i="2"/>
  <c r="F54" i="2" s="1"/>
  <c r="G54" i="2" s="1"/>
  <c r="E55" i="2"/>
  <c r="F55" i="2" s="1"/>
  <c r="G55" i="2" s="1"/>
  <c r="E56" i="2"/>
  <c r="F56" i="2" s="1"/>
  <c r="G56" i="2" s="1"/>
  <c r="E57" i="2"/>
  <c r="F57" i="2" s="1"/>
  <c r="G57" i="2" s="1"/>
  <c r="E49" i="2"/>
  <c r="F49" i="2" s="1"/>
  <c r="G49" i="2" s="1"/>
  <c r="E50" i="2"/>
  <c r="F50" i="2" s="1"/>
  <c r="G50" i="2" s="1"/>
  <c r="E51" i="2"/>
  <c r="F51" i="2" s="1"/>
  <c r="G51" i="2" s="1"/>
  <c r="E44" i="2"/>
  <c r="F44" i="2" s="1"/>
  <c r="G44" i="2" s="1"/>
  <c r="E45" i="2"/>
  <c r="F45" i="2" s="1"/>
  <c r="G45" i="2" s="1"/>
  <c r="E46" i="2"/>
  <c r="F46" i="2" s="1"/>
  <c r="G46" i="2" s="1"/>
  <c r="E47" i="2"/>
  <c r="F47" i="2" s="1"/>
  <c r="G47" i="2" s="1"/>
  <c r="E48" i="2"/>
  <c r="F48" i="2" s="1"/>
  <c r="G48" i="2" s="1"/>
  <c r="L144" i="3"/>
  <c r="M144" i="3" s="1"/>
  <c r="L143" i="3"/>
  <c r="M143" i="3" s="1"/>
  <c r="L142" i="3"/>
  <c r="M142" i="3" s="1"/>
  <c r="L141" i="3"/>
  <c r="M141" i="3" s="1"/>
  <c r="L140" i="3"/>
  <c r="M140" i="3" s="1"/>
  <c r="L139" i="3"/>
  <c r="M139" i="3"/>
  <c r="L138" i="3"/>
  <c r="M138" i="3" s="1"/>
  <c r="L137" i="3"/>
  <c r="M137" i="3" s="1"/>
  <c r="M145" i="3" s="1"/>
  <c r="E36" i="2"/>
  <c r="F36" i="2" s="1"/>
  <c r="G36" i="2" s="1"/>
  <c r="E37" i="2"/>
  <c r="F37" i="2" s="1"/>
  <c r="G37" i="2" s="1"/>
  <c r="E38" i="2"/>
  <c r="F38" i="2" s="1"/>
  <c r="G38" i="2" s="1"/>
  <c r="E39" i="2"/>
  <c r="F39" i="2" s="1"/>
  <c r="G39" i="2" s="1"/>
  <c r="E40" i="2"/>
  <c r="F40" i="2" s="1"/>
  <c r="G40" i="2" s="1"/>
  <c r="E41" i="2"/>
  <c r="F41" i="2" s="1"/>
  <c r="G41" i="2" s="1"/>
  <c r="E42" i="2"/>
  <c r="F42" i="2" s="1"/>
  <c r="G42" i="2" s="1"/>
  <c r="E43" i="2"/>
  <c r="F43" i="2" s="1"/>
  <c r="G43" i="2" s="1"/>
  <c r="E16" i="2"/>
  <c r="E17" i="2"/>
  <c r="E18" i="2"/>
  <c r="E19" i="2"/>
  <c r="E20" i="2"/>
  <c r="E21" i="2"/>
  <c r="E22" i="2"/>
  <c r="E23" i="2"/>
  <c r="E242" i="3"/>
  <c r="E243" i="3"/>
  <c r="E244" i="3"/>
  <c r="E245" i="3"/>
  <c r="E228" i="3"/>
  <c r="F228" i="3" s="1"/>
  <c r="E227" i="3"/>
  <c r="F227" i="3" s="1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/>
  <c r="E224" i="3"/>
  <c r="F224" i="3" s="1"/>
  <c r="E225" i="3"/>
  <c r="F225" i="3" s="1"/>
  <c r="E226" i="3"/>
  <c r="F226" i="3"/>
  <c r="L136" i="3"/>
  <c r="M136" i="3" s="1"/>
  <c r="L135" i="3"/>
  <c r="M135" i="3" s="1"/>
  <c r="L134" i="3"/>
  <c r="M134" i="3" s="1"/>
  <c r="L133" i="3"/>
  <c r="M13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F331" i="1" l="1"/>
  <c r="F34" i="1"/>
  <c r="F36" i="1"/>
  <c r="F28" i="1"/>
  <c r="F26" i="1"/>
  <c r="E226" i="2"/>
  <c r="F18" i="2"/>
  <c r="F22" i="2"/>
  <c r="F20" i="2"/>
  <c r="F16" i="2"/>
  <c r="N145" i="3"/>
  <c r="P274" i="3" l="1"/>
  <c r="E202" i="3"/>
  <c r="F202" i="3" s="1"/>
  <c r="E203" i="3"/>
  <c r="F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E214" i="3"/>
  <c r="F214" i="3" s="1"/>
  <c r="E215" i="3"/>
  <c r="F215" i="3" s="1"/>
  <c r="E216" i="3"/>
  <c r="F216" i="3" s="1"/>
  <c r="R179" i="3"/>
  <c r="N190" i="3"/>
  <c r="O190" i="3" s="1"/>
  <c r="N189" i="3"/>
  <c r="O189" i="3" s="1"/>
  <c r="N188" i="3"/>
  <c r="O188" i="3" s="1"/>
  <c r="N187" i="3"/>
  <c r="O187" i="3" s="1"/>
  <c r="N186" i="3"/>
  <c r="O186" i="3" s="1"/>
  <c r="N185" i="3"/>
  <c r="O185" i="3" s="1"/>
  <c r="N184" i="3"/>
  <c r="O184" i="3" s="1"/>
  <c r="N183" i="3"/>
  <c r="O183" i="3" s="1"/>
  <c r="N182" i="3"/>
  <c r="O182" i="3" s="1"/>
  <c r="N181" i="3"/>
  <c r="O181" i="3" s="1"/>
  <c r="N180" i="3"/>
  <c r="O180" i="3" s="1"/>
  <c r="N179" i="3"/>
  <c r="O179" i="3" s="1"/>
  <c r="N178" i="3"/>
  <c r="O178" i="3" s="1"/>
  <c r="N177" i="3"/>
  <c r="O177" i="3" s="1"/>
  <c r="N176" i="3"/>
  <c r="O176" i="3" s="1"/>
  <c r="N175" i="3"/>
  <c r="O175" i="3" s="1"/>
  <c r="N174" i="3"/>
  <c r="O174" i="3" s="1"/>
  <c r="N173" i="3"/>
  <c r="O173" i="3" s="1"/>
  <c r="N172" i="3"/>
  <c r="O172" i="3" s="1"/>
  <c r="N171" i="3"/>
  <c r="O171" i="3" s="1"/>
  <c r="N170" i="3"/>
  <c r="O170" i="3" s="1"/>
  <c r="N169" i="3"/>
  <c r="O169" i="3" s="1"/>
  <c r="N168" i="3"/>
  <c r="O168" i="3" s="1"/>
  <c r="N167" i="3"/>
  <c r="O167" i="3" s="1"/>
  <c r="N166" i="3"/>
  <c r="O166" i="3" s="1"/>
  <c r="N165" i="3"/>
  <c r="O165" i="3" s="1"/>
  <c r="N164" i="3"/>
  <c r="O164" i="3" s="1"/>
  <c r="N163" i="3"/>
  <c r="O163" i="3" s="1"/>
  <c r="N162" i="3"/>
  <c r="O162" i="3" s="1"/>
  <c r="N161" i="3"/>
  <c r="O161" i="3" s="1"/>
  <c r="N160" i="3"/>
  <c r="O160" i="3" s="1"/>
  <c r="N159" i="3"/>
  <c r="O159" i="3" s="1"/>
  <c r="N158" i="3"/>
  <c r="O158" i="3" s="1"/>
  <c r="N157" i="3"/>
  <c r="O157" i="3" s="1"/>
  <c r="N156" i="3"/>
  <c r="O156" i="3" s="1"/>
  <c r="N155" i="3"/>
  <c r="O155" i="3" s="1"/>
  <c r="N154" i="3"/>
  <c r="O154" i="3" s="1"/>
  <c r="N153" i="3"/>
  <c r="O153" i="3" s="1"/>
  <c r="N152" i="3"/>
  <c r="O152" i="3" s="1"/>
  <c r="D190" i="3"/>
  <c r="E190" i="3" s="1"/>
  <c r="D189" i="3"/>
  <c r="E189" i="3" s="1"/>
  <c r="D187" i="3"/>
  <c r="E187" i="3" s="1"/>
  <c r="D188" i="3"/>
  <c r="E188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54" i="3"/>
  <c r="D155" i="3"/>
  <c r="D156" i="3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E95" i="3"/>
  <c r="F95" i="3" s="1"/>
  <c r="G95" i="3" s="1"/>
  <c r="E96" i="3"/>
  <c r="F96" i="3" s="1"/>
  <c r="G96" i="3" s="1"/>
  <c r="E97" i="3"/>
  <c r="F97" i="3" s="1"/>
  <c r="G97" i="3" s="1"/>
  <c r="E98" i="3"/>
  <c r="F98" i="3" s="1"/>
  <c r="G98" i="3" s="1"/>
  <c r="E99" i="3"/>
  <c r="F99" i="3" s="1"/>
  <c r="G99" i="3" s="1"/>
  <c r="E100" i="3"/>
  <c r="F100" i="3" s="1"/>
  <c r="G100" i="3" s="1"/>
  <c r="E101" i="3"/>
  <c r="F101" i="3" s="1"/>
  <c r="G101" i="3" s="1"/>
  <c r="E102" i="3"/>
  <c r="F102" i="3" s="1"/>
  <c r="G102" i="3" s="1"/>
  <c r="E87" i="3"/>
  <c r="F87" i="3" s="1"/>
  <c r="G87" i="3" s="1"/>
  <c r="E88" i="3"/>
  <c r="F88" i="3" s="1"/>
  <c r="G88" i="3" s="1"/>
  <c r="E89" i="3"/>
  <c r="F89" i="3" s="1"/>
  <c r="G89" i="3" s="1"/>
  <c r="E90" i="3"/>
  <c r="F90" i="3" s="1"/>
  <c r="G90" i="3" s="1"/>
  <c r="E91" i="3"/>
  <c r="F91" i="3" s="1"/>
  <c r="G91" i="3" s="1"/>
  <c r="E92" i="3"/>
  <c r="F92" i="3" s="1"/>
  <c r="G92" i="3" s="1"/>
  <c r="E93" i="3"/>
  <c r="F93" i="3" s="1"/>
  <c r="G93" i="3" s="1"/>
  <c r="E94" i="3"/>
  <c r="F94" i="3" s="1"/>
  <c r="G94" i="3" s="1"/>
  <c r="E68" i="3"/>
  <c r="F68" i="3" s="1"/>
  <c r="G68" i="3" s="1"/>
  <c r="E69" i="3"/>
  <c r="F69" i="3" s="1"/>
  <c r="G69" i="3" s="1"/>
  <c r="E70" i="3"/>
  <c r="F70" i="3" s="1"/>
  <c r="G70" i="3" s="1"/>
  <c r="E71" i="3"/>
  <c r="F71" i="3" s="1"/>
  <c r="G71" i="3" s="1"/>
  <c r="E72" i="3"/>
  <c r="F72" i="3" s="1"/>
  <c r="G72" i="3" s="1"/>
  <c r="E73" i="3"/>
  <c r="F73" i="3" s="1"/>
  <c r="G73" i="3" s="1"/>
  <c r="E74" i="3"/>
  <c r="F74" i="3" s="1"/>
  <c r="G74" i="3" s="1"/>
  <c r="E75" i="3"/>
  <c r="F75" i="3" s="1"/>
  <c r="G75" i="3" s="1"/>
  <c r="E76" i="3"/>
  <c r="F76" i="3" s="1"/>
  <c r="G76" i="3" s="1"/>
  <c r="E77" i="3"/>
  <c r="F77" i="3" s="1"/>
  <c r="G77" i="3" s="1"/>
  <c r="E78" i="3"/>
  <c r="F78" i="3" s="1"/>
  <c r="G78" i="3" s="1"/>
  <c r="E79" i="3"/>
  <c r="F79" i="3" s="1"/>
  <c r="G79" i="3" s="1"/>
  <c r="E80" i="3"/>
  <c r="F80" i="3" s="1"/>
  <c r="G80" i="3" s="1"/>
  <c r="E81" i="3"/>
  <c r="F81" i="3" s="1"/>
  <c r="G81" i="3" s="1"/>
  <c r="E82" i="3"/>
  <c r="F82" i="3" s="1"/>
  <c r="G82" i="3" s="1"/>
  <c r="E83" i="3"/>
  <c r="F83" i="3" s="1"/>
  <c r="G83" i="3" s="1"/>
  <c r="E84" i="3"/>
  <c r="F84" i="3" s="1"/>
  <c r="G84" i="3" s="1"/>
  <c r="E85" i="3"/>
  <c r="F85" i="3" s="1"/>
  <c r="G85" i="3" s="1"/>
  <c r="E86" i="3"/>
  <c r="F86" i="3" s="1"/>
  <c r="G86" i="3" s="1"/>
  <c r="E136" i="2"/>
  <c r="E190" i="1"/>
  <c r="E191" i="1"/>
  <c r="E192" i="1"/>
  <c r="E189" i="1"/>
  <c r="O191" i="3" l="1"/>
  <c r="E199" i="3"/>
  <c r="E200" i="3"/>
  <c r="E201" i="3"/>
  <c r="E198" i="3"/>
  <c r="E50" i="3"/>
  <c r="E51" i="3"/>
  <c r="E52" i="3"/>
  <c r="E53" i="3"/>
  <c r="E54" i="3"/>
  <c r="E55" i="3"/>
  <c r="E38" i="3"/>
  <c r="E39" i="3"/>
  <c r="E40" i="3"/>
  <c r="E41" i="3"/>
  <c r="E42" i="3"/>
  <c r="E43" i="3"/>
  <c r="E44" i="3"/>
  <c r="E45" i="3"/>
  <c r="E46" i="3"/>
  <c r="E47" i="3"/>
  <c r="E48" i="3"/>
  <c r="E49" i="3"/>
  <c r="E26" i="3"/>
  <c r="E27" i="3"/>
  <c r="E28" i="3"/>
  <c r="E29" i="3"/>
  <c r="E30" i="3"/>
  <c r="E31" i="3"/>
  <c r="E32" i="3"/>
  <c r="E33" i="3"/>
  <c r="E34" i="3"/>
  <c r="E35" i="3"/>
  <c r="E36" i="3"/>
  <c r="E37" i="3"/>
  <c r="E16" i="3"/>
  <c r="E17" i="3"/>
  <c r="E18" i="3"/>
  <c r="E19" i="3"/>
  <c r="E20" i="3"/>
  <c r="E21" i="3"/>
  <c r="E22" i="3"/>
  <c r="E23" i="3"/>
  <c r="E24" i="3"/>
  <c r="E25" i="3"/>
  <c r="F46" i="3" l="1"/>
  <c r="F44" i="3"/>
  <c r="F52" i="3"/>
  <c r="F48" i="3"/>
  <c r="F50" i="3"/>
  <c r="F42" i="3"/>
  <c r="F32" i="3"/>
  <c r="F38" i="3"/>
  <c r="F40" i="3"/>
  <c r="F22" i="3"/>
  <c r="F36" i="3"/>
  <c r="F34" i="3"/>
  <c r="F28" i="3"/>
  <c r="F26" i="3"/>
  <c r="F30" i="3"/>
  <c r="F18" i="3"/>
  <c r="F20" i="3"/>
  <c r="F24" i="3"/>
  <c r="F16" i="3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E16" i="1"/>
  <c r="E17" i="1"/>
  <c r="E18" i="1"/>
  <c r="E19" i="1"/>
  <c r="E20" i="1"/>
  <c r="E21" i="1"/>
  <c r="E22" i="1"/>
  <c r="E23" i="1"/>
  <c r="E24" i="1"/>
  <c r="E25" i="1"/>
  <c r="F24" i="1" l="1"/>
  <c r="F16" i="1"/>
  <c r="F20" i="1"/>
  <c r="F22" i="1"/>
  <c r="F18" i="1"/>
  <c r="L271" i="3" l="1"/>
  <c r="M271" i="3" s="1"/>
  <c r="D271" i="3"/>
  <c r="L270" i="3"/>
  <c r="M270" i="3" s="1"/>
  <c r="D270" i="3"/>
  <c r="L269" i="3"/>
  <c r="M269" i="3" s="1"/>
  <c r="D269" i="3"/>
  <c r="L268" i="3"/>
  <c r="D268" i="3"/>
  <c r="D260" i="3"/>
  <c r="D259" i="3"/>
  <c r="D258" i="3"/>
  <c r="D257" i="3"/>
  <c r="D256" i="3"/>
  <c r="D255" i="3"/>
  <c r="D254" i="3"/>
  <c r="D253" i="3"/>
  <c r="D252" i="3"/>
  <c r="D251" i="3"/>
  <c r="D250" i="3"/>
  <c r="E241" i="3"/>
  <c r="E240" i="3"/>
  <c r="E239" i="3"/>
  <c r="E238" i="3"/>
  <c r="F201" i="3"/>
  <c r="F200" i="3"/>
  <c r="F199" i="3"/>
  <c r="F198" i="3"/>
  <c r="F229" i="3" s="1"/>
  <c r="E156" i="3"/>
  <c r="E155" i="3"/>
  <c r="E154" i="3"/>
  <c r="D153" i="3"/>
  <c r="E153" i="3" s="1"/>
  <c r="F136" i="3"/>
  <c r="F135" i="3"/>
  <c r="F134" i="3"/>
  <c r="E113" i="3"/>
  <c r="F113" i="3" s="1"/>
  <c r="E112" i="3"/>
  <c r="F112" i="3" s="1"/>
  <c r="E111" i="3"/>
  <c r="F111" i="3" s="1"/>
  <c r="E110" i="3"/>
  <c r="F110" i="3" s="1"/>
  <c r="E67" i="3"/>
  <c r="F67" i="3" s="1"/>
  <c r="G67" i="3" s="1"/>
  <c r="E66" i="3"/>
  <c r="F66" i="3" s="1"/>
  <c r="G66" i="3" s="1"/>
  <c r="E65" i="3"/>
  <c r="F65" i="3" s="1"/>
  <c r="G65" i="3" s="1"/>
  <c r="E64" i="3"/>
  <c r="F64" i="3" s="1"/>
  <c r="G64" i="3" s="1"/>
  <c r="E15" i="3"/>
  <c r="E14" i="3"/>
  <c r="E13" i="3"/>
  <c r="E12" i="3"/>
  <c r="E11" i="3"/>
  <c r="E10" i="3"/>
  <c r="E9" i="3"/>
  <c r="E8" i="3"/>
  <c r="L201" i="2"/>
  <c r="M201" i="2" s="1"/>
  <c r="D201" i="2"/>
  <c r="L200" i="2"/>
  <c r="M200" i="2" s="1"/>
  <c r="D200" i="2"/>
  <c r="L199" i="2"/>
  <c r="M199" i="2" s="1"/>
  <c r="D199" i="2"/>
  <c r="L198" i="2"/>
  <c r="D198" i="2"/>
  <c r="D190" i="2"/>
  <c r="D189" i="2"/>
  <c r="D188" i="2"/>
  <c r="D187" i="2"/>
  <c r="D186" i="2"/>
  <c r="D185" i="2"/>
  <c r="D184" i="2"/>
  <c r="D183" i="2"/>
  <c r="D182" i="2"/>
  <c r="D181" i="2"/>
  <c r="D180" i="2"/>
  <c r="E171" i="2"/>
  <c r="E170" i="2"/>
  <c r="E169" i="2"/>
  <c r="E168" i="2"/>
  <c r="F139" i="2"/>
  <c r="F138" i="2"/>
  <c r="F137" i="2"/>
  <c r="F136" i="2"/>
  <c r="D102" i="2"/>
  <c r="E102" i="2" s="1"/>
  <c r="D101" i="2"/>
  <c r="E101" i="2" s="1"/>
  <c r="D100" i="2"/>
  <c r="E100" i="2" s="1"/>
  <c r="D99" i="2"/>
  <c r="E99" i="2" s="1"/>
  <c r="D90" i="2"/>
  <c r="E90" i="2" s="1"/>
  <c r="D89" i="2"/>
  <c r="E89" i="2" s="1"/>
  <c r="D88" i="2"/>
  <c r="E88" i="2" s="1"/>
  <c r="D87" i="2"/>
  <c r="E87" i="2" s="1"/>
  <c r="E78" i="2"/>
  <c r="F78" i="2" s="1"/>
  <c r="E77" i="2"/>
  <c r="F77" i="2" s="1"/>
  <c r="E76" i="2"/>
  <c r="F76" i="2" s="1"/>
  <c r="E75" i="2"/>
  <c r="F75" i="2" s="1"/>
  <c r="E35" i="2"/>
  <c r="F35" i="2" s="1"/>
  <c r="G35" i="2" s="1"/>
  <c r="E34" i="2"/>
  <c r="F34" i="2" s="1"/>
  <c r="G34" i="2" s="1"/>
  <c r="E33" i="2"/>
  <c r="F33" i="2" s="1"/>
  <c r="G33" i="2" s="1"/>
  <c r="E32" i="2"/>
  <c r="F32" i="2" s="1"/>
  <c r="G32" i="2" s="1"/>
  <c r="E15" i="2"/>
  <c r="E14" i="2"/>
  <c r="E13" i="2"/>
  <c r="E12" i="2"/>
  <c r="E11" i="2"/>
  <c r="E10" i="2"/>
  <c r="E9" i="2"/>
  <c r="E8" i="2"/>
  <c r="L304" i="1"/>
  <c r="M304" i="1" s="1"/>
  <c r="L305" i="1"/>
  <c r="M305" i="1" s="1"/>
  <c r="L306" i="1"/>
  <c r="M306" i="1" s="1"/>
  <c r="L303" i="1"/>
  <c r="M303" i="1" s="1"/>
  <c r="F189" i="1"/>
  <c r="E250" i="1"/>
  <c r="E251" i="1"/>
  <c r="E252" i="1"/>
  <c r="E249" i="1"/>
  <c r="F159" i="2" l="1"/>
  <c r="G159" i="2" s="1"/>
  <c r="E129" i="2"/>
  <c r="G68" i="2"/>
  <c r="E91" i="2"/>
  <c r="F91" i="2" s="1"/>
  <c r="F79" i="2"/>
  <c r="D202" i="2"/>
  <c r="D191" i="2"/>
  <c r="L202" i="2"/>
  <c r="F14" i="2"/>
  <c r="F12" i="2"/>
  <c r="F10" i="2"/>
  <c r="F8" i="2"/>
  <c r="E191" i="3"/>
  <c r="G103" i="3"/>
  <c r="F145" i="3"/>
  <c r="G145" i="3" s="1"/>
  <c r="F12" i="3"/>
  <c r="F10" i="3"/>
  <c r="F8" i="3"/>
  <c r="F14" i="3"/>
  <c r="G229" i="3"/>
  <c r="L272" i="3"/>
  <c r="D261" i="3"/>
  <c r="D272" i="3"/>
  <c r="M307" i="1"/>
  <c r="F125" i="3"/>
  <c r="E250" i="3"/>
  <c r="M268" i="3"/>
  <c r="M272" i="3" s="1"/>
  <c r="E180" i="2"/>
  <c r="M198" i="2"/>
  <c r="M202" i="2" s="1"/>
  <c r="L307" i="1"/>
  <c r="D295" i="1"/>
  <c r="D294" i="1"/>
  <c r="D293" i="1"/>
  <c r="D292" i="1"/>
  <c r="D291" i="1"/>
  <c r="D290" i="1"/>
  <c r="D289" i="1"/>
  <c r="D304" i="1"/>
  <c r="D305" i="1"/>
  <c r="D306" i="1"/>
  <c r="D303" i="1"/>
  <c r="D286" i="1"/>
  <c r="D287" i="1"/>
  <c r="D288" i="1"/>
  <c r="D285" i="1"/>
  <c r="E15" i="1"/>
  <c r="E14" i="1"/>
  <c r="E13" i="1"/>
  <c r="E12" i="1"/>
  <c r="E11" i="1"/>
  <c r="E10" i="1"/>
  <c r="E9" i="1"/>
  <c r="E8" i="1"/>
  <c r="F47" i="1"/>
  <c r="G47" i="1" s="1"/>
  <c r="F48" i="1"/>
  <c r="G48" i="1" s="1"/>
  <c r="F49" i="1"/>
  <c r="G49" i="1" s="1"/>
  <c r="F46" i="1"/>
  <c r="G46" i="1" s="1"/>
  <c r="F190" i="1"/>
  <c r="F191" i="1"/>
  <c r="F192" i="1"/>
  <c r="D132" i="1"/>
  <c r="E132" i="1" s="1"/>
  <c r="D130" i="1"/>
  <c r="E130" i="1" s="1"/>
  <c r="D131" i="1"/>
  <c r="E131" i="1" s="1"/>
  <c r="D129" i="1"/>
  <c r="E129" i="1" s="1"/>
  <c r="D117" i="1"/>
  <c r="E117" i="1" s="1"/>
  <c r="D118" i="1"/>
  <c r="E118" i="1" s="1"/>
  <c r="D119" i="1"/>
  <c r="E119" i="1" s="1"/>
  <c r="D116" i="1"/>
  <c r="E116" i="1" s="1"/>
  <c r="E105" i="1"/>
  <c r="F105" i="1" s="1"/>
  <c r="E106" i="1"/>
  <c r="F106" i="1" s="1"/>
  <c r="E107" i="1"/>
  <c r="F107" i="1" s="1"/>
  <c r="E104" i="1"/>
  <c r="F104" i="1" s="1"/>
  <c r="F240" i="1" l="1"/>
  <c r="G240" i="1" s="1"/>
  <c r="E182" i="1"/>
  <c r="G97" i="1"/>
  <c r="E121" i="1"/>
  <c r="F121" i="1" s="1"/>
  <c r="F24" i="2"/>
  <c r="G24" i="2" s="1"/>
  <c r="F56" i="3"/>
  <c r="G56" i="3" s="1"/>
  <c r="F8" i="1"/>
  <c r="E285" i="1"/>
  <c r="D296" i="1"/>
  <c r="D307" i="1"/>
  <c r="F108" i="1"/>
  <c r="F10" i="1"/>
  <c r="F12" i="1"/>
  <c r="F14" i="1"/>
  <c r="F38" i="1" l="1"/>
  <c r="G38" i="1" s="1"/>
</calcChain>
</file>

<file path=xl/sharedStrings.xml><?xml version="1.0" encoding="utf-8"?>
<sst xmlns="http://schemas.openxmlformats.org/spreadsheetml/2006/main" count="908" uniqueCount="226">
  <si>
    <t xml:space="preserve">물량산출 </t>
    <phoneticPr fontId="1" type="noConversion"/>
  </si>
  <si>
    <t xml:space="preserve">각재 </t>
    <phoneticPr fontId="1" type="noConversion"/>
  </si>
  <si>
    <t xml:space="preserve">구역 </t>
    <phoneticPr fontId="1" type="noConversion"/>
  </si>
  <si>
    <t>방향</t>
    <phoneticPr fontId="1" type="noConversion"/>
  </si>
  <si>
    <t>A(세로)</t>
    <phoneticPr fontId="1" type="noConversion"/>
  </si>
  <si>
    <t>A(가로)</t>
    <phoneticPr fontId="1" type="noConversion"/>
  </si>
  <si>
    <t>B(세로)</t>
    <phoneticPr fontId="1" type="noConversion"/>
  </si>
  <si>
    <t>B(가로)</t>
    <phoneticPr fontId="1" type="noConversion"/>
  </si>
  <si>
    <t>C(세로)</t>
    <phoneticPr fontId="1" type="noConversion"/>
  </si>
  <si>
    <t>C(가로)</t>
    <phoneticPr fontId="1" type="noConversion"/>
  </si>
  <si>
    <t xml:space="preserve">전체길이 </t>
    <phoneticPr fontId="1" type="noConversion"/>
  </si>
  <si>
    <t>D(가로)</t>
    <phoneticPr fontId="1" type="noConversion"/>
  </si>
  <si>
    <t>D(세로)</t>
    <phoneticPr fontId="1" type="noConversion"/>
  </si>
  <si>
    <t>합</t>
    <phoneticPr fontId="1" type="noConversion"/>
  </si>
  <si>
    <t>구역</t>
    <phoneticPr fontId="1" type="noConversion"/>
  </si>
  <si>
    <t xml:space="preserve">방향 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</si>
  <si>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</si>
  <si>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</si>
  <si>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</si>
  <si>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</si>
  <si>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 xml:space="preserve">올림 </t>
    <phoneticPr fontId="1" type="noConversion"/>
  </si>
  <si>
    <r>
      <t>면적 (</t>
    </r>
    <r>
      <rPr>
        <sz val="11"/>
        <color theme="1"/>
        <rFont val="Noto Sans KR"/>
        <family val="3"/>
        <charset val="129"/>
      </rPr>
      <t>㎡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</si>
  <si>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면적/1.62</t>
    <phoneticPr fontId="1" type="noConversion"/>
  </si>
  <si>
    <t xml:space="preserve">합 </t>
    <phoneticPr fontId="1" type="noConversion"/>
  </si>
  <si>
    <t>가로 (m)</t>
    <phoneticPr fontId="1" type="noConversion"/>
  </si>
  <si>
    <t>높이 (m)</t>
    <phoneticPr fontId="1" type="noConversion"/>
  </si>
  <si>
    <t>면적/2.88㎡</t>
    <phoneticPr fontId="1" type="noConversion"/>
  </si>
  <si>
    <t>합판</t>
    <phoneticPr fontId="1" type="noConversion"/>
  </si>
  <si>
    <t>MDF (면적)</t>
    <phoneticPr fontId="1" type="noConversion"/>
  </si>
  <si>
    <t>벽두께 80일경우 ,(합판규격 1200) 1200/80=13개</t>
    <phoneticPr fontId="1" type="noConversion"/>
  </si>
  <si>
    <t xml:space="preserve">길이 </t>
    <phoneticPr fontId="1" type="noConversion"/>
  </si>
  <si>
    <t>길이/450</t>
    <phoneticPr fontId="1" type="noConversion"/>
  </si>
  <si>
    <t>올림</t>
    <phoneticPr fontId="1" type="noConversion"/>
  </si>
  <si>
    <t xml:space="preserve">필요장수 </t>
    <phoneticPr fontId="1" type="noConversion"/>
  </si>
  <si>
    <t>걸레받이 규격 2400mm</t>
    <phoneticPr fontId="1" type="noConversion"/>
  </si>
  <si>
    <t>길이/2400</t>
    <phoneticPr fontId="1" type="noConversion"/>
  </si>
  <si>
    <t xml:space="preserve">벽지 </t>
    <phoneticPr fontId="1" type="noConversion"/>
  </si>
  <si>
    <t>벽지 =석고면적 (㎡)</t>
    <phoneticPr fontId="1" type="noConversion"/>
  </si>
  <si>
    <t>석고면적*0.3025</t>
    <phoneticPr fontId="1" type="noConversion"/>
  </si>
  <si>
    <t xml:space="preserve">필름 </t>
    <phoneticPr fontId="1" type="noConversion"/>
  </si>
  <si>
    <t xml:space="preserve">필름 1000mm간격 </t>
    <phoneticPr fontId="1" type="noConversion"/>
  </si>
  <si>
    <t xml:space="preserve">1000간격 *높이 =m로 계산 </t>
    <phoneticPr fontId="1" type="noConversion"/>
  </si>
  <si>
    <t>길이 (m)</t>
    <phoneticPr fontId="1" type="noConversion"/>
  </si>
  <si>
    <t>각재필요단수</t>
    <phoneticPr fontId="1" type="noConversion"/>
  </si>
  <si>
    <t>합판은 가운데 벽만 해당o</t>
    <phoneticPr fontId="1" type="noConversion"/>
  </si>
  <si>
    <t>걸레받이 /천장몰딩</t>
    <phoneticPr fontId="1" type="noConversion"/>
  </si>
  <si>
    <t xml:space="preserve">석고면적 값만 붙여넣기 </t>
    <phoneticPr fontId="1" type="noConversion"/>
  </si>
  <si>
    <t>각재단위</t>
    <phoneticPr fontId="1" type="noConversion"/>
  </si>
  <si>
    <t>값</t>
    <phoneticPr fontId="1" type="noConversion"/>
  </si>
  <si>
    <t>각재단위목록</t>
    <phoneticPr fontId="1" type="noConversion"/>
  </si>
  <si>
    <t>/5</t>
    <phoneticPr fontId="1" type="noConversion"/>
  </si>
  <si>
    <t>*각재 1단 20개</t>
    <phoneticPr fontId="1" type="noConversion"/>
  </si>
  <si>
    <t xml:space="preserve">천장 따로 구하기 </t>
    <phoneticPr fontId="1" type="noConversion"/>
  </si>
  <si>
    <t>타일</t>
    <phoneticPr fontId="1" type="noConversion"/>
  </si>
  <si>
    <t>타일면적(㎡)</t>
    <phoneticPr fontId="1" type="noConversion"/>
  </si>
  <si>
    <t>박스(면적/1.44㎡)</t>
    <phoneticPr fontId="1" type="noConversion"/>
  </si>
  <si>
    <t>데코타일</t>
    <phoneticPr fontId="1" type="noConversion"/>
  </si>
  <si>
    <t>박스(면적/3.24㎡)</t>
    <phoneticPr fontId="1" type="noConversion"/>
  </si>
  <si>
    <t xml:space="preserve">*보강이 필요한 부분에 시공 -표면이 매끄럽지 않아서 페인트, 필름 시공에 비추천 </t>
    <phoneticPr fontId="1" type="noConversion"/>
  </si>
  <si>
    <t>MDF : 매끄러운 면이 필요한 곳 -&gt;필름, 도장, 좁은면, 기둥, 모서리 에 사용</t>
    <phoneticPr fontId="1" type="noConversion"/>
  </si>
  <si>
    <t>벽타일</t>
    <phoneticPr fontId="1" type="noConversion"/>
  </si>
  <si>
    <t>바닥타일</t>
    <phoneticPr fontId="1" type="noConversion"/>
  </si>
  <si>
    <t>합계</t>
    <phoneticPr fontId="1" type="noConversion"/>
  </si>
  <si>
    <t>한단개수</t>
    <phoneticPr fontId="1" type="noConversion"/>
  </si>
  <si>
    <t>구역</t>
    <phoneticPr fontId="1" type="noConversion"/>
  </si>
  <si>
    <t>방향</t>
    <phoneticPr fontId="1" type="noConversion"/>
  </si>
  <si>
    <t>가로(m)</t>
    <phoneticPr fontId="1" type="noConversion"/>
  </si>
  <si>
    <t>높이(m)</t>
    <phoneticPr fontId="1" type="noConversion"/>
  </si>
  <si>
    <t>가로*높이</t>
    <phoneticPr fontId="1" type="noConversion"/>
  </si>
  <si>
    <r>
      <t>석고 (면적</t>
    </r>
    <r>
      <rPr>
        <b/>
        <sz val="14"/>
        <color theme="1"/>
        <rFont val="Noto Sans KR"/>
        <family val="3"/>
        <charset val="129"/>
      </rPr>
      <t>㎡</t>
    </r>
    <r>
      <rPr>
        <b/>
        <sz val="14"/>
        <color theme="1"/>
        <rFont val="맑은 고딕"/>
        <family val="2"/>
        <charset val="129"/>
        <scheme val="minor"/>
      </rPr>
      <t>)</t>
    </r>
    <phoneticPr fontId="1" type="noConversion"/>
  </si>
  <si>
    <t xml:space="preserve">MDF : 필름, 도장, 좁은면, 기둥, 모서리 </t>
    <phoneticPr fontId="1" type="noConversion"/>
  </si>
  <si>
    <t>석고 : 도배면</t>
    <phoneticPr fontId="1" type="noConversion"/>
  </si>
  <si>
    <t xml:space="preserve">*천장 ,등박스, 단상 추가 구하기 </t>
  </si>
  <si>
    <t>오징어합판</t>
    <phoneticPr fontId="1" type="noConversion"/>
  </si>
  <si>
    <t xml:space="preserve">템파보드 </t>
    <phoneticPr fontId="1" type="noConversion"/>
  </si>
  <si>
    <t xml:space="preserve">조명 </t>
    <phoneticPr fontId="1" type="noConversion"/>
  </si>
  <si>
    <t xml:space="preserve">구역 </t>
    <phoneticPr fontId="1" type="noConversion"/>
  </si>
  <si>
    <t xml:space="preserve">종류 </t>
    <phoneticPr fontId="1" type="noConversion"/>
  </si>
  <si>
    <t xml:space="preserve">수량, 길이 </t>
    <phoneticPr fontId="1" type="noConversion"/>
  </si>
  <si>
    <t>합</t>
    <phoneticPr fontId="1" type="noConversion"/>
  </si>
  <si>
    <t xml:space="preserve">템파보드 </t>
    <phoneticPr fontId="1" type="noConversion"/>
  </si>
  <si>
    <t>1000*2400*12T</t>
    <phoneticPr fontId="1" type="noConversion"/>
  </si>
  <si>
    <t>2400*28*28</t>
    <phoneticPr fontId="1" type="noConversion"/>
  </si>
  <si>
    <t>2700*28*28</t>
    <phoneticPr fontId="1" type="noConversion"/>
  </si>
  <si>
    <t>3000*28*28</t>
    <phoneticPr fontId="1" type="noConversion"/>
  </si>
  <si>
    <t>3600*28*28</t>
    <phoneticPr fontId="1" type="noConversion"/>
  </si>
  <si>
    <t>석고: 900*1800*9.5T</t>
    <phoneticPr fontId="1" type="noConversion"/>
  </si>
  <si>
    <t>MDF:1220*2440</t>
    <phoneticPr fontId="1" type="noConversion"/>
  </si>
  <si>
    <t>합판 :1220*2440</t>
    <phoneticPr fontId="1" type="noConversion"/>
  </si>
  <si>
    <t xml:space="preserve">1박스 장수 </t>
    <phoneticPr fontId="1" type="noConversion"/>
  </si>
  <si>
    <t>450*450 :16장</t>
    <phoneticPr fontId="1" type="noConversion"/>
  </si>
  <si>
    <t>600*600 : 9장</t>
    <phoneticPr fontId="1" type="noConversion"/>
  </si>
  <si>
    <t>가로 /450</t>
    <phoneticPr fontId="1" type="noConversion"/>
  </si>
  <si>
    <t>세로/45</t>
    <phoneticPr fontId="1" type="noConversion"/>
  </si>
  <si>
    <t>박스</t>
    <phoneticPr fontId="1" type="noConversion"/>
  </si>
  <si>
    <t>로비101</t>
    <phoneticPr fontId="1" type="noConversion"/>
  </si>
  <si>
    <t>E</t>
  </si>
  <si>
    <t>F</t>
  </si>
  <si>
    <t>G</t>
  </si>
  <si>
    <t>H</t>
  </si>
  <si>
    <t>I</t>
  </si>
  <si>
    <t>J</t>
  </si>
  <si>
    <t>K</t>
  </si>
  <si>
    <t>L</t>
  </si>
  <si>
    <t>M</t>
  </si>
  <si>
    <t>대회의실</t>
    <phoneticPr fontId="1" type="noConversion"/>
  </si>
  <si>
    <t>연구개발102</t>
    <phoneticPr fontId="1" type="noConversion"/>
  </si>
  <si>
    <t>대표이사103</t>
    <phoneticPr fontId="1" type="noConversion"/>
  </si>
  <si>
    <t>회의실104</t>
    <phoneticPr fontId="1" type="noConversion"/>
  </si>
  <si>
    <t>회의실105</t>
    <phoneticPr fontId="1" type="noConversion"/>
  </si>
  <si>
    <t>대회의실천장</t>
    <phoneticPr fontId="1" type="noConversion"/>
  </si>
  <si>
    <t>대표실천장</t>
    <phoneticPr fontId="1" type="noConversion"/>
  </si>
  <si>
    <t>길이(m)</t>
    <phoneticPr fontId="1" type="noConversion"/>
  </si>
  <si>
    <t>면적(㎡)</t>
    <phoneticPr fontId="1" type="noConversion"/>
  </si>
  <si>
    <t>a(세로)</t>
    <phoneticPr fontId="1" type="noConversion"/>
  </si>
  <si>
    <t>a(가로)</t>
    <phoneticPr fontId="1" type="noConversion"/>
  </si>
  <si>
    <t>b(세로)</t>
    <phoneticPr fontId="1" type="noConversion"/>
  </si>
  <si>
    <t>b(가로)</t>
    <phoneticPr fontId="1" type="noConversion"/>
  </si>
  <si>
    <t>c(세로)</t>
    <phoneticPr fontId="1" type="noConversion"/>
  </si>
  <si>
    <t>c(가로)</t>
    <phoneticPr fontId="1" type="noConversion"/>
  </si>
  <si>
    <t>d(세로)</t>
    <phoneticPr fontId="1" type="noConversion"/>
  </si>
  <si>
    <t>입구상부</t>
    <phoneticPr fontId="1" type="noConversion"/>
  </si>
  <si>
    <t>N</t>
  </si>
  <si>
    <t>O</t>
  </si>
  <si>
    <t>P</t>
  </si>
  <si>
    <t>Q</t>
  </si>
  <si>
    <t>R</t>
  </si>
  <si>
    <t>S</t>
  </si>
  <si>
    <t>T</t>
  </si>
  <si>
    <t>U</t>
  </si>
  <si>
    <t>V</t>
  </si>
  <si>
    <t>연구개발</t>
    <phoneticPr fontId="1" type="noConversion"/>
  </si>
  <si>
    <t>대표이사실</t>
    <phoneticPr fontId="1" type="noConversion"/>
  </si>
  <si>
    <t>천장</t>
    <phoneticPr fontId="1" type="noConversion"/>
  </si>
  <si>
    <t>W</t>
  </si>
  <si>
    <t>X</t>
  </si>
  <si>
    <t>Y</t>
  </si>
  <si>
    <t>Z</t>
  </si>
  <si>
    <t>A</t>
  </si>
  <si>
    <t>B</t>
  </si>
  <si>
    <t>C</t>
  </si>
  <si>
    <t>D</t>
  </si>
  <si>
    <t>로비</t>
    <phoneticPr fontId="1" type="noConversion"/>
  </si>
  <si>
    <t>복도</t>
    <phoneticPr fontId="1" type="noConversion"/>
  </si>
  <si>
    <t>대표실</t>
    <phoneticPr fontId="1" type="noConversion"/>
  </si>
  <si>
    <t>기둥</t>
    <phoneticPr fontId="1" type="noConversion"/>
  </si>
  <si>
    <t>천장몰딩</t>
    <phoneticPr fontId="1" type="noConversion"/>
  </si>
  <si>
    <t>걸레받이</t>
    <phoneticPr fontId="1" type="noConversion"/>
  </si>
  <si>
    <t>T7</t>
    <phoneticPr fontId="1" type="noConversion"/>
  </si>
  <si>
    <t>97500mm</t>
    <phoneticPr fontId="1" type="noConversion"/>
  </si>
  <si>
    <t>3인치</t>
    <phoneticPr fontId="1" type="noConversion"/>
  </si>
  <si>
    <t>T5</t>
    <phoneticPr fontId="1" type="noConversion"/>
  </si>
  <si>
    <t>높이</t>
    <phoneticPr fontId="1" type="noConversion"/>
  </si>
  <si>
    <t>로비106</t>
    <phoneticPr fontId="1" type="noConversion"/>
  </si>
  <si>
    <t>탈의실</t>
    <phoneticPr fontId="1" type="noConversion"/>
  </si>
  <si>
    <t>도장</t>
    <phoneticPr fontId="1" type="noConversion"/>
  </si>
  <si>
    <t xml:space="preserve">기둥 </t>
    <phoneticPr fontId="1" type="noConversion"/>
  </si>
  <si>
    <r>
      <t>8.2</t>
    </r>
    <r>
      <rPr>
        <sz val="11"/>
        <color theme="1"/>
        <rFont val="맑은 고딕"/>
        <family val="3"/>
        <charset val="129"/>
      </rPr>
      <t>㎡</t>
    </r>
    <phoneticPr fontId="1" type="noConversion"/>
  </si>
  <si>
    <t>입구 파티션</t>
    <phoneticPr fontId="1" type="noConversion"/>
  </si>
  <si>
    <t>탕비실</t>
    <phoneticPr fontId="1" type="noConversion"/>
  </si>
  <si>
    <t>내외자벽</t>
    <phoneticPr fontId="1" type="noConversion"/>
  </si>
  <si>
    <t>전체</t>
    <phoneticPr fontId="1" type="noConversion"/>
  </si>
  <si>
    <t>내외자</t>
    <phoneticPr fontId="1" type="noConversion"/>
  </si>
  <si>
    <t>회의실</t>
    <phoneticPr fontId="1" type="noConversion"/>
  </si>
  <si>
    <t>라운드면</t>
    <phoneticPr fontId="1" type="noConversion"/>
  </si>
  <si>
    <t>흡음재</t>
    <phoneticPr fontId="1" type="noConversion"/>
  </si>
  <si>
    <t>면적</t>
    <phoneticPr fontId="1" type="noConversion"/>
  </si>
  <si>
    <t>가로</t>
    <phoneticPr fontId="1" type="noConversion"/>
  </si>
  <si>
    <t>회의실1</t>
    <phoneticPr fontId="1" type="noConversion"/>
  </si>
  <si>
    <t>회의실2</t>
    <phoneticPr fontId="1" type="noConversion"/>
  </si>
  <si>
    <t>관리부</t>
    <phoneticPr fontId="1" type="noConversion"/>
  </si>
  <si>
    <t>입구</t>
    <phoneticPr fontId="1" type="noConversion"/>
  </si>
  <si>
    <t>미팅룸102</t>
    <phoneticPr fontId="1" type="noConversion"/>
  </si>
  <si>
    <t>미팅룸103</t>
    <phoneticPr fontId="1" type="noConversion"/>
  </si>
  <si>
    <t>검사104</t>
    <phoneticPr fontId="1" type="noConversion"/>
  </si>
  <si>
    <t>창고106</t>
    <phoneticPr fontId="1" type="noConversion"/>
  </si>
  <si>
    <t>방107</t>
    <phoneticPr fontId="1" type="noConversion"/>
  </si>
  <si>
    <t>품질부108</t>
    <phoneticPr fontId="1" type="noConversion"/>
  </si>
  <si>
    <t>탕비실109</t>
    <phoneticPr fontId="1" type="noConversion"/>
  </si>
  <si>
    <t>관리부111</t>
    <phoneticPr fontId="1" type="noConversion"/>
  </si>
  <si>
    <t>탈의실112</t>
    <phoneticPr fontId="1" type="noConversion"/>
  </si>
  <si>
    <t>부식창고106</t>
    <phoneticPr fontId="1" type="noConversion"/>
  </si>
  <si>
    <t>화장실복도</t>
    <phoneticPr fontId="1" type="noConversion"/>
  </si>
  <si>
    <t xml:space="preserve"> t7</t>
    <phoneticPr fontId="1" type="noConversion"/>
  </si>
  <si>
    <t>t5</t>
    <phoneticPr fontId="1" type="noConversion"/>
  </si>
  <si>
    <t>부식창고105</t>
    <phoneticPr fontId="1" type="noConversion"/>
  </si>
  <si>
    <t>미팅룸101</t>
    <phoneticPr fontId="1" type="noConversion"/>
  </si>
  <si>
    <t>화단</t>
    <phoneticPr fontId="1" type="noConversion"/>
  </si>
  <si>
    <t>의자</t>
    <phoneticPr fontId="1" type="noConversion"/>
  </si>
  <si>
    <t>서랍추가</t>
    <phoneticPr fontId="1" type="noConversion"/>
  </si>
  <si>
    <t>창틀</t>
    <phoneticPr fontId="1" type="noConversion"/>
  </si>
  <si>
    <t>우드</t>
    <phoneticPr fontId="1" type="noConversion"/>
  </si>
  <si>
    <t>블랑시리즈1</t>
    <phoneticPr fontId="1" type="noConversion"/>
  </si>
  <si>
    <t>블랑시리즈2</t>
    <phoneticPr fontId="1" type="noConversion"/>
  </si>
  <si>
    <t>미정</t>
    <phoneticPr fontId="1" type="noConversion"/>
  </si>
  <si>
    <t>석고보드</t>
    <phoneticPr fontId="1" type="noConversion"/>
  </si>
  <si>
    <t>900*1800*9T</t>
    <phoneticPr fontId="1" type="noConversion"/>
  </si>
  <si>
    <t>방화석고보드</t>
    <phoneticPr fontId="1" type="noConversion"/>
  </si>
  <si>
    <t>900*1800*12.5T</t>
    <phoneticPr fontId="1" type="noConversion"/>
  </si>
  <si>
    <t>각재</t>
    <phoneticPr fontId="1" type="noConversion"/>
  </si>
  <si>
    <t>1220*2440*6T</t>
    <phoneticPr fontId="1" type="noConversion"/>
  </si>
  <si>
    <t>1220*2440*4.6T</t>
    <phoneticPr fontId="1" type="noConversion"/>
  </si>
  <si>
    <t>1220*2440*14.5T</t>
    <phoneticPr fontId="1" type="noConversion"/>
  </si>
  <si>
    <t>M.D.F</t>
    <phoneticPr fontId="1" type="noConversion"/>
  </si>
  <si>
    <t>1220*2440*9T</t>
    <phoneticPr fontId="1" type="noConversion"/>
  </si>
  <si>
    <t>랩핑평판</t>
    <phoneticPr fontId="1" type="noConversion"/>
  </si>
  <si>
    <t>30*2440*9T</t>
    <phoneticPr fontId="1" type="noConversion"/>
  </si>
  <si>
    <t>60*2440*9T</t>
    <phoneticPr fontId="1" type="noConversion"/>
  </si>
  <si>
    <t>ABS도어</t>
    <phoneticPr fontId="1" type="noConversion"/>
  </si>
  <si>
    <t>900*2100*110바 / 기본형</t>
    <phoneticPr fontId="1" type="noConversion"/>
  </si>
  <si>
    <t>ABS타공도어</t>
    <phoneticPr fontId="1" type="noConversion"/>
  </si>
  <si>
    <t>900*2100*110바 / 대성269 쿨 그레이, 사틴투명</t>
    <phoneticPr fontId="1" type="noConversion"/>
  </si>
  <si>
    <t>라인타공판</t>
    <phoneticPr fontId="1" type="noConversion"/>
  </si>
  <si>
    <t>1184*2400*9T</t>
    <phoneticPr fontId="1" type="noConversion"/>
  </si>
  <si>
    <t>원형타공판</t>
    <phoneticPr fontId="1" type="noConversion"/>
  </si>
  <si>
    <t>1200*2400*9T</t>
    <phoneticPr fontId="1" type="noConversion"/>
  </si>
  <si>
    <t>2700-44500</t>
    <phoneticPr fontId="1" type="noConversion"/>
  </si>
  <si>
    <t>기본 290000</t>
    <phoneticPr fontId="1" type="noConversion"/>
  </si>
  <si>
    <t xml:space="preserve">워시베이지., 순백색, 화이트. 펄백, MQ809.MQ808.먹회색 쿨그레이, 검정 월넛 스무스 오크 , 아카시아 크림티크 </t>
    <phoneticPr fontId="1" type="noConversion"/>
  </si>
  <si>
    <t>바닥</t>
    <phoneticPr fontId="1" type="noConversion"/>
  </si>
  <si>
    <t>벽</t>
    <phoneticPr fontId="1" type="noConversion"/>
  </si>
  <si>
    <t>여화장실 (장)</t>
    <phoneticPr fontId="1" type="noConversion"/>
  </si>
  <si>
    <t>남화장실(장)</t>
    <phoneticPr fontId="1" type="noConversion"/>
  </si>
  <si>
    <t>(장)</t>
    <phoneticPr fontId="1" type="noConversion"/>
  </si>
  <si>
    <t>합판(벽)</t>
    <phoneticPr fontId="1" type="noConversion"/>
  </si>
  <si>
    <t>면적/2.8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</si>
</sst>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);\(0.0\)"/>
    <numFmt numFmtId="177" formatCode="0_);\(0\)"/>
    <numFmt numFmtId="178" formatCode="#,###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Noto Sans KR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3" fillId="0" borderId="0" xfId="0" applyNumberFormat="1" applyFont="1">
      <alignment vertical="center"/>
    </xf>
    <xf numFmtId="177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77" fontId="0" fillId="2" borderId="1" xfId="0" applyNumberFormat="1" applyFill="1" applyBorder="1" applyAlignment="1">
      <alignment horizontal="center" vertical="center"/>
    </xf>
    <xf numFmtId="176" fontId="8" fillId="0" borderId="0" xfId="0" applyNumberFormat="1" applyFont="1">
      <alignment vertical="center"/>
    </xf>
    <xf numFmtId="177" fontId="8" fillId="0" borderId="0" xfId="0" applyNumberFormat="1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10" fillId="0" borderId="0" xfId="0" applyNumberFormat="1" applyFont="1">
      <alignment vertical="center"/>
    </xf>
    <xf numFmtId="176" fontId="0" fillId="3" borderId="0" xfId="0" applyNumberFormat="1" applyFill="1">
      <alignment vertical="center"/>
    </xf>
    <xf numFmtId="176" fontId="0" fillId="0" borderId="4" xfId="0" applyNumberFormat="1" applyBorder="1" applyAlignment="1">
      <alignment horizontal="center" vertical="center"/>
    </xf>
    <xf numFmtId="178" fontId="13" fillId="0" borderId="7" xfId="1" applyNumberFormat="1" applyFont="1" applyFill="1" applyBorder="1">
      <alignment vertical="center"/>
    </xf>
    <xf numFmtId="178" fontId="13" fillId="0" borderId="7" xfId="1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1FA4-515B-46BF-9128-5142A371D333}">
  <dimension ref="A2:O335"/>
  <sheetViews>
    <sheetView topLeftCell="A74" workbookViewId="0">
      <selection activeCell="K84" sqref="K84"/>
    </sheetView>
  </sheetViews>
  <sheetFormatPr defaultRowHeight="16.5" x14ac:dyDescent="0.3"/>
  <cols>
    <col min="1" max="2" width="9" style="1"/>
    <col min="3" max="3" width="14.5" style="1" customWidth="1"/>
    <col min="4" max="4" width="13.5" style="1" customWidth="1"/>
    <col min="5" max="5" width="11.25" style="8" customWidth="1"/>
    <col min="6" max="6" width="10.125" style="11" customWidth="1"/>
    <col min="7" max="7" width="11.625" style="1" customWidth="1"/>
    <col min="8" max="9" width="9" style="1"/>
    <col min="10" max="10" width="9.5" style="1" bestFit="1" customWidth="1"/>
    <col min="11" max="11" width="13.75" style="1" customWidth="1"/>
    <col min="12" max="12" width="14.25" style="1" customWidth="1"/>
    <col min="13" max="16384" width="9" style="1"/>
  </cols>
  <sheetData>
    <row r="2" spans="1:13" ht="20.25" x14ac:dyDescent="0.3">
      <c r="A2" s="41" t="s">
        <v>0</v>
      </c>
      <c r="B2" s="41"/>
      <c r="C2" s="41"/>
      <c r="D2" s="41"/>
      <c r="E2" s="41"/>
      <c r="F2" s="41"/>
      <c r="G2" s="41"/>
    </row>
    <row r="6" spans="1:13" ht="20.25" x14ac:dyDescent="0.3">
      <c r="A6" s="41" t="s">
        <v>1</v>
      </c>
      <c r="B6" s="41"/>
      <c r="C6" s="41"/>
      <c r="D6" s="41"/>
      <c r="E6" s="41"/>
      <c r="F6" s="41"/>
      <c r="I6" s="1" t="s">
        <v>51</v>
      </c>
    </row>
    <row r="7" spans="1:13" x14ac:dyDescent="0.3">
      <c r="A7" s="2" t="s">
        <v>2</v>
      </c>
      <c r="B7" s="2" t="s">
        <v>3</v>
      </c>
      <c r="C7" s="2" t="s">
        <v>10</v>
      </c>
      <c r="D7" s="2" t="s">
        <v>47</v>
      </c>
      <c r="E7" s="6" t="s">
        <v>48</v>
      </c>
      <c r="F7" s="6" t="s">
        <v>13</v>
      </c>
      <c r="G7" s="2" t="s">
        <v>43</v>
      </c>
      <c r="H7"/>
      <c r="I7" s="16" t="s">
        <v>72</v>
      </c>
      <c r="J7" s="17"/>
      <c r="K7" s="17"/>
      <c r="L7"/>
    </row>
    <row r="8" spans="1:13" x14ac:dyDescent="0.3">
      <c r="A8" s="43" t="s">
        <v>95</v>
      </c>
      <c r="B8" s="2" t="s">
        <v>4</v>
      </c>
      <c r="C8" s="2">
        <v>3700</v>
      </c>
      <c r="D8" s="2"/>
      <c r="E8" s="6">
        <f>(C8/450)+1</f>
        <v>9.2222222222222214</v>
      </c>
      <c r="F8" s="40">
        <f>E8+E9</f>
        <v>11.277777777777777</v>
      </c>
      <c r="G8" s="2"/>
      <c r="H8"/>
      <c r="I8"/>
      <c r="J8"/>
      <c r="K8"/>
      <c r="L8" s="4" t="s">
        <v>49</v>
      </c>
      <c r="M8" s="14" t="s">
        <v>63</v>
      </c>
    </row>
    <row r="9" spans="1:13" x14ac:dyDescent="0.3">
      <c r="A9" s="43"/>
      <c r="B9" s="2" t="s">
        <v>5</v>
      </c>
      <c r="C9" s="2">
        <v>3700</v>
      </c>
      <c r="D9" s="2">
        <v>3600</v>
      </c>
      <c r="E9" s="6">
        <f>(C9/D9)*2</f>
        <v>2.0555555555555554</v>
      </c>
      <c r="F9" s="40"/>
      <c r="G9" s="2"/>
      <c r="H9"/>
      <c r="I9"/>
      <c r="J9"/>
      <c r="K9" t="s">
        <v>82</v>
      </c>
      <c r="L9" s="4">
        <v>2400</v>
      </c>
      <c r="M9" s="14">
        <v>20</v>
      </c>
    </row>
    <row r="10" spans="1:13" x14ac:dyDescent="0.3">
      <c r="A10" s="43"/>
      <c r="B10" s="2" t="s">
        <v>6</v>
      </c>
      <c r="C10" s="2">
        <v>8400</v>
      </c>
      <c r="D10" s="2"/>
      <c r="E10" s="6">
        <f t="shared" ref="E10" si="0">(C10/450)+1</f>
        <v>19.666666666666668</v>
      </c>
      <c r="F10" s="40">
        <f t="shared" ref="F10" si="1">E10+E11</f>
        <v>24.333333333333336</v>
      </c>
      <c r="G10" s="2"/>
      <c r="H10"/>
      <c r="I10"/>
      <c r="J10"/>
      <c r="K10" t="s">
        <v>83</v>
      </c>
      <c r="L10" s="4">
        <v>2700</v>
      </c>
      <c r="M10" s="14">
        <v>20</v>
      </c>
    </row>
    <row r="11" spans="1:13" x14ac:dyDescent="0.3">
      <c r="A11" s="43"/>
      <c r="B11" s="2" t="s">
        <v>7</v>
      </c>
      <c r="C11" s="2">
        <v>8400</v>
      </c>
      <c r="D11" s="2">
        <v>3600</v>
      </c>
      <c r="E11" s="6">
        <f t="shared" ref="E11" si="2">(C11/D11)*2</f>
        <v>4.666666666666667</v>
      </c>
      <c r="F11" s="40"/>
      <c r="G11" s="2"/>
      <c r="H11"/>
      <c r="I11"/>
      <c r="J11"/>
      <c r="K11" t="s">
        <v>84</v>
      </c>
      <c r="L11" s="4">
        <v>3000</v>
      </c>
      <c r="M11" s="14">
        <v>20</v>
      </c>
    </row>
    <row r="12" spans="1:13" x14ac:dyDescent="0.3">
      <c r="A12" s="37" t="s">
        <v>168</v>
      </c>
      <c r="B12" s="2" t="s">
        <v>8</v>
      </c>
      <c r="C12" s="2">
        <v>3700</v>
      </c>
      <c r="D12" s="2"/>
      <c r="E12" s="6">
        <f t="shared" ref="E12" si="3">(C12/450)+1</f>
        <v>9.2222222222222214</v>
      </c>
      <c r="F12" s="40">
        <f t="shared" ref="F12" si="4">E12+E13</f>
        <v>11.277777777777777</v>
      </c>
      <c r="G12" s="2"/>
      <c r="H12"/>
      <c r="I12"/>
      <c r="J12"/>
      <c r="K12" t="s">
        <v>85</v>
      </c>
      <c r="L12" s="12">
        <v>3600</v>
      </c>
      <c r="M12" s="15">
        <v>12</v>
      </c>
    </row>
    <row r="13" spans="1:13" x14ac:dyDescent="0.3">
      <c r="A13" s="38"/>
      <c r="B13" s="2" t="s">
        <v>9</v>
      </c>
      <c r="C13" s="2">
        <v>3700</v>
      </c>
      <c r="D13" s="2">
        <v>3600</v>
      </c>
      <c r="E13" s="6">
        <f t="shared" ref="E13" si="5">(C13/D13)*2</f>
        <v>2.0555555555555554</v>
      </c>
      <c r="F13" s="40"/>
      <c r="G13" s="2"/>
      <c r="H13"/>
      <c r="I13"/>
      <c r="J13"/>
      <c r="K13"/>
      <c r="L13"/>
    </row>
    <row r="14" spans="1:13" x14ac:dyDescent="0.3">
      <c r="A14" s="38"/>
      <c r="B14" s="2" t="s">
        <v>12</v>
      </c>
      <c r="C14" s="2">
        <v>4000</v>
      </c>
      <c r="D14" s="2"/>
      <c r="E14" s="6">
        <f t="shared" ref="E14" si="6">(C14/450)+1</f>
        <v>9.8888888888888893</v>
      </c>
      <c r="F14" s="40">
        <f t="shared" ref="F14" si="7">E14+E15</f>
        <v>12.111111111111111</v>
      </c>
      <c r="G14" s="2"/>
      <c r="H14"/>
      <c r="I14"/>
      <c r="J14"/>
      <c r="K14"/>
      <c r="L14"/>
    </row>
    <row r="15" spans="1:13" x14ac:dyDescent="0.3">
      <c r="A15" s="38"/>
      <c r="B15" s="2" t="s">
        <v>11</v>
      </c>
      <c r="C15" s="2">
        <v>4000</v>
      </c>
      <c r="D15" s="2">
        <v>3600</v>
      </c>
      <c r="E15" s="6">
        <f t="shared" ref="E15" si="8">(C15/D15)*2</f>
        <v>2.2222222222222223</v>
      </c>
      <c r="F15" s="40"/>
      <c r="G15" s="2"/>
      <c r="H15"/>
      <c r="I15"/>
      <c r="J15"/>
      <c r="K15"/>
      <c r="L15"/>
    </row>
    <row r="16" spans="1:13" x14ac:dyDescent="0.3">
      <c r="A16" s="38"/>
      <c r="B16" s="2" t="s">
        <v>12</v>
      </c>
      <c r="C16" s="2">
        <v>3700</v>
      </c>
      <c r="D16" s="2"/>
      <c r="E16" s="6">
        <f t="shared" ref="E16" si="9">(C16/450)+1</f>
        <v>9.2222222222222214</v>
      </c>
      <c r="F16" s="40">
        <f t="shared" ref="F16" si="10">E16+E17</f>
        <v>11.277777777777777</v>
      </c>
      <c r="G16" s="2"/>
      <c r="H16"/>
      <c r="I16"/>
      <c r="J16"/>
      <c r="K16"/>
      <c r="L16"/>
    </row>
    <row r="17" spans="1:12" x14ac:dyDescent="0.3">
      <c r="A17" s="39"/>
      <c r="B17" s="2" t="s">
        <v>11</v>
      </c>
      <c r="C17" s="2">
        <v>3700</v>
      </c>
      <c r="D17" s="2">
        <v>3600</v>
      </c>
      <c r="E17" s="6">
        <f t="shared" ref="E17" si="11">(C17/D17)*2</f>
        <v>2.0555555555555554</v>
      </c>
      <c r="F17" s="40"/>
      <c r="G17" s="2"/>
      <c r="H17"/>
      <c r="I17"/>
      <c r="J17"/>
      <c r="K17"/>
      <c r="L17"/>
    </row>
    <row r="18" spans="1:12" x14ac:dyDescent="0.3">
      <c r="A18" s="37" t="s">
        <v>169</v>
      </c>
      <c r="B18" s="2" t="s">
        <v>12</v>
      </c>
      <c r="C18" s="2">
        <v>3700</v>
      </c>
      <c r="D18" s="2"/>
      <c r="E18" s="6">
        <f t="shared" ref="E18" si="12">(C18/450)+1</f>
        <v>9.2222222222222214</v>
      </c>
      <c r="F18" s="40">
        <f t="shared" ref="F18" si="13">E18+E19</f>
        <v>11.277777777777777</v>
      </c>
      <c r="G18" s="2"/>
      <c r="H18"/>
      <c r="I18"/>
      <c r="J18"/>
      <c r="K18"/>
      <c r="L18"/>
    </row>
    <row r="19" spans="1:12" x14ac:dyDescent="0.3">
      <c r="A19" s="38"/>
      <c r="B19" s="2" t="s">
        <v>11</v>
      </c>
      <c r="C19" s="2">
        <v>3700</v>
      </c>
      <c r="D19" s="2">
        <v>3600</v>
      </c>
      <c r="E19" s="6">
        <f t="shared" ref="E19" si="14">(C19/D19)*2</f>
        <v>2.0555555555555554</v>
      </c>
      <c r="F19" s="40"/>
      <c r="G19" s="2"/>
      <c r="H19"/>
      <c r="I19"/>
      <c r="J19"/>
      <c r="K19"/>
      <c r="L19"/>
    </row>
    <row r="20" spans="1:12" x14ac:dyDescent="0.3">
      <c r="A20" s="38"/>
      <c r="B20" s="2" t="s">
        <v>12</v>
      </c>
      <c r="C20" s="2">
        <v>4000</v>
      </c>
      <c r="D20" s="2"/>
      <c r="E20" s="6">
        <f t="shared" ref="E20" si="15">(C20/450)+1</f>
        <v>9.8888888888888893</v>
      </c>
      <c r="F20" s="40">
        <f t="shared" ref="F20" si="16">E20+E21</f>
        <v>12.111111111111111</v>
      </c>
      <c r="G20" s="2"/>
      <c r="H20"/>
      <c r="I20"/>
      <c r="J20"/>
      <c r="K20"/>
      <c r="L20"/>
    </row>
    <row r="21" spans="1:12" x14ac:dyDescent="0.3">
      <c r="A21" s="39"/>
      <c r="B21" s="2" t="s">
        <v>11</v>
      </c>
      <c r="C21" s="2">
        <v>4000</v>
      </c>
      <c r="D21" s="2">
        <v>3600</v>
      </c>
      <c r="E21" s="6">
        <f t="shared" ref="E21" si="17">(C21/D21)*2</f>
        <v>2.2222222222222223</v>
      </c>
      <c r="F21" s="40"/>
      <c r="G21" s="2"/>
      <c r="H21"/>
      <c r="I21"/>
      <c r="J21"/>
      <c r="K21"/>
      <c r="L21"/>
    </row>
    <row r="22" spans="1:12" x14ac:dyDescent="0.3">
      <c r="A22" s="37" t="s">
        <v>170</v>
      </c>
      <c r="B22" s="2" t="s">
        <v>12</v>
      </c>
      <c r="C22" s="2">
        <v>800</v>
      </c>
      <c r="D22" s="2"/>
      <c r="E22" s="6">
        <f t="shared" ref="E22" si="18">(C22/450)+1</f>
        <v>2.7777777777777777</v>
      </c>
      <c r="F22" s="40">
        <f t="shared" ref="F22" si="19">E22+E23</f>
        <v>3.2222222222222223</v>
      </c>
      <c r="G22" s="2"/>
      <c r="H22"/>
      <c r="I22"/>
      <c r="J22"/>
      <c r="K22"/>
      <c r="L22"/>
    </row>
    <row r="23" spans="1:12" x14ac:dyDescent="0.3">
      <c r="A23" s="38"/>
      <c r="B23" s="2" t="s">
        <v>11</v>
      </c>
      <c r="C23" s="2">
        <v>800</v>
      </c>
      <c r="D23" s="2">
        <v>3600</v>
      </c>
      <c r="E23" s="6">
        <f t="shared" ref="E23" si="20">(C23/D23)*2</f>
        <v>0.44444444444444442</v>
      </c>
      <c r="F23" s="40"/>
      <c r="G23" s="2"/>
      <c r="H23"/>
      <c r="I23"/>
      <c r="J23"/>
      <c r="K23"/>
      <c r="L23"/>
    </row>
    <row r="24" spans="1:12" x14ac:dyDescent="0.3">
      <c r="A24" s="38"/>
      <c r="B24" s="2" t="s">
        <v>12</v>
      </c>
      <c r="C24" s="2">
        <v>5600</v>
      </c>
      <c r="D24" s="2"/>
      <c r="E24" s="6">
        <f t="shared" ref="E24" si="21">(C24/450)+1</f>
        <v>13.444444444444445</v>
      </c>
      <c r="F24" s="40">
        <f t="shared" ref="F24" si="22">E24+E25</f>
        <v>16.555555555555557</v>
      </c>
      <c r="G24" s="2"/>
      <c r="H24"/>
      <c r="I24"/>
      <c r="J24"/>
      <c r="K24"/>
      <c r="L24"/>
    </row>
    <row r="25" spans="1:12" x14ac:dyDescent="0.3">
      <c r="A25" s="38"/>
      <c r="B25" s="2" t="s">
        <v>11</v>
      </c>
      <c r="C25" s="2">
        <v>5600</v>
      </c>
      <c r="D25" s="2">
        <v>3600</v>
      </c>
      <c r="E25" s="6">
        <f t="shared" ref="E25" si="23">(C25/D25)*2</f>
        <v>3.1111111111111112</v>
      </c>
      <c r="F25" s="40"/>
      <c r="G25" s="2"/>
      <c r="H25"/>
      <c r="I25"/>
      <c r="J25"/>
      <c r="K25"/>
      <c r="L25"/>
    </row>
    <row r="26" spans="1:12" x14ac:dyDescent="0.3">
      <c r="A26" s="38"/>
      <c r="B26" s="2" t="s">
        <v>12</v>
      </c>
      <c r="C26" s="2">
        <v>800</v>
      </c>
      <c r="D26" s="2"/>
      <c r="E26" s="6">
        <f t="shared" ref="E26" si="24">(C26/450)+1</f>
        <v>2.7777777777777777</v>
      </c>
      <c r="F26" s="40">
        <f t="shared" ref="F26" si="25">E26+E27</f>
        <v>3.2222222222222223</v>
      </c>
      <c r="G26" s="2"/>
      <c r="H26"/>
      <c r="I26"/>
      <c r="J26"/>
      <c r="K26"/>
      <c r="L26"/>
    </row>
    <row r="27" spans="1:12" x14ac:dyDescent="0.3">
      <c r="A27" s="38"/>
      <c r="B27" s="2" t="s">
        <v>11</v>
      </c>
      <c r="C27" s="2">
        <v>800</v>
      </c>
      <c r="D27" s="2">
        <v>3600</v>
      </c>
      <c r="E27" s="6">
        <f t="shared" ref="E27" si="26">(C27/D27)*2</f>
        <v>0.44444444444444442</v>
      </c>
      <c r="F27" s="40"/>
      <c r="G27" s="2"/>
      <c r="H27"/>
      <c r="I27"/>
      <c r="J27"/>
      <c r="K27"/>
      <c r="L27"/>
    </row>
    <row r="28" spans="1:12" x14ac:dyDescent="0.3">
      <c r="A28" s="38"/>
      <c r="B28" s="2" t="s">
        <v>12</v>
      </c>
      <c r="C28" s="2">
        <v>5600</v>
      </c>
      <c r="D28" s="2"/>
      <c r="E28" s="6">
        <f t="shared" ref="E28" si="27">(C28/450)+1</f>
        <v>13.444444444444445</v>
      </c>
      <c r="F28" s="40">
        <f t="shared" ref="F28" si="28">E28+E29</f>
        <v>16.555555555555557</v>
      </c>
      <c r="G28" s="2"/>
      <c r="H28"/>
      <c r="I28"/>
      <c r="J28"/>
      <c r="K28"/>
      <c r="L28"/>
    </row>
    <row r="29" spans="1:12" x14ac:dyDescent="0.3">
      <c r="A29" s="39"/>
      <c r="B29" s="2" t="s">
        <v>11</v>
      </c>
      <c r="C29" s="2">
        <v>5600</v>
      </c>
      <c r="D29" s="2">
        <v>3600</v>
      </c>
      <c r="E29" s="6">
        <f t="shared" ref="E29" si="29">(C29/D29)*2</f>
        <v>3.1111111111111112</v>
      </c>
      <c r="F29" s="40"/>
      <c r="G29" s="2"/>
      <c r="H29"/>
      <c r="I29"/>
      <c r="J29"/>
      <c r="K29"/>
      <c r="L29"/>
    </row>
    <row r="30" spans="1:12" x14ac:dyDescent="0.3">
      <c r="A30" s="37" t="s">
        <v>171</v>
      </c>
      <c r="B30" s="2" t="s">
        <v>12</v>
      </c>
      <c r="C30" s="2">
        <v>1150</v>
      </c>
      <c r="D30" s="2"/>
      <c r="E30" s="6">
        <f t="shared" ref="E30" si="30">(C30/450)+1</f>
        <v>3.5555555555555554</v>
      </c>
      <c r="F30" s="40">
        <v>12</v>
      </c>
      <c r="G30" s="2"/>
      <c r="H30"/>
      <c r="I30"/>
      <c r="J30"/>
      <c r="K30"/>
      <c r="L30"/>
    </row>
    <row r="31" spans="1:12" x14ac:dyDescent="0.3">
      <c r="A31" s="38"/>
      <c r="B31" s="2" t="s">
        <v>11</v>
      </c>
      <c r="C31" s="2">
        <v>1150</v>
      </c>
      <c r="D31" s="2">
        <v>3600</v>
      </c>
      <c r="E31" s="6">
        <f t="shared" ref="E31" si="31">(C31/D31)*2</f>
        <v>0.63888888888888884</v>
      </c>
      <c r="F31" s="40"/>
      <c r="G31" s="2"/>
      <c r="H31"/>
      <c r="I31"/>
      <c r="J31"/>
      <c r="K31"/>
      <c r="L31"/>
    </row>
    <row r="32" spans="1:12" x14ac:dyDescent="0.3">
      <c r="A32" s="38"/>
      <c r="B32" s="2" t="s">
        <v>12</v>
      </c>
      <c r="C32" s="2">
        <v>860</v>
      </c>
      <c r="D32" s="2"/>
      <c r="E32" s="6">
        <f t="shared" ref="E32" si="32">(C32/450)+1</f>
        <v>2.9111111111111114</v>
      </c>
      <c r="F32" s="40">
        <v>9</v>
      </c>
      <c r="G32" s="2"/>
      <c r="H32"/>
      <c r="I32"/>
      <c r="J32"/>
      <c r="K32"/>
      <c r="L32"/>
    </row>
    <row r="33" spans="1:12" x14ac:dyDescent="0.3">
      <c r="A33" s="38"/>
      <c r="B33" s="2" t="s">
        <v>11</v>
      </c>
      <c r="C33" s="2">
        <v>860</v>
      </c>
      <c r="D33" s="2">
        <v>3600</v>
      </c>
      <c r="E33" s="6">
        <f t="shared" ref="E33" si="33">(C33/D33)*2</f>
        <v>0.4777777777777778</v>
      </c>
      <c r="F33" s="40"/>
      <c r="G33" s="2"/>
      <c r="H33"/>
      <c r="I33"/>
      <c r="J33"/>
      <c r="K33"/>
      <c r="L33"/>
    </row>
    <row r="34" spans="1:12" x14ac:dyDescent="0.3">
      <c r="A34" s="38"/>
      <c r="B34" s="2" t="s">
        <v>12</v>
      </c>
      <c r="C34" s="2">
        <v>3300</v>
      </c>
      <c r="D34" s="2"/>
      <c r="E34" s="6">
        <f t="shared" ref="E34" si="34">(C34/450)+1</f>
        <v>8.3333333333333321</v>
      </c>
      <c r="F34" s="40">
        <f t="shared" ref="F34" si="35">E34+E35</f>
        <v>10.166666666666666</v>
      </c>
      <c r="G34" s="2"/>
      <c r="H34"/>
      <c r="I34"/>
      <c r="J34"/>
      <c r="K34"/>
      <c r="L34"/>
    </row>
    <row r="35" spans="1:12" x14ac:dyDescent="0.3">
      <c r="A35" s="38"/>
      <c r="B35" s="2" t="s">
        <v>11</v>
      </c>
      <c r="C35" s="2">
        <v>3300</v>
      </c>
      <c r="D35" s="2">
        <v>3600</v>
      </c>
      <c r="E35" s="6">
        <f t="shared" ref="E35" si="36">(C35/D35)*2</f>
        <v>1.8333333333333333</v>
      </c>
      <c r="F35" s="40"/>
      <c r="G35" s="2"/>
      <c r="H35"/>
      <c r="I35"/>
      <c r="J35"/>
      <c r="K35"/>
      <c r="L35"/>
    </row>
    <row r="36" spans="1:12" x14ac:dyDescent="0.3">
      <c r="A36" s="38"/>
      <c r="B36" s="2" t="s">
        <v>12</v>
      </c>
      <c r="C36" s="2">
        <v>3300</v>
      </c>
      <c r="D36" s="2"/>
      <c r="E36" s="6">
        <f t="shared" ref="E36" si="37">(C36/450)+1</f>
        <v>8.3333333333333321</v>
      </c>
      <c r="F36" s="40">
        <f t="shared" ref="F36" si="38">E36+E37</f>
        <v>10.166666666666666</v>
      </c>
      <c r="G36" s="2"/>
      <c r="H36"/>
      <c r="I36"/>
      <c r="J36"/>
      <c r="K36"/>
      <c r="L36"/>
    </row>
    <row r="37" spans="1:12" x14ac:dyDescent="0.3">
      <c r="A37" s="39"/>
      <c r="B37" s="2" t="s">
        <v>11</v>
      </c>
      <c r="C37" s="2">
        <v>3300</v>
      </c>
      <c r="D37" s="2">
        <v>3600</v>
      </c>
      <c r="E37" s="6">
        <f t="shared" ref="E37" si="39">(C37/D37)*2</f>
        <v>1.8333333333333333</v>
      </c>
      <c r="F37" s="40"/>
      <c r="G37" s="2"/>
      <c r="H37"/>
      <c r="I37"/>
      <c r="J37"/>
      <c r="K37"/>
      <c r="L37"/>
    </row>
    <row r="38" spans="1:12" x14ac:dyDescent="0.3">
      <c r="A38" s="2" t="s">
        <v>13</v>
      </c>
      <c r="B38" s="2"/>
      <c r="C38" s="2"/>
      <c r="D38" s="2"/>
      <c r="E38" s="6"/>
      <c r="F38" s="6">
        <f>SUM(F8:F37)</f>
        <v>174.55555555555554</v>
      </c>
      <c r="G38" s="27">
        <f>F38/12</f>
        <v>14.546296296296296</v>
      </c>
      <c r="H38"/>
      <c r="I38"/>
      <c r="J38"/>
      <c r="K38"/>
      <c r="L38"/>
    </row>
    <row r="43" spans="1:12" x14ac:dyDescent="0.3">
      <c r="K43" s="1" t="s">
        <v>86</v>
      </c>
    </row>
    <row r="44" spans="1:12" ht="23.25" x14ac:dyDescent="0.3">
      <c r="A44" s="44" t="s">
        <v>69</v>
      </c>
      <c r="B44" s="44"/>
      <c r="C44" s="44"/>
      <c r="D44" s="44"/>
      <c r="E44" s="44"/>
      <c r="F44" s="44"/>
      <c r="K44" s="1" t="s">
        <v>71</v>
      </c>
    </row>
    <row r="45" spans="1:12" ht="18" x14ac:dyDescent="0.3">
      <c r="A45" s="2" t="s">
        <v>14</v>
      </c>
      <c r="B45" s="2" t="s">
        <v>15</v>
      </c>
      <c r="C45" s="2" t="s">
        <v>42</v>
      </c>
      <c r="D45" s="2" t="s">
        <v>25</v>
      </c>
      <c r="E45" s="6" t="s">
        <v>21</v>
      </c>
      <c r="F45" s="6" t="s">
        <v>22</v>
      </c>
      <c r="G45" s="2" t="s">
        <v>20</v>
      </c>
      <c r="K45" s="1" t="s">
        <v>70</v>
      </c>
    </row>
    <row r="46" spans="1:12" ht="18" x14ac:dyDescent="0.3">
      <c r="A46" s="37" t="s">
        <v>95</v>
      </c>
      <c r="B46" s="2" t="s">
        <v>16</v>
      </c>
      <c r="C46" s="1">
        <v>7.2</v>
      </c>
      <c r="D46" s="2">
        <v>3.5</v>
      </c>
      <c r="E46" s="7">
        <f>C46*D46</f>
        <v>25.2</v>
      </c>
      <c r="F46" s="6">
        <f>E46/1.62</f>
        <v>15.555555555555554</v>
      </c>
      <c r="G46" s="2">
        <f>ROUNDUP(F46,0)</f>
        <v>16</v>
      </c>
    </row>
    <row r="47" spans="1:12" ht="18" x14ac:dyDescent="0.3">
      <c r="A47" s="38"/>
      <c r="B47" s="2" t="s">
        <v>17</v>
      </c>
      <c r="C47" s="2">
        <v>2.1</v>
      </c>
      <c r="D47" s="2">
        <v>3.5</v>
      </c>
      <c r="E47" s="7">
        <f t="shared" ref="E47:E92" si="40">C47*D47</f>
        <v>7.3500000000000005</v>
      </c>
      <c r="F47" s="6">
        <f t="shared" ref="F47:F49" si="41">E47/1.62</f>
        <v>4.5370370370370372</v>
      </c>
      <c r="G47" s="2">
        <f t="shared" ref="G47:G49" si="42">ROUNDUP(F47,0)</f>
        <v>5</v>
      </c>
    </row>
    <row r="48" spans="1:12" ht="18" x14ac:dyDescent="0.3">
      <c r="A48" s="38"/>
      <c r="B48" s="2" t="s">
        <v>18</v>
      </c>
      <c r="C48" s="2">
        <v>1.4</v>
      </c>
      <c r="D48" s="2">
        <v>3.5</v>
      </c>
      <c r="E48" s="7">
        <f t="shared" si="40"/>
        <v>4.8999999999999995</v>
      </c>
      <c r="F48" s="6">
        <f t="shared" si="41"/>
        <v>3.024691358024691</v>
      </c>
      <c r="G48" s="2">
        <f t="shared" si="42"/>
        <v>4</v>
      </c>
    </row>
    <row r="49" spans="1:7" ht="18" x14ac:dyDescent="0.3">
      <c r="A49" s="38"/>
      <c r="B49" s="2" t="s">
        <v>19</v>
      </c>
      <c r="C49" s="2">
        <v>5.6</v>
      </c>
      <c r="D49" s="2">
        <v>3.5</v>
      </c>
      <c r="E49" s="7">
        <f t="shared" si="40"/>
        <v>19.599999999999998</v>
      </c>
      <c r="F49" s="6">
        <f t="shared" si="41"/>
        <v>12.098765432098764</v>
      </c>
      <c r="G49" s="2">
        <f t="shared" si="42"/>
        <v>13</v>
      </c>
    </row>
    <row r="50" spans="1:7" ht="18" x14ac:dyDescent="0.3">
      <c r="A50" s="38"/>
      <c r="B50" s="2" t="s">
        <v>96</v>
      </c>
      <c r="C50" s="2">
        <v>5.6</v>
      </c>
      <c r="D50" s="2">
        <v>3.5</v>
      </c>
      <c r="E50" s="7">
        <f t="shared" si="40"/>
        <v>19.599999999999998</v>
      </c>
      <c r="F50" s="6">
        <f t="shared" ref="F50:F58" si="43">E50/1.62</f>
        <v>12.098765432098764</v>
      </c>
      <c r="G50" s="2">
        <f t="shared" ref="G50:G58" si="44">ROUNDUP(F50,0)</f>
        <v>13</v>
      </c>
    </row>
    <row r="51" spans="1:7" ht="18" x14ac:dyDescent="0.3">
      <c r="A51" s="38"/>
      <c r="B51" s="2" t="s">
        <v>97</v>
      </c>
      <c r="C51" s="2">
        <v>7.7</v>
      </c>
      <c r="D51" s="2">
        <v>3.5</v>
      </c>
      <c r="E51" s="7">
        <f t="shared" si="40"/>
        <v>26.95</v>
      </c>
      <c r="F51" s="6">
        <f t="shared" si="43"/>
        <v>16.6358024691358</v>
      </c>
      <c r="G51" s="2">
        <f t="shared" si="44"/>
        <v>17</v>
      </c>
    </row>
    <row r="52" spans="1:7" ht="18" x14ac:dyDescent="0.3">
      <c r="A52" s="38"/>
      <c r="B52" s="2" t="s">
        <v>98</v>
      </c>
      <c r="C52" s="2">
        <v>1.6</v>
      </c>
      <c r="D52" s="2">
        <v>3.5</v>
      </c>
      <c r="E52" s="7">
        <f t="shared" si="40"/>
        <v>5.6000000000000005</v>
      </c>
      <c r="F52" s="6">
        <f t="shared" si="43"/>
        <v>3.4567901234567904</v>
      </c>
      <c r="G52" s="2">
        <f t="shared" si="44"/>
        <v>4</v>
      </c>
    </row>
    <row r="53" spans="1:7" ht="18" x14ac:dyDescent="0.3">
      <c r="A53" s="38"/>
      <c r="B53" s="2" t="s">
        <v>99</v>
      </c>
      <c r="C53" s="2">
        <v>5.2</v>
      </c>
      <c r="D53" s="2">
        <v>3.5</v>
      </c>
      <c r="E53" s="7">
        <f t="shared" si="40"/>
        <v>18.2</v>
      </c>
      <c r="F53" s="6">
        <f t="shared" si="43"/>
        <v>11.234567901234566</v>
      </c>
      <c r="G53" s="2">
        <f t="shared" si="44"/>
        <v>12</v>
      </c>
    </row>
    <row r="54" spans="1:7" ht="18" x14ac:dyDescent="0.3">
      <c r="A54" s="38"/>
      <c r="B54" s="2" t="s">
        <v>100</v>
      </c>
      <c r="C54" s="2">
        <v>8.4</v>
      </c>
      <c r="D54" s="2">
        <v>3.5</v>
      </c>
      <c r="E54" s="7">
        <f t="shared" si="40"/>
        <v>29.400000000000002</v>
      </c>
      <c r="F54" s="6">
        <f t="shared" si="43"/>
        <v>18.148148148148149</v>
      </c>
      <c r="G54" s="2">
        <f t="shared" si="44"/>
        <v>19</v>
      </c>
    </row>
    <row r="55" spans="1:7" ht="18" x14ac:dyDescent="0.3">
      <c r="A55" s="38"/>
      <c r="B55" s="2" t="s">
        <v>101</v>
      </c>
      <c r="C55" s="2">
        <v>3.7</v>
      </c>
      <c r="D55" s="2">
        <v>3.5</v>
      </c>
      <c r="E55" s="7">
        <f t="shared" si="40"/>
        <v>12.950000000000001</v>
      </c>
      <c r="F55" s="6">
        <f t="shared" si="43"/>
        <v>7.9938271604938276</v>
      </c>
      <c r="G55" s="2">
        <f t="shared" si="44"/>
        <v>8</v>
      </c>
    </row>
    <row r="56" spans="1:7" ht="18" x14ac:dyDescent="0.3">
      <c r="A56" s="39"/>
      <c r="B56" s="2" t="s">
        <v>102</v>
      </c>
      <c r="C56" s="2">
        <v>3.6</v>
      </c>
      <c r="D56" s="2">
        <v>3.5</v>
      </c>
      <c r="E56" s="7">
        <f t="shared" si="40"/>
        <v>12.6</v>
      </c>
      <c r="F56" s="6">
        <f t="shared" si="43"/>
        <v>7.7777777777777768</v>
      </c>
      <c r="G56" s="2">
        <f t="shared" si="44"/>
        <v>8</v>
      </c>
    </row>
    <row r="57" spans="1:7" ht="18" x14ac:dyDescent="0.3">
      <c r="A57" s="37" t="s">
        <v>172</v>
      </c>
      <c r="B57" s="2" t="s">
        <v>103</v>
      </c>
      <c r="C57" s="2">
        <v>3.7</v>
      </c>
      <c r="D57" s="2">
        <v>3.5</v>
      </c>
      <c r="E57" s="7">
        <f t="shared" si="40"/>
        <v>12.950000000000001</v>
      </c>
      <c r="F57" s="6">
        <f t="shared" si="43"/>
        <v>7.9938271604938276</v>
      </c>
      <c r="G57" s="2">
        <f t="shared" si="44"/>
        <v>8</v>
      </c>
    </row>
    <row r="58" spans="1:7" ht="18" x14ac:dyDescent="0.3">
      <c r="A58" s="38"/>
      <c r="B58" s="2" t="s">
        <v>104</v>
      </c>
      <c r="C58" s="2">
        <v>4</v>
      </c>
      <c r="D58" s="2">
        <v>3.5</v>
      </c>
      <c r="E58" s="7">
        <f t="shared" si="40"/>
        <v>14</v>
      </c>
      <c r="F58" s="6">
        <f t="shared" si="43"/>
        <v>8.6419753086419746</v>
      </c>
      <c r="G58" s="2">
        <f t="shared" si="44"/>
        <v>9</v>
      </c>
    </row>
    <row r="59" spans="1:7" ht="18" x14ac:dyDescent="0.3">
      <c r="A59" s="38"/>
      <c r="B59" s="2"/>
      <c r="C59" s="2">
        <v>3.7</v>
      </c>
      <c r="D59" s="2">
        <v>3.5</v>
      </c>
      <c r="E59" s="7">
        <f t="shared" si="40"/>
        <v>12.950000000000001</v>
      </c>
      <c r="F59" s="6">
        <f t="shared" ref="F59:F91" si="45">E59/1.62</f>
        <v>7.9938271604938276</v>
      </c>
      <c r="G59" s="2">
        <f t="shared" ref="G59:G91" si="46">ROUNDUP(F59,0)</f>
        <v>8</v>
      </c>
    </row>
    <row r="60" spans="1:7" ht="18" x14ac:dyDescent="0.3">
      <c r="A60" s="39"/>
      <c r="B60" s="2"/>
      <c r="C60" s="2">
        <v>4</v>
      </c>
      <c r="D60" s="2">
        <v>3.5</v>
      </c>
      <c r="E60" s="7">
        <f t="shared" si="40"/>
        <v>14</v>
      </c>
      <c r="F60" s="6">
        <f t="shared" si="45"/>
        <v>8.6419753086419746</v>
      </c>
      <c r="G60" s="2">
        <f t="shared" si="46"/>
        <v>9</v>
      </c>
    </row>
    <row r="61" spans="1:7" ht="18" x14ac:dyDescent="0.3">
      <c r="A61" s="37" t="s">
        <v>173</v>
      </c>
      <c r="B61" s="2"/>
      <c r="C61" s="2">
        <v>3.7</v>
      </c>
      <c r="D61" s="2">
        <v>3.5</v>
      </c>
      <c r="E61" s="7">
        <f t="shared" si="40"/>
        <v>12.950000000000001</v>
      </c>
      <c r="F61" s="6">
        <f t="shared" si="45"/>
        <v>7.9938271604938276</v>
      </c>
      <c r="G61" s="2">
        <f t="shared" si="46"/>
        <v>8</v>
      </c>
    </row>
    <row r="62" spans="1:7" ht="18" x14ac:dyDescent="0.3">
      <c r="A62" s="38"/>
      <c r="B62" s="2"/>
      <c r="C62" s="2">
        <v>4</v>
      </c>
      <c r="D62" s="2">
        <v>3.5</v>
      </c>
      <c r="E62" s="7">
        <f t="shared" si="40"/>
        <v>14</v>
      </c>
      <c r="F62" s="6">
        <f t="shared" si="45"/>
        <v>8.6419753086419746</v>
      </c>
      <c r="G62" s="2">
        <f t="shared" si="46"/>
        <v>9</v>
      </c>
    </row>
    <row r="63" spans="1:7" ht="18" x14ac:dyDescent="0.3">
      <c r="A63" s="38"/>
      <c r="B63" s="2"/>
      <c r="C63" s="2">
        <v>3.7</v>
      </c>
      <c r="D63" s="2">
        <v>3.5</v>
      </c>
      <c r="E63" s="7">
        <f t="shared" si="40"/>
        <v>12.950000000000001</v>
      </c>
      <c r="F63" s="6">
        <f t="shared" si="45"/>
        <v>7.9938271604938276</v>
      </c>
      <c r="G63" s="2">
        <f t="shared" si="46"/>
        <v>8</v>
      </c>
    </row>
    <row r="64" spans="1:7" ht="18" x14ac:dyDescent="0.3">
      <c r="A64" s="39"/>
      <c r="B64" s="2"/>
      <c r="C64" s="2">
        <v>4</v>
      </c>
      <c r="D64" s="2">
        <v>3.5</v>
      </c>
      <c r="E64" s="7">
        <f t="shared" si="40"/>
        <v>14</v>
      </c>
      <c r="F64" s="6">
        <f t="shared" si="45"/>
        <v>8.6419753086419746</v>
      </c>
      <c r="G64" s="2">
        <f t="shared" si="46"/>
        <v>9</v>
      </c>
    </row>
    <row r="65" spans="1:14" ht="18" x14ac:dyDescent="0.3">
      <c r="A65" s="37" t="s">
        <v>174</v>
      </c>
      <c r="B65" s="2"/>
      <c r="C65" s="2">
        <v>8.6</v>
      </c>
      <c r="D65" s="2">
        <v>3.5</v>
      </c>
      <c r="E65" s="7">
        <f t="shared" si="40"/>
        <v>30.099999999999998</v>
      </c>
      <c r="F65" s="6">
        <f t="shared" si="45"/>
        <v>18.580246913580243</v>
      </c>
      <c r="G65" s="2">
        <f t="shared" si="46"/>
        <v>19</v>
      </c>
    </row>
    <row r="66" spans="1:14" ht="18" x14ac:dyDescent="0.3">
      <c r="A66" s="38"/>
      <c r="B66" s="2"/>
      <c r="C66" s="2">
        <v>11</v>
      </c>
      <c r="D66" s="2">
        <v>3.5</v>
      </c>
      <c r="E66" s="7">
        <f t="shared" si="40"/>
        <v>38.5</v>
      </c>
      <c r="F66" s="6">
        <f t="shared" si="45"/>
        <v>23.76543209876543</v>
      </c>
      <c r="G66" s="2">
        <f t="shared" si="46"/>
        <v>24</v>
      </c>
    </row>
    <row r="67" spans="1:14" ht="18" x14ac:dyDescent="0.3">
      <c r="A67" s="38"/>
      <c r="B67" s="2"/>
      <c r="C67" s="2">
        <v>7.3</v>
      </c>
      <c r="D67" s="2">
        <v>3.5</v>
      </c>
      <c r="E67" s="7">
        <f t="shared" si="40"/>
        <v>25.55</v>
      </c>
      <c r="F67" s="6">
        <f t="shared" si="45"/>
        <v>15.771604938271604</v>
      </c>
      <c r="G67" s="2">
        <f t="shared" si="46"/>
        <v>16</v>
      </c>
    </row>
    <row r="68" spans="1:14" ht="18" x14ac:dyDescent="0.3">
      <c r="A68" s="39"/>
      <c r="B68" s="2"/>
      <c r="C68" s="2">
        <v>11</v>
      </c>
      <c r="D68" s="2">
        <v>3.5</v>
      </c>
      <c r="E68" s="7">
        <f t="shared" si="40"/>
        <v>38.5</v>
      </c>
      <c r="F68" s="6">
        <f t="shared" si="45"/>
        <v>23.76543209876543</v>
      </c>
      <c r="G68" s="2">
        <f t="shared" si="46"/>
        <v>24</v>
      </c>
    </row>
    <row r="69" spans="1:14" ht="18" x14ac:dyDescent="0.3">
      <c r="A69" s="37" t="s">
        <v>175</v>
      </c>
      <c r="B69" s="2"/>
      <c r="C69" s="2">
        <v>6.8</v>
      </c>
      <c r="D69" s="2">
        <v>3.5</v>
      </c>
      <c r="E69" s="7">
        <f t="shared" si="40"/>
        <v>23.8</v>
      </c>
      <c r="F69" s="6">
        <f t="shared" si="45"/>
        <v>14.691358024691358</v>
      </c>
      <c r="G69" s="2">
        <f t="shared" si="46"/>
        <v>15</v>
      </c>
    </row>
    <row r="70" spans="1:14" ht="18" x14ac:dyDescent="0.3">
      <c r="A70" s="38"/>
      <c r="B70" s="2"/>
      <c r="C70" s="2">
        <v>1.9</v>
      </c>
      <c r="D70" s="2">
        <v>3.5</v>
      </c>
      <c r="E70" s="7">
        <f t="shared" si="40"/>
        <v>6.6499999999999995</v>
      </c>
      <c r="F70" s="6">
        <f t="shared" si="45"/>
        <v>4.1049382716049374</v>
      </c>
      <c r="G70" s="2">
        <f t="shared" si="46"/>
        <v>5</v>
      </c>
    </row>
    <row r="71" spans="1:14" ht="18" x14ac:dyDescent="0.3">
      <c r="A71" s="38"/>
      <c r="B71" s="2"/>
      <c r="C71" s="2">
        <v>6.8</v>
      </c>
      <c r="D71" s="2">
        <v>3.5</v>
      </c>
      <c r="E71" s="7">
        <f t="shared" si="40"/>
        <v>23.8</v>
      </c>
      <c r="F71" s="6">
        <f t="shared" si="45"/>
        <v>14.691358024691358</v>
      </c>
      <c r="G71" s="2">
        <f t="shared" si="46"/>
        <v>15</v>
      </c>
    </row>
    <row r="72" spans="1:14" ht="18" x14ac:dyDescent="0.3">
      <c r="A72" s="39"/>
      <c r="B72" s="2"/>
      <c r="C72" s="2">
        <v>1.9</v>
      </c>
      <c r="D72" s="2">
        <v>3.5</v>
      </c>
      <c r="E72" s="7">
        <f t="shared" si="40"/>
        <v>6.6499999999999995</v>
      </c>
      <c r="F72" s="6">
        <f t="shared" si="45"/>
        <v>4.1049382716049374</v>
      </c>
      <c r="G72" s="2">
        <f t="shared" si="46"/>
        <v>5</v>
      </c>
    </row>
    <row r="73" spans="1:14" ht="18" x14ac:dyDescent="0.3">
      <c r="A73" s="37" t="s">
        <v>176</v>
      </c>
      <c r="B73" s="2"/>
      <c r="C73" s="2">
        <v>2.4</v>
      </c>
      <c r="D73" s="2">
        <v>3.5</v>
      </c>
      <c r="E73" s="7">
        <f t="shared" si="40"/>
        <v>8.4</v>
      </c>
      <c r="F73" s="6">
        <f t="shared" si="45"/>
        <v>5.1851851851851851</v>
      </c>
      <c r="G73" s="2">
        <f t="shared" si="46"/>
        <v>6</v>
      </c>
    </row>
    <row r="74" spans="1:14" ht="18" x14ac:dyDescent="0.3">
      <c r="A74" s="38"/>
      <c r="B74" s="2"/>
      <c r="C74" s="2">
        <v>1.9</v>
      </c>
      <c r="D74" s="2">
        <v>3.5</v>
      </c>
      <c r="E74" s="7">
        <f t="shared" si="40"/>
        <v>6.6499999999999995</v>
      </c>
      <c r="F74" s="6">
        <f t="shared" si="45"/>
        <v>4.1049382716049374</v>
      </c>
      <c r="G74" s="2">
        <f t="shared" si="46"/>
        <v>5</v>
      </c>
    </row>
    <row r="75" spans="1:14" ht="18" x14ac:dyDescent="0.3">
      <c r="A75" s="38"/>
      <c r="B75" s="2"/>
      <c r="C75" s="2">
        <v>2.1</v>
      </c>
      <c r="D75" s="2">
        <v>3.5</v>
      </c>
      <c r="E75" s="7">
        <f t="shared" si="40"/>
        <v>7.3500000000000005</v>
      </c>
      <c r="F75" s="6">
        <f t="shared" si="45"/>
        <v>4.5370370370370372</v>
      </c>
      <c r="G75" s="2">
        <f t="shared" si="46"/>
        <v>5</v>
      </c>
    </row>
    <row r="76" spans="1:14" ht="18" x14ac:dyDescent="0.3">
      <c r="A76" s="39"/>
      <c r="B76" s="2"/>
      <c r="C76" s="2">
        <v>1.9</v>
      </c>
      <c r="D76" s="2">
        <v>3.5</v>
      </c>
      <c r="E76" s="7">
        <f t="shared" si="40"/>
        <v>6.6499999999999995</v>
      </c>
      <c r="F76" s="6">
        <f t="shared" si="45"/>
        <v>4.1049382716049374</v>
      </c>
      <c r="G76" s="2">
        <f t="shared" si="46"/>
        <v>5</v>
      </c>
    </row>
    <row r="77" spans="1:14" ht="18" x14ac:dyDescent="0.3">
      <c r="A77" s="37" t="s">
        <v>177</v>
      </c>
      <c r="B77" s="2"/>
      <c r="C77" s="2">
        <v>7.2</v>
      </c>
      <c r="D77" s="2">
        <v>3.5</v>
      </c>
      <c r="E77" s="7">
        <f t="shared" si="40"/>
        <v>25.2</v>
      </c>
      <c r="F77" s="6">
        <f t="shared" si="45"/>
        <v>15.555555555555554</v>
      </c>
      <c r="G77" s="2">
        <f t="shared" si="46"/>
        <v>16</v>
      </c>
    </row>
    <row r="78" spans="1:14" ht="18" x14ac:dyDescent="0.3">
      <c r="A78" s="38"/>
      <c r="B78" s="2"/>
      <c r="C78" s="2">
        <v>4</v>
      </c>
      <c r="D78" s="2">
        <v>3.5</v>
      </c>
      <c r="E78" s="7">
        <f t="shared" si="40"/>
        <v>14</v>
      </c>
      <c r="F78" s="6">
        <f t="shared" si="45"/>
        <v>8.6419753086419746</v>
      </c>
      <c r="G78" s="2">
        <f t="shared" si="46"/>
        <v>9</v>
      </c>
    </row>
    <row r="79" spans="1:14" ht="18" x14ac:dyDescent="0.3">
      <c r="A79" s="38"/>
      <c r="B79" s="2"/>
      <c r="C79" s="2">
        <v>7.2</v>
      </c>
      <c r="D79" s="2">
        <v>3.5</v>
      </c>
      <c r="E79" s="7">
        <f t="shared" si="40"/>
        <v>25.2</v>
      </c>
      <c r="F79" s="6">
        <f t="shared" si="45"/>
        <v>15.555555555555554</v>
      </c>
      <c r="G79" s="2">
        <f t="shared" si="46"/>
        <v>16</v>
      </c>
      <c r="K79" s="1" t="s">
        <v>224</v>
      </c>
    </row>
    <row r="80" spans="1:14" ht="18" x14ac:dyDescent="0.3">
      <c r="A80" s="39"/>
      <c r="B80" s="2"/>
      <c r="C80" s="2">
        <v>4</v>
      </c>
      <c r="D80" s="2">
        <v>3.5</v>
      </c>
      <c r="E80" s="7">
        <f t="shared" si="40"/>
        <v>14</v>
      </c>
      <c r="F80" s="6">
        <f t="shared" si="45"/>
        <v>8.6419753086419746</v>
      </c>
      <c r="G80" s="2">
        <f t="shared" si="46"/>
        <v>9</v>
      </c>
      <c r="K80" s="1" t="s">
        <v>167</v>
      </c>
      <c r="L80" s="1" t="s">
        <v>152</v>
      </c>
      <c r="M80" s="1" t="s">
        <v>166</v>
      </c>
      <c r="N80" s="1" t="s">
        <v>225</v>
      </c>
    </row>
    <row r="81" spans="1:15" ht="18" x14ac:dyDescent="0.3">
      <c r="A81" s="37" t="s">
        <v>178</v>
      </c>
      <c r="B81" s="2"/>
      <c r="C81" s="2">
        <v>3</v>
      </c>
      <c r="D81" s="2">
        <v>3.5</v>
      </c>
      <c r="E81" s="7">
        <f t="shared" si="40"/>
        <v>10.5</v>
      </c>
      <c r="F81" s="6">
        <f t="shared" si="45"/>
        <v>6.481481481481481</v>
      </c>
      <c r="G81" s="2">
        <f t="shared" si="46"/>
        <v>7</v>
      </c>
      <c r="K81" s="1">
        <v>3.7</v>
      </c>
      <c r="L81" s="1">
        <v>3.5</v>
      </c>
      <c r="M81" s="1">
        <f>K81*L81</f>
        <v>12.950000000000001</v>
      </c>
      <c r="N81" s="1">
        <f>M81/2.8</f>
        <v>4.6250000000000009</v>
      </c>
      <c r="O81" s="1">
        <f>ROUNDUP(N81,0)</f>
        <v>5</v>
      </c>
    </row>
    <row r="82" spans="1:15" ht="18" x14ac:dyDescent="0.3">
      <c r="A82" s="38"/>
      <c r="B82" s="2"/>
      <c r="C82" s="2">
        <v>2</v>
      </c>
      <c r="D82" s="2">
        <v>3.5</v>
      </c>
      <c r="E82" s="7">
        <f t="shared" si="40"/>
        <v>7</v>
      </c>
      <c r="F82" s="6">
        <f t="shared" si="45"/>
        <v>4.3209876543209873</v>
      </c>
      <c r="G82" s="2">
        <f t="shared" si="46"/>
        <v>5</v>
      </c>
      <c r="K82" s="1">
        <v>3.7</v>
      </c>
      <c r="L82" s="1">
        <v>3.5</v>
      </c>
      <c r="M82" s="1">
        <f>K82*L82</f>
        <v>12.950000000000001</v>
      </c>
      <c r="N82" s="1">
        <f>M82/2.8</f>
        <v>4.6250000000000009</v>
      </c>
      <c r="O82" s="1">
        <f t="shared" ref="O82:O84" si="47">ROUNDUP(N82,0)</f>
        <v>5</v>
      </c>
    </row>
    <row r="83" spans="1:15" ht="18" x14ac:dyDescent="0.3">
      <c r="A83" s="38"/>
      <c r="B83" s="2"/>
      <c r="C83" s="2">
        <v>3</v>
      </c>
      <c r="D83" s="2">
        <v>3.5</v>
      </c>
      <c r="E83" s="7">
        <f t="shared" si="40"/>
        <v>10.5</v>
      </c>
      <c r="F83" s="6">
        <f t="shared" si="45"/>
        <v>6.481481481481481</v>
      </c>
      <c r="G83" s="2">
        <f t="shared" si="46"/>
        <v>7</v>
      </c>
      <c r="K83" s="1">
        <v>5.6</v>
      </c>
      <c r="L83" s="1">
        <v>4.5</v>
      </c>
      <c r="M83" s="1">
        <f t="shared" ref="M83:M84" si="48">K83*L83</f>
        <v>25.2</v>
      </c>
      <c r="N83" s="1">
        <f t="shared" ref="N83:N84" si="49">M83/2.8</f>
        <v>9</v>
      </c>
      <c r="O83" s="1">
        <f t="shared" si="47"/>
        <v>9</v>
      </c>
    </row>
    <row r="84" spans="1:15" ht="18" x14ac:dyDescent="0.3">
      <c r="A84" s="39"/>
      <c r="B84" s="2"/>
      <c r="C84" s="2">
        <v>2</v>
      </c>
      <c r="D84" s="2">
        <v>3.5</v>
      </c>
      <c r="E84" s="7">
        <f t="shared" si="40"/>
        <v>7</v>
      </c>
      <c r="F84" s="6">
        <f t="shared" si="45"/>
        <v>4.3209876543209873</v>
      </c>
      <c r="G84" s="2">
        <f t="shared" si="46"/>
        <v>5</v>
      </c>
      <c r="K84" s="1">
        <v>0.8</v>
      </c>
      <c r="L84" s="1">
        <v>5.5</v>
      </c>
      <c r="M84" s="1">
        <f t="shared" si="48"/>
        <v>4.4000000000000004</v>
      </c>
      <c r="N84" s="1">
        <f t="shared" si="49"/>
        <v>1.5714285714285716</v>
      </c>
      <c r="O84" s="1">
        <f t="shared" si="47"/>
        <v>2</v>
      </c>
    </row>
    <row r="85" spans="1:15" ht="18" x14ac:dyDescent="0.3">
      <c r="A85" s="37" t="s">
        <v>179</v>
      </c>
      <c r="B85" s="2"/>
      <c r="C85" s="2">
        <v>5.6</v>
      </c>
      <c r="D85" s="2">
        <v>3.5</v>
      </c>
      <c r="E85" s="7">
        <f t="shared" si="40"/>
        <v>19.599999999999998</v>
      </c>
      <c r="F85" s="6">
        <f t="shared" si="45"/>
        <v>12.098765432098764</v>
      </c>
      <c r="G85" s="2">
        <f t="shared" si="46"/>
        <v>13</v>
      </c>
      <c r="O85" s="13">
        <f>SUM(O81:O84)</f>
        <v>21</v>
      </c>
    </row>
    <row r="86" spans="1:15" ht="18" x14ac:dyDescent="0.3">
      <c r="A86" s="38"/>
      <c r="B86" s="2"/>
      <c r="C86" s="2">
        <v>5.5</v>
      </c>
      <c r="D86" s="2">
        <v>3.5</v>
      </c>
      <c r="E86" s="7">
        <f t="shared" si="40"/>
        <v>19.25</v>
      </c>
      <c r="F86" s="6">
        <f t="shared" si="45"/>
        <v>11.882716049382715</v>
      </c>
      <c r="G86" s="2">
        <f t="shared" si="46"/>
        <v>12</v>
      </c>
    </row>
    <row r="87" spans="1:15" ht="18" x14ac:dyDescent="0.3">
      <c r="A87" s="38"/>
      <c r="B87" s="2"/>
      <c r="C87" s="2">
        <v>5.6</v>
      </c>
      <c r="D87" s="2">
        <v>3.5</v>
      </c>
      <c r="E87" s="7">
        <f t="shared" si="40"/>
        <v>19.599999999999998</v>
      </c>
      <c r="F87" s="6">
        <f t="shared" si="45"/>
        <v>12.098765432098764</v>
      </c>
      <c r="G87" s="2">
        <f t="shared" si="46"/>
        <v>13</v>
      </c>
    </row>
    <row r="88" spans="1:15" ht="18" x14ac:dyDescent="0.3">
      <c r="A88" s="39"/>
      <c r="B88" s="2"/>
      <c r="C88" s="2">
        <v>5.5</v>
      </c>
      <c r="D88" s="2">
        <v>3.5</v>
      </c>
      <c r="E88" s="7">
        <f t="shared" si="40"/>
        <v>19.25</v>
      </c>
      <c r="F88" s="6">
        <f t="shared" si="45"/>
        <v>11.882716049382715</v>
      </c>
      <c r="G88" s="2">
        <f t="shared" si="46"/>
        <v>12</v>
      </c>
    </row>
    <row r="89" spans="1:15" ht="18" x14ac:dyDescent="0.3">
      <c r="A89" s="37" t="s">
        <v>180</v>
      </c>
      <c r="B89" s="2"/>
      <c r="C89" s="2">
        <v>2.8</v>
      </c>
      <c r="D89" s="2">
        <v>3.5</v>
      </c>
      <c r="E89" s="7">
        <f t="shared" si="40"/>
        <v>9.7999999999999989</v>
      </c>
      <c r="F89" s="6">
        <f t="shared" si="45"/>
        <v>6.049382716049382</v>
      </c>
      <c r="G89" s="2">
        <f t="shared" si="46"/>
        <v>7</v>
      </c>
    </row>
    <row r="90" spans="1:15" ht="18" x14ac:dyDescent="0.3">
      <c r="A90" s="38"/>
      <c r="B90" s="2"/>
      <c r="C90" s="2">
        <v>1.9</v>
      </c>
      <c r="D90" s="2">
        <v>3.5</v>
      </c>
      <c r="E90" s="7">
        <f t="shared" si="40"/>
        <v>6.6499999999999995</v>
      </c>
      <c r="F90" s="6">
        <f t="shared" si="45"/>
        <v>4.1049382716049374</v>
      </c>
      <c r="G90" s="2">
        <f t="shared" si="46"/>
        <v>5</v>
      </c>
    </row>
    <row r="91" spans="1:15" ht="18" x14ac:dyDescent="0.3">
      <c r="A91" s="38"/>
      <c r="B91" s="2"/>
      <c r="C91" s="2">
        <v>2.8</v>
      </c>
      <c r="D91" s="2">
        <v>3.5</v>
      </c>
      <c r="E91" s="7">
        <f t="shared" si="40"/>
        <v>9.7999999999999989</v>
      </c>
      <c r="F91" s="6">
        <f t="shared" si="45"/>
        <v>6.049382716049382</v>
      </c>
      <c r="G91" s="2">
        <f t="shared" si="46"/>
        <v>7</v>
      </c>
    </row>
    <row r="92" spans="1:15" ht="18" x14ac:dyDescent="0.3">
      <c r="A92" s="39"/>
      <c r="B92" s="2"/>
      <c r="C92" s="2">
        <v>1.9</v>
      </c>
      <c r="D92" s="2">
        <v>3.5</v>
      </c>
      <c r="E92" s="7">
        <f t="shared" si="40"/>
        <v>6.6499999999999995</v>
      </c>
      <c r="F92" s="6">
        <f t="shared" ref="F92" si="50">E92/1.62</f>
        <v>4.1049382716049374</v>
      </c>
      <c r="G92" s="2">
        <f t="shared" ref="G92" si="51">ROUNDUP(F92,0)</f>
        <v>5</v>
      </c>
    </row>
    <row r="93" spans="1:15" ht="18" x14ac:dyDescent="0.3">
      <c r="A93" s="23" t="s">
        <v>182</v>
      </c>
      <c r="B93" s="2"/>
      <c r="C93" s="2">
        <v>5.3</v>
      </c>
      <c r="D93" s="2">
        <v>3.5</v>
      </c>
      <c r="E93" s="7">
        <f t="shared" ref="E93:E96" si="52">C93*D93</f>
        <v>18.55</v>
      </c>
      <c r="F93" s="6">
        <f t="shared" ref="F93:F96" si="53">E93/1.62</f>
        <v>11.450617283950617</v>
      </c>
      <c r="G93" s="2">
        <f t="shared" ref="G93:G96" si="54">ROUNDUP(F93,0)</f>
        <v>12</v>
      </c>
    </row>
    <row r="94" spans="1:15" ht="18" x14ac:dyDescent="0.3">
      <c r="A94" s="23"/>
      <c r="B94" s="2"/>
      <c r="C94" s="2">
        <v>1.2</v>
      </c>
      <c r="D94" s="2">
        <v>3.5</v>
      </c>
      <c r="E94" s="7">
        <f t="shared" si="52"/>
        <v>4.2</v>
      </c>
      <c r="F94" s="6">
        <f t="shared" si="53"/>
        <v>2.5925925925925926</v>
      </c>
      <c r="G94" s="2">
        <f t="shared" si="54"/>
        <v>3</v>
      </c>
    </row>
    <row r="95" spans="1:15" ht="18" x14ac:dyDescent="0.3">
      <c r="A95" s="23"/>
      <c r="B95" s="2"/>
      <c r="C95" s="2">
        <v>5.3</v>
      </c>
      <c r="D95" s="2">
        <v>3.5</v>
      </c>
      <c r="E95" s="7">
        <f t="shared" si="52"/>
        <v>18.55</v>
      </c>
      <c r="F95" s="6">
        <f t="shared" si="53"/>
        <v>11.450617283950617</v>
      </c>
      <c r="G95" s="2">
        <f t="shared" si="54"/>
        <v>12</v>
      </c>
    </row>
    <row r="96" spans="1:15" ht="18" x14ac:dyDescent="0.3">
      <c r="A96" s="23"/>
      <c r="B96" s="2"/>
      <c r="C96" s="2">
        <v>1.2</v>
      </c>
      <c r="D96" s="2">
        <v>3.5</v>
      </c>
      <c r="E96" s="7">
        <f t="shared" si="52"/>
        <v>4.2</v>
      </c>
      <c r="F96" s="6">
        <f t="shared" si="53"/>
        <v>2.5925925925925926</v>
      </c>
      <c r="G96" s="2">
        <f t="shared" si="54"/>
        <v>3</v>
      </c>
    </row>
    <row r="97" spans="1:11" x14ac:dyDescent="0.3">
      <c r="A97" s="2" t="s">
        <v>23</v>
      </c>
      <c r="B97" s="2"/>
      <c r="C97" s="2"/>
      <c r="D97" s="2"/>
      <c r="E97" s="6"/>
      <c r="F97" s="6"/>
      <c r="G97" s="27">
        <f>SUM(G46:G96)</f>
        <v>509</v>
      </c>
    </row>
    <row r="102" spans="1:11" ht="20.25" x14ac:dyDescent="0.3">
      <c r="A102" s="42" t="s">
        <v>28</v>
      </c>
      <c r="B102" s="42"/>
      <c r="C102" s="42"/>
      <c r="D102" s="42"/>
      <c r="E102" s="42"/>
      <c r="F102" s="42"/>
      <c r="G102" s="5"/>
      <c r="K102" s="1" t="s">
        <v>87</v>
      </c>
    </row>
    <row r="103" spans="1:11" ht="18" x14ac:dyDescent="0.3">
      <c r="A103" s="2" t="s">
        <v>14</v>
      </c>
      <c r="B103" s="2" t="s">
        <v>15</v>
      </c>
      <c r="C103" s="2" t="s">
        <v>24</v>
      </c>
      <c r="D103" s="2" t="s">
        <v>25</v>
      </c>
      <c r="E103" s="6" t="s">
        <v>21</v>
      </c>
      <c r="F103" s="6" t="s">
        <v>26</v>
      </c>
      <c r="H103" s="1" t="s">
        <v>59</v>
      </c>
    </row>
    <row r="104" spans="1:11" x14ac:dyDescent="0.3">
      <c r="A104" s="43"/>
      <c r="B104" s="2" t="s">
        <v>16</v>
      </c>
      <c r="C104" s="2"/>
      <c r="D104" s="2"/>
      <c r="E104" s="6">
        <f>C104*D104</f>
        <v>0</v>
      </c>
      <c r="F104" s="6">
        <f>E104/2.88</f>
        <v>0</v>
      </c>
    </row>
    <row r="105" spans="1:11" x14ac:dyDescent="0.3">
      <c r="A105" s="43"/>
      <c r="B105" s="2" t="s">
        <v>17</v>
      </c>
      <c r="C105" s="2"/>
      <c r="D105" s="2"/>
      <c r="E105" s="6">
        <f>C105*D105</f>
        <v>0</v>
      </c>
      <c r="F105" s="6">
        <f t="shared" ref="F105:F107" si="55">E105/2.88</f>
        <v>0</v>
      </c>
    </row>
    <row r="106" spans="1:11" x14ac:dyDescent="0.3">
      <c r="A106" s="43"/>
      <c r="B106" s="2" t="s">
        <v>18</v>
      </c>
      <c r="C106" s="2"/>
      <c r="D106" s="2"/>
      <c r="E106" s="6">
        <f>C106*D106</f>
        <v>0</v>
      </c>
      <c r="F106" s="6">
        <f t="shared" si="55"/>
        <v>0</v>
      </c>
    </row>
    <row r="107" spans="1:11" x14ac:dyDescent="0.3">
      <c r="A107" s="43"/>
      <c r="B107" s="2" t="s">
        <v>19</v>
      </c>
      <c r="C107" s="2"/>
      <c r="D107" s="2"/>
      <c r="E107" s="6">
        <f>C107*D107</f>
        <v>0</v>
      </c>
      <c r="F107" s="6">
        <f t="shared" si="55"/>
        <v>0</v>
      </c>
    </row>
    <row r="108" spans="1:11" x14ac:dyDescent="0.3">
      <c r="A108" s="2" t="s">
        <v>13</v>
      </c>
      <c r="B108" s="2"/>
      <c r="C108" s="2"/>
      <c r="D108" s="2"/>
      <c r="E108" s="6"/>
      <c r="F108" s="6">
        <f>SUM(F104:F107)</f>
        <v>0</v>
      </c>
    </row>
    <row r="114" spans="1:11" ht="20.25" x14ac:dyDescent="0.3">
      <c r="A114" s="41" t="s">
        <v>27</v>
      </c>
      <c r="B114" s="41"/>
      <c r="C114" s="41"/>
      <c r="D114" s="41"/>
      <c r="E114" s="41"/>
      <c r="F114" s="41"/>
      <c r="G114" s="5"/>
      <c r="J114" s="1" t="s">
        <v>29</v>
      </c>
    </row>
    <row r="115" spans="1:11" x14ac:dyDescent="0.3">
      <c r="A115" s="2" t="s">
        <v>14</v>
      </c>
      <c r="B115" s="2" t="s">
        <v>15</v>
      </c>
      <c r="C115" s="2" t="s">
        <v>30</v>
      </c>
      <c r="D115" s="2" t="s">
        <v>31</v>
      </c>
      <c r="E115" s="6" t="s">
        <v>32</v>
      </c>
      <c r="F115" s="6" t="s">
        <v>33</v>
      </c>
      <c r="K115" s="3" t="s">
        <v>44</v>
      </c>
    </row>
    <row r="116" spans="1:11" x14ac:dyDescent="0.3">
      <c r="A116" s="43"/>
      <c r="B116" s="2" t="s">
        <v>16</v>
      </c>
      <c r="C116" s="2">
        <v>3700</v>
      </c>
      <c r="D116" s="2">
        <f>C116/450</f>
        <v>8.2222222222222214</v>
      </c>
      <c r="E116" s="6">
        <f>ROUNDUP(D116,0)</f>
        <v>9</v>
      </c>
      <c r="F116" s="6"/>
      <c r="J116" s="1" t="s">
        <v>58</v>
      </c>
    </row>
    <row r="117" spans="1:11" x14ac:dyDescent="0.3">
      <c r="A117" s="43"/>
      <c r="B117" s="2" t="s">
        <v>17</v>
      </c>
      <c r="C117" s="2">
        <v>3700</v>
      </c>
      <c r="D117" s="2">
        <f t="shared" ref="D117:D120" si="56">C117/450</f>
        <v>8.2222222222222214</v>
      </c>
      <c r="E117" s="6">
        <f>ROUNDUP(D117,0)</f>
        <v>9</v>
      </c>
      <c r="F117" s="10"/>
      <c r="J117" s="1" t="s">
        <v>88</v>
      </c>
    </row>
    <row r="118" spans="1:11" x14ac:dyDescent="0.3">
      <c r="A118" s="43"/>
      <c r="B118" s="2" t="s">
        <v>18</v>
      </c>
      <c r="C118" s="2">
        <v>8400</v>
      </c>
      <c r="D118" s="2">
        <f t="shared" si="56"/>
        <v>18.666666666666668</v>
      </c>
      <c r="E118" s="6">
        <f>ROUNDUP(D118,0)</f>
        <v>19</v>
      </c>
      <c r="F118" s="6"/>
    </row>
    <row r="119" spans="1:11" x14ac:dyDescent="0.3">
      <c r="A119" s="43"/>
      <c r="B119" s="2" t="s">
        <v>19</v>
      </c>
      <c r="C119" s="2">
        <v>5600</v>
      </c>
      <c r="D119" s="2">
        <f t="shared" si="56"/>
        <v>12.444444444444445</v>
      </c>
      <c r="E119" s="6">
        <f>ROUNDUP(D119,0)</f>
        <v>13</v>
      </c>
      <c r="F119" s="6"/>
    </row>
    <row r="120" spans="1:11" x14ac:dyDescent="0.3">
      <c r="A120" s="2"/>
      <c r="B120" s="2"/>
      <c r="C120" s="2">
        <v>800</v>
      </c>
      <c r="D120" s="2">
        <f t="shared" si="56"/>
        <v>1.7777777777777777</v>
      </c>
      <c r="E120" s="6">
        <f>ROUNDUP(D120,0)</f>
        <v>2</v>
      </c>
      <c r="F120" s="6"/>
    </row>
    <row r="121" spans="1:11" x14ac:dyDescent="0.3">
      <c r="A121" s="2" t="s">
        <v>13</v>
      </c>
      <c r="B121" s="2"/>
      <c r="C121" s="2"/>
      <c r="D121" s="2"/>
      <c r="E121" s="6">
        <f>SUM(E116:E120)</f>
        <v>52</v>
      </c>
      <c r="F121" s="18">
        <f>E121/13</f>
        <v>4</v>
      </c>
    </row>
    <row r="124" spans="1:11" ht="20.25" x14ac:dyDescent="0.3">
      <c r="A124" s="5" t="s">
        <v>73</v>
      </c>
    </row>
    <row r="127" spans="1:11" ht="20.25" x14ac:dyDescent="0.3">
      <c r="A127" s="41" t="s">
        <v>45</v>
      </c>
      <c r="B127" s="41"/>
      <c r="C127" s="41"/>
      <c r="D127" s="41"/>
      <c r="E127" s="41"/>
      <c r="F127" s="41"/>
      <c r="H127" s="1" t="s">
        <v>34</v>
      </c>
    </row>
    <row r="128" spans="1:11" x14ac:dyDescent="0.3">
      <c r="A128" s="2" t="s">
        <v>14</v>
      </c>
      <c r="B128" s="2" t="s">
        <v>15</v>
      </c>
      <c r="C128" s="2" t="s">
        <v>30</v>
      </c>
      <c r="D128" s="2" t="s">
        <v>35</v>
      </c>
      <c r="E128" s="6" t="s">
        <v>20</v>
      </c>
    </row>
    <row r="129" spans="1:5" x14ac:dyDescent="0.3">
      <c r="A129" s="37" t="s">
        <v>95</v>
      </c>
      <c r="B129" s="2" t="s">
        <v>16</v>
      </c>
      <c r="C129" s="2">
        <v>7210</v>
      </c>
      <c r="D129" s="2">
        <f>C129/2400</f>
        <v>3.0041666666666669</v>
      </c>
      <c r="E129" s="6">
        <f>ROUNDUP(D129,0)</f>
        <v>4</v>
      </c>
    </row>
    <row r="130" spans="1:5" x14ac:dyDescent="0.3">
      <c r="A130" s="38"/>
      <c r="B130" s="2" t="s">
        <v>17</v>
      </c>
      <c r="C130" s="2">
        <v>2010</v>
      </c>
      <c r="D130" s="2">
        <f t="shared" ref="D130:D132" si="57">C130/2400</f>
        <v>0.83750000000000002</v>
      </c>
      <c r="E130" s="6">
        <f>ROUNDUP(D130,0)</f>
        <v>1</v>
      </c>
    </row>
    <row r="131" spans="1:5" x14ac:dyDescent="0.3">
      <c r="A131" s="38"/>
      <c r="B131" s="2" t="s">
        <v>18</v>
      </c>
      <c r="C131" s="2">
        <v>1370</v>
      </c>
      <c r="D131" s="2">
        <f t="shared" si="57"/>
        <v>0.5708333333333333</v>
      </c>
      <c r="E131" s="6">
        <f>ROUNDUP(D131,0)</f>
        <v>1</v>
      </c>
    </row>
    <row r="132" spans="1:5" x14ac:dyDescent="0.3">
      <c r="A132" s="38"/>
      <c r="B132" s="2" t="s">
        <v>19</v>
      </c>
      <c r="C132" s="2">
        <v>5600</v>
      </c>
      <c r="D132" s="2">
        <f t="shared" si="57"/>
        <v>2.3333333333333335</v>
      </c>
      <c r="E132" s="6">
        <f>ROUNDUP(D132,0)</f>
        <v>3</v>
      </c>
    </row>
    <row r="133" spans="1:5" x14ac:dyDescent="0.3">
      <c r="A133" s="38"/>
      <c r="B133" s="2" t="s">
        <v>96</v>
      </c>
      <c r="C133" s="2">
        <v>7648</v>
      </c>
      <c r="D133" s="2">
        <f t="shared" ref="D133:D151" si="58">C133/2400</f>
        <v>3.1866666666666665</v>
      </c>
      <c r="E133" s="6">
        <f t="shared" ref="E133:E181" si="59">ROUNDUP(D133,0)</f>
        <v>4</v>
      </c>
    </row>
    <row r="134" spans="1:5" x14ac:dyDescent="0.3">
      <c r="A134" s="38"/>
      <c r="B134" s="2" t="s">
        <v>97</v>
      </c>
      <c r="C134" s="2">
        <v>1603</v>
      </c>
      <c r="D134" s="2">
        <f t="shared" si="58"/>
        <v>0.66791666666666671</v>
      </c>
      <c r="E134" s="6">
        <f t="shared" si="59"/>
        <v>1</v>
      </c>
    </row>
    <row r="135" spans="1:5" x14ac:dyDescent="0.3">
      <c r="A135" s="38"/>
      <c r="B135" s="2" t="s">
        <v>98</v>
      </c>
      <c r="C135" s="2">
        <v>2506</v>
      </c>
      <c r="D135" s="2">
        <f t="shared" si="58"/>
        <v>1.0441666666666667</v>
      </c>
      <c r="E135" s="6">
        <f t="shared" si="59"/>
        <v>2</v>
      </c>
    </row>
    <row r="136" spans="1:5" x14ac:dyDescent="0.3">
      <c r="A136" s="38"/>
      <c r="B136" s="2" t="s">
        <v>99</v>
      </c>
      <c r="C136" s="2">
        <v>1025</v>
      </c>
      <c r="D136" s="2">
        <f t="shared" si="58"/>
        <v>0.42708333333333331</v>
      </c>
      <c r="E136" s="6">
        <f t="shared" si="59"/>
        <v>1</v>
      </c>
    </row>
    <row r="137" spans="1:5" x14ac:dyDescent="0.3">
      <c r="A137" s="38"/>
      <c r="B137" s="2" t="s">
        <v>100</v>
      </c>
      <c r="C137" s="2">
        <v>500</v>
      </c>
      <c r="D137" s="2">
        <f t="shared" si="58"/>
        <v>0.20833333333333334</v>
      </c>
      <c r="E137" s="6">
        <f t="shared" si="59"/>
        <v>1</v>
      </c>
    </row>
    <row r="138" spans="1:5" x14ac:dyDescent="0.3">
      <c r="A138" s="38"/>
      <c r="B138" s="2" t="s">
        <v>101</v>
      </c>
      <c r="C138" s="2">
        <v>800</v>
      </c>
      <c r="D138" s="2">
        <f t="shared" si="58"/>
        <v>0.33333333333333331</v>
      </c>
      <c r="E138" s="6">
        <f t="shared" si="59"/>
        <v>1</v>
      </c>
    </row>
    <row r="139" spans="1:5" x14ac:dyDescent="0.3">
      <c r="A139" s="38"/>
      <c r="B139" s="2" t="s">
        <v>102</v>
      </c>
      <c r="C139" s="2">
        <v>3700</v>
      </c>
      <c r="D139" s="2">
        <f t="shared" si="58"/>
        <v>1.5416666666666667</v>
      </c>
      <c r="E139" s="6">
        <f t="shared" si="59"/>
        <v>2</v>
      </c>
    </row>
    <row r="140" spans="1:5" x14ac:dyDescent="0.3">
      <c r="A140" s="39"/>
      <c r="B140" s="2" t="s">
        <v>103</v>
      </c>
      <c r="C140" s="2">
        <v>3600</v>
      </c>
      <c r="D140" s="2">
        <f t="shared" si="58"/>
        <v>1.5</v>
      </c>
      <c r="E140" s="6">
        <f t="shared" si="59"/>
        <v>2</v>
      </c>
    </row>
    <row r="141" spans="1:5" x14ac:dyDescent="0.3">
      <c r="A141" s="37" t="s">
        <v>172</v>
      </c>
      <c r="B141" s="2" t="s">
        <v>104</v>
      </c>
      <c r="C141" s="2">
        <v>3700</v>
      </c>
      <c r="D141" s="2">
        <f t="shared" si="58"/>
        <v>1.5416666666666667</v>
      </c>
      <c r="E141" s="6">
        <f t="shared" si="59"/>
        <v>2</v>
      </c>
    </row>
    <row r="142" spans="1:5" x14ac:dyDescent="0.3">
      <c r="A142" s="38"/>
      <c r="B142" s="2" t="s">
        <v>122</v>
      </c>
      <c r="C142" s="2">
        <v>4000</v>
      </c>
      <c r="D142" s="2">
        <f t="shared" si="58"/>
        <v>1.6666666666666667</v>
      </c>
      <c r="E142" s="6">
        <f t="shared" si="59"/>
        <v>2</v>
      </c>
    </row>
    <row r="143" spans="1:5" x14ac:dyDescent="0.3">
      <c r="A143" s="38"/>
      <c r="B143" s="2" t="s">
        <v>123</v>
      </c>
      <c r="C143" s="2">
        <v>3700</v>
      </c>
      <c r="D143" s="2">
        <f t="shared" si="58"/>
        <v>1.5416666666666667</v>
      </c>
      <c r="E143" s="6">
        <f t="shared" si="59"/>
        <v>2</v>
      </c>
    </row>
    <row r="144" spans="1:5" x14ac:dyDescent="0.3">
      <c r="A144" s="38"/>
      <c r="B144" s="2" t="s">
        <v>124</v>
      </c>
      <c r="C144" s="2">
        <v>1000</v>
      </c>
      <c r="D144" s="2">
        <f t="shared" si="58"/>
        <v>0.41666666666666669</v>
      </c>
      <c r="E144" s="6">
        <f t="shared" si="59"/>
        <v>1</v>
      </c>
    </row>
    <row r="145" spans="1:5" x14ac:dyDescent="0.3">
      <c r="A145" s="38" t="s">
        <v>173</v>
      </c>
      <c r="B145" s="2" t="s">
        <v>125</v>
      </c>
      <c r="C145" s="2">
        <v>3700</v>
      </c>
      <c r="D145" s="2">
        <f t="shared" si="58"/>
        <v>1.5416666666666667</v>
      </c>
      <c r="E145" s="6">
        <f t="shared" si="59"/>
        <v>2</v>
      </c>
    </row>
    <row r="146" spans="1:5" x14ac:dyDescent="0.3">
      <c r="A146" s="38"/>
      <c r="B146" s="2" t="s">
        <v>126</v>
      </c>
      <c r="C146" s="2">
        <v>4000</v>
      </c>
      <c r="D146" s="2">
        <f t="shared" si="58"/>
        <v>1.6666666666666667</v>
      </c>
      <c r="E146" s="6">
        <f t="shared" si="59"/>
        <v>2</v>
      </c>
    </row>
    <row r="147" spans="1:5" x14ac:dyDescent="0.3">
      <c r="A147" s="38"/>
      <c r="B147" s="2" t="s">
        <v>127</v>
      </c>
      <c r="C147" s="2">
        <v>37000</v>
      </c>
      <c r="D147" s="2">
        <f t="shared" si="58"/>
        <v>15.416666666666666</v>
      </c>
      <c r="E147" s="6">
        <f t="shared" si="59"/>
        <v>16</v>
      </c>
    </row>
    <row r="148" spans="1:5" x14ac:dyDescent="0.3">
      <c r="A148" s="39"/>
      <c r="B148" s="2" t="s">
        <v>128</v>
      </c>
      <c r="C148" s="2">
        <v>1500</v>
      </c>
      <c r="D148" s="2">
        <f t="shared" si="58"/>
        <v>0.625</v>
      </c>
      <c r="E148" s="6">
        <f t="shared" si="59"/>
        <v>1</v>
      </c>
    </row>
    <row r="149" spans="1:5" x14ac:dyDescent="0.3">
      <c r="A149" s="37" t="s">
        <v>174</v>
      </c>
      <c r="B149" s="2" t="s">
        <v>129</v>
      </c>
      <c r="C149" s="2">
        <v>8600</v>
      </c>
      <c r="D149" s="2">
        <f t="shared" si="58"/>
        <v>3.5833333333333335</v>
      </c>
      <c r="E149" s="6">
        <f t="shared" si="59"/>
        <v>4</v>
      </c>
    </row>
    <row r="150" spans="1:5" x14ac:dyDescent="0.3">
      <c r="A150" s="38"/>
      <c r="B150" s="2" t="s">
        <v>130</v>
      </c>
      <c r="C150" s="2">
        <v>10500</v>
      </c>
      <c r="D150" s="2">
        <f t="shared" si="58"/>
        <v>4.375</v>
      </c>
      <c r="E150" s="6">
        <f t="shared" si="59"/>
        <v>5</v>
      </c>
    </row>
    <row r="151" spans="1:5" x14ac:dyDescent="0.3">
      <c r="A151" s="38"/>
      <c r="B151" s="2" t="s">
        <v>134</v>
      </c>
      <c r="C151" s="2">
        <v>7300</v>
      </c>
      <c r="D151" s="2">
        <f t="shared" si="58"/>
        <v>3.0416666666666665</v>
      </c>
      <c r="E151" s="6">
        <f t="shared" si="59"/>
        <v>4</v>
      </c>
    </row>
    <row r="152" spans="1:5" x14ac:dyDescent="0.3">
      <c r="A152" s="39"/>
      <c r="B152" s="2" t="s">
        <v>135</v>
      </c>
      <c r="C152" s="2">
        <v>10500</v>
      </c>
      <c r="D152" s="2">
        <f t="shared" ref="D152:D163" si="60">C152/2400</f>
        <v>4.375</v>
      </c>
      <c r="E152" s="6">
        <f t="shared" si="59"/>
        <v>5</v>
      </c>
    </row>
    <row r="153" spans="1:5" x14ac:dyDescent="0.3">
      <c r="A153" s="37" t="s">
        <v>181</v>
      </c>
      <c r="B153" s="2" t="s">
        <v>136</v>
      </c>
      <c r="C153" s="2">
        <v>6800</v>
      </c>
      <c r="D153" s="2">
        <f t="shared" si="60"/>
        <v>2.8333333333333335</v>
      </c>
      <c r="E153" s="6">
        <f t="shared" si="59"/>
        <v>3</v>
      </c>
    </row>
    <row r="154" spans="1:5" x14ac:dyDescent="0.3">
      <c r="A154" s="38"/>
      <c r="B154" s="2" t="s">
        <v>137</v>
      </c>
      <c r="C154" s="2">
        <v>1900</v>
      </c>
      <c r="D154" s="2">
        <f t="shared" si="60"/>
        <v>0.79166666666666663</v>
      </c>
      <c r="E154" s="6">
        <f t="shared" si="59"/>
        <v>1</v>
      </c>
    </row>
    <row r="155" spans="1:5" x14ac:dyDescent="0.3">
      <c r="A155" s="38"/>
      <c r="B155" s="2" t="s">
        <v>138</v>
      </c>
      <c r="C155" s="2">
        <v>6800</v>
      </c>
      <c r="D155" s="2">
        <f t="shared" si="60"/>
        <v>2.8333333333333335</v>
      </c>
      <c r="E155" s="6">
        <f t="shared" si="59"/>
        <v>3</v>
      </c>
    </row>
    <row r="156" spans="1:5" x14ac:dyDescent="0.3">
      <c r="A156" s="39"/>
      <c r="B156" s="2" t="s">
        <v>139</v>
      </c>
      <c r="C156" s="2">
        <v>1900</v>
      </c>
      <c r="D156" s="2">
        <f t="shared" si="60"/>
        <v>0.79166666666666663</v>
      </c>
      <c r="E156" s="6">
        <f t="shared" si="59"/>
        <v>1</v>
      </c>
    </row>
    <row r="157" spans="1:5" x14ac:dyDescent="0.3">
      <c r="A157" s="37" t="s">
        <v>176</v>
      </c>
      <c r="B157" s="2" t="s">
        <v>140</v>
      </c>
      <c r="C157" s="2">
        <v>2400</v>
      </c>
      <c r="D157" s="2">
        <f t="shared" si="60"/>
        <v>1</v>
      </c>
      <c r="E157" s="6">
        <f t="shared" si="59"/>
        <v>1</v>
      </c>
    </row>
    <row r="158" spans="1:5" x14ac:dyDescent="0.3">
      <c r="A158" s="38"/>
      <c r="B158" s="2" t="s">
        <v>141</v>
      </c>
      <c r="C158" s="2">
        <v>1900</v>
      </c>
      <c r="D158" s="2">
        <f t="shared" si="60"/>
        <v>0.79166666666666663</v>
      </c>
      <c r="E158" s="6">
        <f t="shared" si="59"/>
        <v>1</v>
      </c>
    </row>
    <row r="159" spans="1:5" x14ac:dyDescent="0.3">
      <c r="A159" s="38"/>
      <c r="B159" s="2" t="s">
        <v>96</v>
      </c>
      <c r="C159" s="2">
        <v>2100</v>
      </c>
      <c r="D159" s="2">
        <f t="shared" si="60"/>
        <v>0.875</v>
      </c>
      <c r="E159" s="6">
        <f t="shared" si="59"/>
        <v>1</v>
      </c>
    </row>
    <row r="160" spans="1:5" x14ac:dyDescent="0.3">
      <c r="A160" s="39"/>
      <c r="B160" s="2" t="s">
        <v>97</v>
      </c>
      <c r="C160" s="2">
        <v>1900</v>
      </c>
      <c r="D160" s="2">
        <f t="shared" si="60"/>
        <v>0.79166666666666663</v>
      </c>
      <c r="E160" s="6">
        <f t="shared" si="59"/>
        <v>1</v>
      </c>
    </row>
    <row r="161" spans="1:5" x14ac:dyDescent="0.3">
      <c r="A161" s="37" t="s">
        <v>177</v>
      </c>
      <c r="B161" s="2" t="s">
        <v>98</v>
      </c>
      <c r="C161" s="2">
        <v>7200</v>
      </c>
      <c r="D161" s="2">
        <f t="shared" si="60"/>
        <v>3</v>
      </c>
      <c r="E161" s="6">
        <f t="shared" si="59"/>
        <v>3</v>
      </c>
    </row>
    <row r="162" spans="1:5" x14ac:dyDescent="0.3">
      <c r="A162" s="38"/>
      <c r="B162" s="2" t="s">
        <v>99</v>
      </c>
      <c r="C162" s="2">
        <v>4000</v>
      </c>
      <c r="D162" s="2">
        <f t="shared" si="60"/>
        <v>1.6666666666666667</v>
      </c>
      <c r="E162" s="6">
        <f t="shared" si="59"/>
        <v>2</v>
      </c>
    </row>
    <row r="163" spans="1:5" x14ac:dyDescent="0.3">
      <c r="A163" s="38"/>
      <c r="B163" s="2" t="s">
        <v>100</v>
      </c>
      <c r="C163" s="2">
        <v>7200</v>
      </c>
      <c r="D163" s="2">
        <f t="shared" si="60"/>
        <v>3</v>
      </c>
      <c r="E163" s="6">
        <f t="shared" si="59"/>
        <v>3</v>
      </c>
    </row>
    <row r="164" spans="1:5" x14ac:dyDescent="0.3">
      <c r="A164" s="39"/>
      <c r="B164" s="2"/>
      <c r="C164" s="2">
        <v>4000</v>
      </c>
      <c r="D164" s="2">
        <f t="shared" ref="D164:D175" si="61">C164/2400</f>
        <v>1.6666666666666667</v>
      </c>
      <c r="E164" s="6">
        <f t="shared" si="59"/>
        <v>2</v>
      </c>
    </row>
    <row r="165" spans="1:5" x14ac:dyDescent="0.3">
      <c r="A165" s="37" t="s">
        <v>178</v>
      </c>
      <c r="B165" s="2"/>
      <c r="C165" s="2">
        <v>3000</v>
      </c>
      <c r="D165" s="2">
        <f t="shared" si="61"/>
        <v>1.25</v>
      </c>
      <c r="E165" s="6">
        <f t="shared" si="59"/>
        <v>2</v>
      </c>
    </row>
    <row r="166" spans="1:5" x14ac:dyDescent="0.3">
      <c r="A166" s="38"/>
      <c r="B166" s="2"/>
      <c r="C166" s="2">
        <v>2000</v>
      </c>
      <c r="D166" s="2">
        <f t="shared" si="61"/>
        <v>0.83333333333333337</v>
      </c>
      <c r="E166" s="6">
        <f t="shared" si="59"/>
        <v>1</v>
      </c>
    </row>
    <row r="167" spans="1:5" x14ac:dyDescent="0.3">
      <c r="A167" s="38"/>
      <c r="B167" s="2"/>
      <c r="C167" s="2">
        <v>3000</v>
      </c>
      <c r="D167" s="2">
        <f t="shared" si="61"/>
        <v>1.25</v>
      </c>
      <c r="E167" s="6">
        <f t="shared" si="59"/>
        <v>2</v>
      </c>
    </row>
    <row r="168" spans="1:5" x14ac:dyDescent="0.3">
      <c r="A168" s="39"/>
      <c r="B168" s="2"/>
      <c r="C168" s="2">
        <v>2000</v>
      </c>
      <c r="D168" s="2">
        <f t="shared" si="61"/>
        <v>0.83333333333333337</v>
      </c>
      <c r="E168" s="6">
        <f t="shared" si="59"/>
        <v>1</v>
      </c>
    </row>
    <row r="169" spans="1:5" x14ac:dyDescent="0.3">
      <c r="A169" s="37" t="s">
        <v>179</v>
      </c>
      <c r="B169" s="2"/>
      <c r="C169" s="2">
        <v>5500</v>
      </c>
      <c r="D169" s="2">
        <f t="shared" si="61"/>
        <v>2.2916666666666665</v>
      </c>
      <c r="E169" s="6">
        <f t="shared" si="59"/>
        <v>3</v>
      </c>
    </row>
    <row r="170" spans="1:5" x14ac:dyDescent="0.3">
      <c r="A170" s="38"/>
      <c r="B170" s="2"/>
      <c r="C170" s="2">
        <v>5600</v>
      </c>
      <c r="D170" s="2">
        <f t="shared" si="61"/>
        <v>2.3333333333333335</v>
      </c>
      <c r="E170" s="6">
        <f t="shared" si="59"/>
        <v>3</v>
      </c>
    </row>
    <row r="171" spans="1:5" x14ac:dyDescent="0.3">
      <c r="A171" s="38"/>
      <c r="B171" s="2"/>
      <c r="C171" s="2">
        <v>5500</v>
      </c>
      <c r="D171" s="2">
        <f t="shared" si="61"/>
        <v>2.2916666666666665</v>
      </c>
      <c r="E171" s="6">
        <f t="shared" si="59"/>
        <v>3</v>
      </c>
    </row>
    <row r="172" spans="1:5" x14ac:dyDescent="0.3">
      <c r="A172" s="39"/>
      <c r="B172" s="2"/>
      <c r="C172" s="2">
        <v>5600</v>
      </c>
      <c r="D172" s="2">
        <f t="shared" si="61"/>
        <v>2.3333333333333335</v>
      </c>
      <c r="E172" s="6">
        <f t="shared" si="59"/>
        <v>3</v>
      </c>
    </row>
    <row r="173" spans="1:5" x14ac:dyDescent="0.3">
      <c r="A173" s="37" t="s">
        <v>180</v>
      </c>
      <c r="B173" s="2"/>
      <c r="C173" s="2">
        <v>2800</v>
      </c>
      <c r="D173" s="2">
        <f t="shared" si="61"/>
        <v>1.1666666666666667</v>
      </c>
      <c r="E173" s="6">
        <f t="shared" si="59"/>
        <v>2</v>
      </c>
    </row>
    <row r="174" spans="1:5" x14ac:dyDescent="0.3">
      <c r="A174" s="38"/>
      <c r="B174" s="2"/>
      <c r="C174" s="2">
        <v>1900</v>
      </c>
      <c r="D174" s="2">
        <f t="shared" si="61"/>
        <v>0.79166666666666663</v>
      </c>
      <c r="E174" s="6">
        <f t="shared" si="59"/>
        <v>1</v>
      </c>
    </row>
    <row r="175" spans="1:5" x14ac:dyDescent="0.3">
      <c r="A175" s="38"/>
      <c r="B175" s="2"/>
      <c r="C175" s="2">
        <v>2800</v>
      </c>
      <c r="D175" s="2">
        <f t="shared" si="61"/>
        <v>1.1666666666666667</v>
      </c>
      <c r="E175" s="6">
        <f t="shared" si="59"/>
        <v>2</v>
      </c>
    </row>
    <row r="176" spans="1:5" x14ac:dyDescent="0.3">
      <c r="A176" s="39"/>
      <c r="B176" s="2"/>
      <c r="C176" s="2">
        <v>1900</v>
      </c>
      <c r="D176" s="2">
        <f t="shared" ref="D176:D180" si="62">C176/2400</f>
        <v>0.79166666666666663</v>
      </c>
      <c r="E176" s="6">
        <f t="shared" si="59"/>
        <v>1</v>
      </c>
    </row>
    <row r="177" spans="1:8" x14ac:dyDescent="0.3">
      <c r="A177" s="2" t="s">
        <v>182</v>
      </c>
      <c r="B177" s="2"/>
      <c r="C177" s="2">
        <v>5300</v>
      </c>
      <c r="D177" s="2">
        <f t="shared" si="62"/>
        <v>2.2083333333333335</v>
      </c>
      <c r="E177" s="6">
        <f t="shared" si="59"/>
        <v>3</v>
      </c>
    </row>
    <row r="178" spans="1:8" x14ac:dyDescent="0.3">
      <c r="A178" s="2"/>
      <c r="B178" s="2"/>
      <c r="C178" s="2">
        <v>1200</v>
      </c>
      <c r="D178" s="2">
        <f t="shared" si="62"/>
        <v>0.5</v>
      </c>
      <c r="E178" s="6">
        <f t="shared" si="59"/>
        <v>1</v>
      </c>
    </row>
    <row r="179" spans="1:8" x14ac:dyDescent="0.3">
      <c r="A179" s="2"/>
      <c r="B179" s="2"/>
      <c r="C179" s="2">
        <v>5300</v>
      </c>
      <c r="D179" s="2">
        <f t="shared" si="62"/>
        <v>2.2083333333333335</v>
      </c>
      <c r="E179" s="6">
        <f t="shared" si="59"/>
        <v>3</v>
      </c>
    </row>
    <row r="180" spans="1:8" x14ac:dyDescent="0.3">
      <c r="A180" s="2"/>
      <c r="B180" s="2"/>
      <c r="C180" s="2">
        <v>1200</v>
      </c>
      <c r="D180" s="2">
        <f t="shared" si="62"/>
        <v>0.5</v>
      </c>
      <c r="E180" s="6">
        <f t="shared" si="59"/>
        <v>1</v>
      </c>
    </row>
    <row r="181" spans="1:8" x14ac:dyDescent="0.3">
      <c r="A181" s="2" t="s">
        <v>145</v>
      </c>
      <c r="B181" s="2"/>
      <c r="C181" s="2">
        <v>2400</v>
      </c>
      <c r="D181" s="2">
        <f t="shared" ref="D181" si="63">C181/2400</f>
        <v>1</v>
      </c>
      <c r="E181" s="6">
        <f t="shared" si="59"/>
        <v>1</v>
      </c>
    </row>
    <row r="182" spans="1:8" x14ac:dyDescent="0.3">
      <c r="A182" s="2" t="s">
        <v>23</v>
      </c>
      <c r="B182" s="2"/>
      <c r="C182" s="2"/>
      <c r="D182" s="2"/>
      <c r="E182" s="18">
        <f>SUM(E129:E181)</f>
        <v>124</v>
      </c>
    </row>
    <row r="185" spans="1:8" x14ac:dyDescent="0.3">
      <c r="H185" s="1" t="s">
        <v>37</v>
      </c>
    </row>
    <row r="186" spans="1:8" x14ac:dyDescent="0.3">
      <c r="H186" s="3" t="s">
        <v>46</v>
      </c>
    </row>
    <row r="187" spans="1:8" ht="20.25" x14ac:dyDescent="0.3">
      <c r="A187" s="41" t="s">
        <v>36</v>
      </c>
      <c r="B187" s="41"/>
      <c r="C187" s="41"/>
      <c r="D187" s="41"/>
      <c r="E187" s="41"/>
      <c r="F187" s="41"/>
      <c r="G187" s="13" t="s">
        <v>52</v>
      </c>
      <c r="H187" s="13"/>
    </row>
    <row r="188" spans="1:8" x14ac:dyDescent="0.3">
      <c r="A188" s="2" t="s">
        <v>14</v>
      </c>
      <c r="B188" s="2" t="s">
        <v>15</v>
      </c>
      <c r="C188" s="14" t="s">
        <v>66</v>
      </c>
      <c r="D188" s="14" t="s">
        <v>67</v>
      </c>
      <c r="E188" s="2" t="s">
        <v>113</v>
      </c>
      <c r="F188" s="2" t="s">
        <v>38</v>
      </c>
      <c r="G188" s="6" t="s">
        <v>50</v>
      </c>
      <c r="H188" s="10"/>
    </row>
    <row r="189" spans="1:8" x14ac:dyDescent="0.3">
      <c r="A189" s="37" t="s">
        <v>95</v>
      </c>
      <c r="B189" s="2" t="s">
        <v>16</v>
      </c>
      <c r="C189" s="14">
        <v>7.2</v>
      </c>
      <c r="D189" s="14">
        <v>3.5</v>
      </c>
      <c r="E189" s="2">
        <f>C189*D189</f>
        <v>25.2</v>
      </c>
      <c r="F189" s="2">
        <f t="shared" ref="F189:F192" si="64">E189*0.3025</f>
        <v>7.6229999999999993</v>
      </c>
      <c r="G189" s="6"/>
      <c r="H189" s="10"/>
    </row>
    <row r="190" spans="1:8" x14ac:dyDescent="0.3">
      <c r="A190" s="38"/>
      <c r="B190" s="2" t="s">
        <v>17</v>
      </c>
      <c r="C190" s="14">
        <v>2.1</v>
      </c>
      <c r="D190" s="14">
        <v>3.5</v>
      </c>
      <c r="E190" s="2">
        <f t="shared" ref="E190:E192" si="65">C190*D190</f>
        <v>7.3500000000000005</v>
      </c>
      <c r="F190" s="2">
        <f t="shared" si="64"/>
        <v>2.2233749999999999</v>
      </c>
      <c r="G190" s="6"/>
      <c r="H190" s="10"/>
    </row>
    <row r="191" spans="1:8" x14ac:dyDescent="0.3">
      <c r="A191" s="38"/>
      <c r="B191" s="2" t="s">
        <v>18</v>
      </c>
      <c r="C191" s="14">
        <v>1.4</v>
      </c>
      <c r="D191" s="14">
        <v>3.5</v>
      </c>
      <c r="E191" s="2">
        <f t="shared" si="65"/>
        <v>4.8999999999999995</v>
      </c>
      <c r="F191" s="2">
        <f t="shared" si="64"/>
        <v>1.4822499999999998</v>
      </c>
      <c r="G191" s="6"/>
      <c r="H191" s="10"/>
    </row>
    <row r="192" spans="1:8" x14ac:dyDescent="0.3">
      <c r="A192" s="38"/>
      <c r="B192" s="2" t="s">
        <v>19</v>
      </c>
      <c r="C192" s="14">
        <v>5.6</v>
      </c>
      <c r="D192" s="14">
        <v>3.5</v>
      </c>
      <c r="E192" s="2">
        <f t="shared" si="65"/>
        <v>19.599999999999998</v>
      </c>
      <c r="F192" s="2">
        <f t="shared" si="64"/>
        <v>5.9289999999999994</v>
      </c>
      <c r="G192" s="6"/>
      <c r="H192" s="10"/>
    </row>
    <row r="193" spans="1:8" x14ac:dyDescent="0.3">
      <c r="A193" s="38"/>
      <c r="B193" s="2"/>
      <c r="C193" s="14">
        <v>7.7</v>
      </c>
      <c r="D193" s="14">
        <v>3.5</v>
      </c>
      <c r="E193" s="2">
        <f t="shared" ref="E193:E219" si="66">C193*D193</f>
        <v>26.95</v>
      </c>
      <c r="F193" s="2">
        <f t="shared" ref="F193:F219" si="67">E193*0.3025</f>
        <v>8.1523749999999993</v>
      </c>
      <c r="G193" s="6"/>
      <c r="H193" s="10"/>
    </row>
    <row r="194" spans="1:8" x14ac:dyDescent="0.3">
      <c r="A194" s="38"/>
      <c r="B194" s="2"/>
      <c r="C194" s="14">
        <v>1.6</v>
      </c>
      <c r="D194" s="14">
        <v>3.5</v>
      </c>
      <c r="E194" s="2">
        <f t="shared" si="66"/>
        <v>5.6000000000000005</v>
      </c>
      <c r="F194" s="2">
        <f t="shared" si="67"/>
        <v>1.6940000000000002</v>
      </c>
      <c r="G194" s="6"/>
      <c r="H194" s="10"/>
    </row>
    <row r="195" spans="1:8" x14ac:dyDescent="0.3">
      <c r="A195" s="38"/>
      <c r="B195" s="2"/>
      <c r="C195" s="14">
        <v>5.3</v>
      </c>
      <c r="D195" s="14">
        <v>3.5</v>
      </c>
      <c r="E195" s="2">
        <f t="shared" si="66"/>
        <v>18.55</v>
      </c>
      <c r="F195" s="2">
        <f t="shared" si="67"/>
        <v>5.6113749999999998</v>
      </c>
      <c r="G195" s="6"/>
      <c r="H195" s="10"/>
    </row>
    <row r="196" spans="1:8" x14ac:dyDescent="0.3">
      <c r="A196" s="38"/>
      <c r="B196" s="2"/>
      <c r="C196" s="14">
        <v>8.4</v>
      </c>
      <c r="D196" s="14">
        <v>3.5</v>
      </c>
      <c r="E196" s="2">
        <f t="shared" si="66"/>
        <v>29.400000000000002</v>
      </c>
      <c r="F196" s="2">
        <f t="shared" si="67"/>
        <v>8.8934999999999995</v>
      </c>
      <c r="G196" s="6"/>
      <c r="H196" s="10"/>
    </row>
    <row r="197" spans="1:8" x14ac:dyDescent="0.3">
      <c r="A197" s="38"/>
      <c r="B197" s="2"/>
      <c r="C197" s="14">
        <v>3.7</v>
      </c>
      <c r="D197" s="14">
        <v>3.5</v>
      </c>
      <c r="E197" s="2">
        <f t="shared" si="66"/>
        <v>12.950000000000001</v>
      </c>
      <c r="F197" s="2">
        <f t="shared" si="67"/>
        <v>3.9173750000000003</v>
      </c>
      <c r="G197" s="6"/>
      <c r="H197" s="10"/>
    </row>
    <row r="198" spans="1:8" x14ac:dyDescent="0.3">
      <c r="A198" s="38"/>
      <c r="B198" s="2"/>
      <c r="C198" s="14">
        <v>3.6</v>
      </c>
      <c r="D198" s="14">
        <v>3.5</v>
      </c>
      <c r="E198" s="2">
        <f t="shared" si="66"/>
        <v>12.6</v>
      </c>
      <c r="F198" s="2">
        <f t="shared" si="67"/>
        <v>3.8114999999999997</v>
      </c>
      <c r="G198" s="6"/>
      <c r="H198" s="10"/>
    </row>
    <row r="199" spans="1:8" x14ac:dyDescent="0.3">
      <c r="A199" s="39"/>
      <c r="B199" s="2"/>
      <c r="C199" s="14">
        <v>2.5</v>
      </c>
      <c r="D199" s="14">
        <v>3.5</v>
      </c>
      <c r="E199" s="2">
        <f t="shared" si="66"/>
        <v>8.75</v>
      </c>
      <c r="F199" s="2">
        <f t="shared" si="67"/>
        <v>2.6468750000000001</v>
      </c>
      <c r="G199" s="6"/>
      <c r="H199" s="10"/>
    </row>
    <row r="200" spans="1:8" x14ac:dyDescent="0.3">
      <c r="A200" s="37" t="s">
        <v>172</v>
      </c>
      <c r="B200" s="2"/>
      <c r="C200" s="14">
        <v>3.7</v>
      </c>
      <c r="D200" s="14">
        <v>2.8</v>
      </c>
      <c r="E200" s="2">
        <f t="shared" si="66"/>
        <v>10.36</v>
      </c>
      <c r="F200" s="2">
        <f t="shared" si="67"/>
        <v>3.1338999999999997</v>
      </c>
      <c r="G200" s="6"/>
      <c r="H200" s="10"/>
    </row>
    <row r="201" spans="1:8" x14ac:dyDescent="0.3">
      <c r="A201" s="38"/>
      <c r="B201" s="2"/>
      <c r="C201" s="14">
        <v>4</v>
      </c>
      <c r="D201" s="14">
        <v>2.8</v>
      </c>
      <c r="E201" s="2">
        <f t="shared" si="66"/>
        <v>11.2</v>
      </c>
      <c r="F201" s="2">
        <f t="shared" si="67"/>
        <v>3.3879999999999999</v>
      </c>
      <c r="G201" s="6"/>
      <c r="H201" s="10"/>
    </row>
    <row r="202" spans="1:8" x14ac:dyDescent="0.3">
      <c r="A202" s="38"/>
      <c r="B202" s="2"/>
      <c r="C202" s="14">
        <v>3.7</v>
      </c>
      <c r="D202" s="14">
        <v>2.8</v>
      </c>
      <c r="E202" s="2">
        <f t="shared" si="66"/>
        <v>10.36</v>
      </c>
      <c r="F202" s="2">
        <f t="shared" si="67"/>
        <v>3.1338999999999997</v>
      </c>
      <c r="G202" s="6"/>
      <c r="H202" s="10"/>
    </row>
    <row r="203" spans="1:8" x14ac:dyDescent="0.3">
      <c r="A203" s="39"/>
      <c r="B203" s="2"/>
      <c r="C203" s="14">
        <v>1</v>
      </c>
      <c r="D203" s="14">
        <v>2.8</v>
      </c>
      <c r="E203" s="2">
        <f t="shared" si="66"/>
        <v>2.8</v>
      </c>
      <c r="F203" s="2">
        <f t="shared" si="67"/>
        <v>0.84699999999999998</v>
      </c>
      <c r="G203" s="6"/>
      <c r="H203" s="10"/>
    </row>
    <row r="204" spans="1:8" x14ac:dyDescent="0.3">
      <c r="A204" s="37" t="s">
        <v>173</v>
      </c>
      <c r="B204" s="2"/>
      <c r="C204" s="14">
        <v>3.7</v>
      </c>
      <c r="D204" s="14">
        <v>2.8</v>
      </c>
      <c r="E204" s="2">
        <f t="shared" si="66"/>
        <v>10.36</v>
      </c>
      <c r="F204" s="2">
        <f t="shared" si="67"/>
        <v>3.1338999999999997</v>
      </c>
      <c r="G204" s="6"/>
      <c r="H204" s="10"/>
    </row>
    <row r="205" spans="1:8" x14ac:dyDescent="0.3">
      <c r="A205" s="38"/>
      <c r="B205" s="2"/>
      <c r="C205" s="14">
        <v>4</v>
      </c>
      <c r="D205" s="14">
        <v>2.8</v>
      </c>
      <c r="E205" s="2">
        <f t="shared" si="66"/>
        <v>11.2</v>
      </c>
      <c r="F205" s="2">
        <f t="shared" si="67"/>
        <v>3.3879999999999999</v>
      </c>
      <c r="G205" s="6"/>
      <c r="H205" s="10"/>
    </row>
    <row r="206" spans="1:8" x14ac:dyDescent="0.3">
      <c r="A206" s="38"/>
      <c r="B206" s="2"/>
      <c r="C206" s="14">
        <v>3.7</v>
      </c>
      <c r="D206" s="14">
        <v>2.8</v>
      </c>
      <c r="E206" s="2">
        <f t="shared" si="66"/>
        <v>10.36</v>
      </c>
      <c r="F206" s="2">
        <f t="shared" si="67"/>
        <v>3.1338999999999997</v>
      </c>
      <c r="G206" s="6"/>
      <c r="H206" s="10"/>
    </row>
    <row r="207" spans="1:8" x14ac:dyDescent="0.3">
      <c r="A207" s="39"/>
      <c r="B207" s="2"/>
      <c r="C207" s="14">
        <v>1</v>
      </c>
      <c r="D207" s="14">
        <v>2.8</v>
      </c>
      <c r="E207" s="2">
        <f t="shared" si="66"/>
        <v>2.8</v>
      </c>
      <c r="F207" s="2">
        <f t="shared" si="67"/>
        <v>0.84699999999999998</v>
      </c>
      <c r="G207" s="6"/>
      <c r="H207" s="10"/>
    </row>
    <row r="208" spans="1:8" x14ac:dyDescent="0.3">
      <c r="A208" s="37" t="s">
        <v>174</v>
      </c>
      <c r="B208" s="2"/>
      <c r="C208" s="14">
        <v>8.6</v>
      </c>
      <c r="D208" s="14">
        <v>3.5</v>
      </c>
      <c r="E208" s="2">
        <f t="shared" si="66"/>
        <v>30.099999999999998</v>
      </c>
      <c r="F208" s="2">
        <f t="shared" si="67"/>
        <v>9.1052499999999998</v>
      </c>
      <c r="G208" s="6"/>
      <c r="H208" s="10"/>
    </row>
    <row r="209" spans="1:8" x14ac:dyDescent="0.3">
      <c r="A209" s="38"/>
      <c r="B209" s="2"/>
      <c r="C209" s="14">
        <v>11</v>
      </c>
      <c r="D209" s="14">
        <v>3.5</v>
      </c>
      <c r="E209" s="2">
        <f t="shared" si="66"/>
        <v>38.5</v>
      </c>
      <c r="F209" s="2">
        <f t="shared" si="67"/>
        <v>11.64625</v>
      </c>
      <c r="G209" s="6"/>
      <c r="H209" s="10"/>
    </row>
    <row r="210" spans="1:8" x14ac:dyDescent="0.3">
      <c r="A210" s="38"/>
      <c r="B210" s="2"/>
      <c r="C210" s="14">
        <v>3</v>
      </c>
      <c r="D210" s="14">
        <v>3.5</v>
      </c>
      <c r="E210" s="2">
        <f t="shared" si="66"/>
        <v>10.5</v>
      </c>
      <c r="F210" s="2">
        <f t="shared" si="67"/>
        <v>3.17625</v>
      </c>
      <c r="G210" s="6"/>
      <c r="H210" s="10"/>
    </row>
    <row r="211" spans="1:8" x14ac:dyDescent="0.3">
      <c r="A211" s="39"/>
      <c r="B211" s="2"/>
      <c r="C211" s="14">
        <v>11</v>
      </c>
      <c r="D211" s="14">
        <v>3.5</v>
      </c>
      <c r="E211" s="2">
        <f t="shared" si="66"/>
        <v>38.5</v>
      </c>
      <c r="F211" s="2">
        <f t="shared" si="67"/>
        <v>11.64625</v>
      </c>
      <c r="G211" s="6"/>
      <c r="H211" s="10"/>
    </row>
    <row r="212" spans="1:8" x14ac:dyDescent="0.3">
      <c r="A212" s="37" t="s">
        <v>185</v>
      </c>
      <c r="B212" s="2"/>
      <c r="C212" s="14">
        <v>6.8</v>
      </c>
      <c r="D212" s="14">
        <v>3.5</v>
      </c>
      <c r="E212" s="2">
        <f t="shared" si="66"/>
        <v>23.8</v>
      </c>
      <c r="F212" s="2">
        <f t="shared" si="67"/>
        <v>7.1994999999999996</v>
      </c>
      <c r="G212" s="6"/>
      <c r="H212" s="10"/>
    </row>
    <row r="213" spans="1:8" x14ac:dyDescent="0.3">
      <c r="A213" s="38"/>
      <c r="B213" s="2"/>
      <c r="C213" s="14">
        <v>1.9</v>
      </c>
      <c r="D213" s="14">
        <v>3.5</v>
      </c>
      <c r="E213" s="2">
        <f t="shared" si="66"/>
        <v>6.6499999999999995</v>
      </c>
      <c r="F213" s="2">
        <f t="shared" si="67"/>
        <v>2.011625</v>
      </c>
      <c r="G213" s="6"/>
      <c r="H213" s="10"/>
    </row>
    <row r="214" spans="1:8" x14ac:dyDescent="0.3">
      <c r="A214" s="38"/>
      <c r="B214" s="2"/>
      <c r="C214" s="14">
        <v>6.8</v>
      </c>
      <c r="D214" s="14">
        <v>3.5</v>
      </c>
      <c r="E214" s="2">
        <f t="shared" si="66"/>
        <v>23.8</v>
      </c>
      <c r="F214" s="2">
        <f t="shared" si="67"/>
        <v>7.1994999999999996</v>
      </c>
      <c r="G214" s="6"/>
      <c r="H214" s="10"/>
    </row>
    <row r="215" spans="1:8" x14ac:dyDescent="0.3">
      <c r="A215" s="39"/>
      <c r="B215" s="2"/>
      <c r="C215" s="14">
        <v>1.9</v>
      </c>
      <c r="D215" s="14">
        <v>3.5</v>
      </c>
      <c r="E215" s="2">
        <f t="shared" si="66"/>
        <v>6.6499999999999995</v>
      </c>
      <c r="F215" s="2">
        <f t="shared" si="67"/>
        <v>2.011625</v>
      </c>
      <c r="G215" s="6"/>
      <c r="H215" s="10"/>
    </row>
    <row r="216" spans="1:8" x14ac:dyDescent="0.3">
      <c r="A216" s="37" t="s">
        <v>176</v>
      </c>
      <c r="B216" s="2"/>
      <c r="C216" s="14">
        <v>2.4</v>
      </c>
      <c r="D216" s="14">
        <v>3.5</v>
      </c>
      <c r="E216" s="2">
        <f t="shared" si="66"/>
        <v>8.4</v>
      </c>
      <c r="F216" s="2">
        <f t="shared" si="67"/>
        <v>2.5409999999999999</v>
      </c>
      <c r="G216" s="6"/>
      <c r="H216" s="10"/>
    </row>
    <row r="217" spans="1:8" x14ac:dyDescent="0.3">
      <c r="A217" s="38"/>
      <c r="B217" s="2"/>
      <c r="C217" s="14">
        <v>1.9</v>
      </c>
      <c r="D217" s="14">
        <v>3.5</v>
      </c>
      <c r="E217" s="2">
        <f t="shared" si="66"/>
        <v>6.6499999999999995</v>
      </c>
      <c r="F217" s="2">
        <f t="shared" si="67"/>
        <v>2.011625</v>
      </c>
      <c r="G217" s="6"/>
      <c r="H217" s="10"/>
    </row>
    <row r="218" spans="1:8" x14ac:dyDescent="0.3">
      <c r="A218" s="38"/>
      <c r="B218" s="2"/>
      <c r="C218" s="14">
        <v>2.1</v>
      </c>
      <c r="D218" s="14">
        <v>3.5</v>
      </c>
      <c r="E218" s="2">
        <f t="shared" si="66"/>
        <v>7.3500000000000005</v>
      </c>
      <c r="F218" s="2">
        <f t="shared" si="67"/>
        <v>2.2233749999999999</v>
      </c>
      <c r="G218" s="6"/>
      <c r="H218" s="10"/>
    </row>
    <row r="219" spans="1:8" x14ac:dyDescent="0.3">
      <c r="A219" s="39"/>
      <c r="B219" s="2"/>
      <c r="C219" s="14">
        <v>1.9</v>
      </c>
      <c r="D219" s="14">
        <v>3.5</v>
      </c>
      <c r="E219" s="2">
        <f t="shared" si="66"/>
        <v>6.6499999999999995</v>
      </c>
      <c r="F219" s="2">
        <f t="shared" si="67"/>
        <v>2.011625</v>
      </c>
      <c r="G219" s="6"/>
      <c r="H219" s="10"/>
    </row>
    <row r="220" spans="1:8" x14ac:dyDescent="0.3">
      <c r="A220" s="37" t="s">
        <v>177</v>
      </c>
      <c r="B220" s="2"/>
      <c r="C220" s="14">
        <v>7.2</v>
      </c>
      <c r="D220" s="14">
        <v>3.5</v>
      </c>
      <c r="E220" s="2">
        <f t="shared" ref="E220:E231" si="68">C220*D220</f>
        <v>25.2</v>
      </c>
      <c r="F220" s="2">
        <f t="shared" ref="F220:F231" si="69">E220*0.3025</f>
        <v>7.6229999999999993</v>
      </c>
      <c r="G220" s="6"/>
      <c r="H220" s="10"/>
    </row>
    <row r="221" spans="1:8" x14ac:dyDescent="0.3">
      <c r="A221" s="38"/>
      <c r="B221" s="2"/>
      <c r="C221" s="14">
        <v>4</v>
      </c>
      <c r="D221" s="14">
        <v>3.5</v>
      </c>
      <c r="E221" s="2">
        <f t="shared" si="68"/>
        <v>14</v>
      </c>
      <c r="F221" s="2">
        <f t="shared" si="69"/>
        <v>4.2349999999999994</v>
      </c>
      <c r="G221" s="6"/>
      <c r="H221" s="10"/>
    </row>
    <row r="222" spans="1:8" x14ac:dyDescent="0.3">
      <c r="A222" s="38"/>
      <c r="B222" s="2"/>
      <c r="C222" s="14">
        <v>7.2</v>
      </c>
      <c r="D222" s="14">
        <v>3.5</v>
      </c>
      <c r="E222" s="2">
        <f t="shared" si="68"/>
        <v>25.2</v>
      </c>
      <c r="F222" s="2">
        <f t="shared" si="69"/>
        <v>7.6229999999999993</v>
      </c>
      <c r="G222" s="6"/>
      <c r="H222" s="10"/>
    </row>
    <row r="223" spans="1:8" x14ac:dyDescent="0.3">
      <c r="A223" s="39"/>
      <c r="B223" s="2"/>
      <c r="C223" s="14">
        <v>4</v>
      </c>
      <c r="D223" s="14">
        <v>3.5</v>
      </c>
      <c r="E223" s="2">
        <f t="shared" si="68"/>
        <v>14</v>
      </c>
      <c r="F223" s="2">
        <f t="shared" si="69"/>
        <v>4.2349999999999994</v>
      </c>
      <c r="G223" s="6"/>
      <c r="H223" s="10"/>
    </row>
    <row r="224" spans="1:8" x14ac:dyDescent="0.3">
      <c r="A224" s="37" t="s">
        <v>178</v>
      </c>
      <c r="B224" s="2"/>
      <c r="C224" s="14">
        <v>3</v>
      </c>
      <c r="D224" s="14">
        <v>3.5</v>
      </c>
      <c r="E224" s="2">
        <f t="shared" si="68"/>
        <v>10.5</v>
      </c>
      <c r="F224" s="2">
        <f t="shared" si="69"/>
        <v>3.17625</v>
      </c>
      <c r="G224" s="6"/>
      <c r="H224" s="10"/>
    </row>
    <row r="225" spans="1:8" x14ac:dyDescent="0.3">
      <c r="A225" s="38"/>
      <c r="B225" s="2"/>
      <c r="C225" s="14">
        <v>2</v>
      </c>
      <c r="D225" s="14">
        <v>3.5</v>
      </c>
      <c r="E225" s="2">
        <f t="shared" si="68"/>
        <v>7</v>
      </c>
      <c r="F225" s="2">
        <f t="shared" si="69"/>
        <v>2.1174999999999997</v>
      </c>
      <c r="G225" s="6"/>
      <c r="H225" s="10"/>
    </row>
    <row r="226" spans="1:8" x14ac:dyDescent="0.3">
      <c r="A226" s="38"/>
      <c r="B226" s="2"/>
      <c r="C226" s="14">
        <v>3</v>
      </c>
      <c r="D226" s="14">
        <v>3.5</v>
      </c>
      <c r="E226" s="2">
        <f t="shared" si="68"/>
        <v>10.5</v>
      </c>
      <c r="F226" s="2">
        <f t="shared" si="69"/>
        <v>3.17625</v>
      </c>
      <c r="G226" s="6"/>
      <c r="H226" s="10"/>
    </row>
    <row r="227" spans="1:8" x14ac:dyDescent="0.3">
      <c r="A227" s="39"/>
      <c r="B227" s="2"/>
      <c r="C227" s="14">
        <v>2</v>
      </c>
      <c r="D227" s="14">
        <v>3.5</v>
      </c>
      <c r="E227" s="2">
        <f t="shared" si="68"/>
        <v>7</v>
      </c>
      <c r="F227" s="2">
        <f t="shared" si="69"/>
        <v>2.1174999999999997</v>
      </c>
      <c r="G227" s="6"/>
      <c r="H227" s="10"/>
    </row>
    <row r="228" spans="1:8" x14ac:dyDescent="0.3">
      <c r="A228" s="37" t="s">
        <v>179</v>
      </c>
      <c r="B228" s="2"/>
      <c r="C228" s="14">
        <v>5.5</v>
      </c>
      <c r="D228" s="14">
        <v>3.5</v>
      </c>
      <c r="E228" s="2">
        <f t="shared" si="68"/>
        <v>19.25</v>
      </c>
      <c r="F228" s="2">
        <f t="shared" si="69"/>
        <v>5.8231250000000001</v>
      </c>
      <c r="G228" s="6"/>
      <c r="H228" s="10"/>
    </row>
    <row r="229" spans="1:8" x14ac:dyDescent="0.3">
      <c r="A229" s="38"/>
      <c r="B229" s="2"/>
      <c r="C229" s="14">
        <v>5.6</v>
      </c>
      <c r="D229" s="14">
        <v>3.5</v>
      </c>
      <c r="E229" s="2">
        <f t="shared" si="68"/>
        <v>19.599999999999998</v>
      </c>
      <c r="F229" s="2">
        <f t="shared" si="69"/>
        <v>5.9289999999999994</v>
      </c>
      <c r="G229" s="6"/>
      <c r="H229" s="10"/>
    </row>
    <row r="230" spans="1:8" x14ac:dyDescent="0.3">
      <c r="A230" s="38"/>
      <c r="B230" s="2"/>
      <c r="C230" s="14">
        <v>5.5</v>
      </c>
      <c r="D230" s="14">
        <v>3.5</v>
      </c>
      <c r="E230" s="2">
        <f t="shared" si="68"/>
        <v>19.25</v>
      </c>
      <c r="F230" s="2">
        <f t="shared" si="69"/>
        <v>5.8231250000000001</v>
      </c>
      <c r="G230" s="6"/>
      <c r="H230" s="10"/>
    </row>
    <row r="231" spans="1:8" x14ac:dyDescent="0.3">
      <c r="A231" s="39"/>
      <c r="B231" s="2"/>
      <c r="C231" s="14">
        <v>5.6</v>
      </c>
      <c r="D231" s="14">
        <v>3.5</v>
      </c>
      <c r="E231" s="2">
        <f t="shared" si="68"/>
        <v>19.599999999999998</v>
      </c>
      <c r="F231" s="2">
        <f t="shared" si="69"/>
        <v>5.9289999999999994</v>
      </c>
      <c r="G231" s="6"/>
      <c r="H231" s="10"/>
    </row>
    <row r="232" spans="1:8" x14ac:dyDescent="0.3">
      <c r="A232" s="37" t="s">
        <v>182</v>
      </c>
      <c r="B232" s="2"/>
      <c r="C232" s="14">
        <v>5.2</v>
      </c>
      <c r="D232" s="14">
        <v>3.5</v>
      </c>
      <c r="E232" s="2">
        <f t="shared" ref="E232:E239" si="70">C232*D232</f>
        <v>18.2</v>
      </c>
      <c r="F232" s="2">
        <f t="shared" ref="F232:F239" si="71">E232*0.3025</f>
        <v>5.5054999999999996</v>
      </c>
      <c r="G232" s="6"/>
      <c r="H232" s="10"/>
    </row>
    <row r="233" spans="1:8" x14ac:dyDescent="0.3">
      <c r="A233" s="38"/>
      <c r="B233" s="2"/>
      <c r="C233" s="14">
        <v>1.2</v>
      </c>
      <c r="D233" s="14">
        <v>3.5</v>
      </c>
      <c r="E233" s="2">
        <f t="shared" si="70"/>
        <v>4.2</v>
      </c>
      <c r="F233" s="2">
        <f t="shared" si="71"/>
        <v>1.2705</v>
      </c>
      <c r="G233" s="6"/>
      <c r="H233" s="10"/>
    </row>
    <row r="234" spans="1:8" x14ac:dyDescent="0.3">
      <c r="A234" s="38"/>
      <c r="B234" s="2"/>
      <c r="C234" s="14">
        <v>5.2</v>
      </c>
      <c r="D234" s="14">
        <v>3.5</v>
      </c>
      <c r="E234" s="2">
        <f t="shared" si="70"/>
        <v>18.2</v>
      </c>
      <c r="F234" s="2">
        <f t="shared" si="71"/>
        <v>5.5054999999999996</v>
      </c>
      <c r="G234" s="6"/>
      <c r="H234" s="10"/>
    </row>
    <row r="235" spans="1:8" x14ac:dyDescent="0.3">
      <c r="A235" s="39"/>
      <c r="B235" s="2"/>
      <c r="C235" s="14">
        <v>1.2</v>
      </c>
      <c r="D235" s="14">
        <v>3.5</v>
      </c>
      <c r="E235" s="2">
        <f t="shared" si="70"/>
        <v>4.2</v>
      </c>
      <c r="F235" s="2">
        <f t="shared" si="71"/>
        <v>1.2705</v>
      </c>
      <c r="G235" s="6"/>
      <c r="H235" s="10"/>
    </row>
    <row r="236" spans="1:8" x14ac:dyDescent="0.3">
      <c r="A236" s="23" t="s">
        <v>180</v>
      </c>
      <c r="B236" s="2"/>
      <c r="C236" s="14">
        <v>2.8</v>
      </c>
      <c r="D236" s="14">
        <v>3.5</v>
      </c>
      <c r="E236" s="2">
        <f t="shared" si="70"/>
        <v>9.7999999999999989</v>
      </c>
      <c r="F236" s="2">
        <f t="shared" si="71"/>
        <v>2.9644999999999997</v>
      </c>
      <c r="G236" s="6"/>
      <c r="H236" s="10"/>
    </row>
    <row r="237" spans="1:8" x14ac:dyDescent="0.3">
      <c r="A237" s="23"/>
      <c r="B237" s="2"/>
      <c r="C237" s="14">
        <v>1.9</v>
      </c>
      <c r="D237" s="14">
        <v>3.5</v>
      </c>
      <c r="E237" s="2">
        <f t="shared" si="70"/>
        <v>6.6499999999999995</v>
      </c>
      <c r="F237" s="2">
        <f t="shared" si="71"/>
        <v>2.011625</v>
      </c>
      <c r="G237" s="6"/>
      <c r="H237" s="10"/>
    </row>
    <row r="238" spans="1:8" x14ac:dyDescent="0.3">
      <c r="A238" s="23"/>
      <c r="B238" s="2"/>
      <c r="C238" s="14">
        <v>2.8</v>
      </c>
      <c r="D238" s="14">
        <v>3.5</v>
      </c>
      <c r="E238" s="2">
        <f t="shared" si="70"/>
        <v>9.7999999999999989</v>
      </c>
      <c r="F238" s="2">
        <f t="shared" si="71"/>
        <v>2.9644999999999997</v>
      </c>
      <c r="G238" s="6"/>
      <c r="H238" s="10"/>
    </row>
    <row r="239" spans="1:8" x14ac:dyDescent="0.3">
      <c r="A239" s="23"/>
      <c r="B239" s="2"/>
      <c r="C239" s="14">
        <v>1.9</v>
      </c>
      <c r="D239" s="14">
        <v>3.5</v>
      </c>
      <c r="E239" s="2">
        <f t="shared" si="70"/>
        <v>6.6499999999999995</v>
      </c>
      <c r="F239" s="2">
        <f t="shared" si="71"/>
        <v>2.011625</v>
      </c>
      <c r="G239" s="6"/>
      <c r="H239" s="10"/>
    </row>
    <row r="240" spans="1:8" x14ac:dyDescent="0.3">
      <c r="A240" s="2" t="s">
        <v>23</v>
      </c>
      <c r="B240" s="2"/>
      <c r="C240" s="14"/>
      <c r="D240" s="14"/>
      <c r="E240" s="2"/>
      <c r="F240" s="2">
        <f>SUM(F189:F239)</f>
        <v>217.08610000000004</v>
      </c>
      <c r="G240" s="18">
        <f>F240/5</f>
        <v>43.417220000000007</v>
      </c>
      <c r="H240" s="10"/>
    </row>
    <row r="243" spans="1:8" ht="20.25" x14ac:dyDescent="0.3">
      <c r="A243" s="5" t="s">
        <v>74</v>
      </c>
    </row>
    <row r="246" spans="1:8" ht="20.25" x14ac:dyDescent="0.3">
      <c r="A246" s="41" t="s">
        <v>39</v>
      </c>
      <c r="B246" s="41"/>
      <c r="C246" s="41"/>
      <c r="D246" s="41"/>
      <c r="E246" s="41"/>
      <c r="H246" s="1" t="s">
        <v>40</v>
      </c>
    </row>
    <row r="247" spans="1:8" x14ac:dyDescent="0.3">
      <c r="A247" s="1" t="s">
        <v>39</v>
      </c>
      <c r="B247" s="1" t="s">
        <v>41</v>
      </c>
    </row>
    <row r="248" spans="1:8" x14ac:dyDescent="0.3">
      <c r="A248" s="2" t="s">
        <v>64</v>
      </c>
      <c r="B248" s="2" t="s">
        <v>65</v>
      </c>
      <c r="C248" s="2" t="s">
        <v>66</v>
      </c>
      <c r="D248" s="2" t="s">
        <v>67</v>
      </c>
      <c r="E248" s="6" t="s">
        <v>68</v>
      </c>
    </row>
    <row r="249" spans="1:8" x14ac:dyDescent="0.3">
      <c r="A249" s="37" t="s">
        <v>186</v>
      </c>
      <c r="B249" s="2"/>
      <c r="C249" s="2">
        <v>3.7</v>
      </c>
      <c r="D249" s="2">
        <v>0.7</v>
      </c>
      <c r="E249" s="6">
        <f>C249*D249</f>
        <v>2.59</v>
      </c>
      <c r="F249" s="36"/>
      <c r="G249" s="1" t="s">
        <v>191</v>
      </c>
    </row>
    <row r="250" spans="1:8" x14ac:dyDescent="0.3">
      <c r="A250" s="38"/>
      <c r="B250" s="2"/>
      <c r="C250" s="2">
        <v>4</v>
      </c>
      <c r="D250" s="2">
        <v>0.7</v>
      </c>
      <c r="E250" s="6">
        <f t="shared" ref="E250:E276" si="72">C250*D250</f>
        <v>2.8</v>
      </c>
      <c r="F250" s="36"/>
    </row>
    <row r="251" spans="1:8" x14ac:dyDescent="0.3">
      <c r="A251" s="38"/>
      <c r="B251" s="2"/>
      <c r="C251" s="2">
        <v>3.7</v>
      </c>
      <c r="D251" s="2">
        <v>0.7</v>
      </c>
      <c r="E251" s="6">
        <f t="shared" si="72"/>
        <v>2.59</v>
      </c>
      <c r="F251" s="36"/>
    </row>
    <row r="252" spans="1:8" x14ac:dyDescent="0.3">
      <c r="A252" s="39"/>
      <c r="B252" s="2"/>
      <c r="C252" s="2">
        <v>1</v>
      </c>
      <c r="D252" s="2">
        <v>0.7</v>
      </c>
      <c r="E252" s="6">
        <f t="shared" si="72"/>
        <v>0.7</v>
      </c>
      <c r="F252" s="36"/>
    </row>
    <row r="253" spans="1:8" x14ac:dyDescent="0.3">
      <c r="A253" s="35" t="s">
        <v>172</v>
      </c>
      <c r="C253" s="1">
        <v>3.7</v>
      </c>
      <c r="D253" s="2">
        <v>0.7</v>
      </c>
      <c r="E253" s="8">
        <f t="shared" si="72"/>
        <v>2.59</v>
      </c>
      <c r="F253" s="36"/>
    </row>
    <row r="254" spans="1:8" x14ac:dyDescent="0.3">
      <c r="A254" s="34"/>
      <c r="C254" s="1">
        <v>4</v>
      </c>
      <c r="D254" s="2">
        <v>0.7</v>
      </c>
      <c r="E254" s="8">
        <f t="shared" si="72"/>
        <v>2.8</v>
      </c>
      <c r="F254" s="36"/>
    </row>
    <row r="255" spans="1:8" x14ac:dyDescent="0.3">
      <c r="A255" s="34"/>
      <c r="C255" s="1">
        <v>3.7</v>
      </c>
      <c r="D255" s="2">
        <v>0.7</v>
      </c>
      <c r="E255" s="8">
        <f t="shared" si="72"/>
        <v>2.59</v>
      </c>
      <c r="F255" s="36"/>
    </row>
    <row r="256" spans="1:8" x14ac:dyDescent="0.3">
      <c r="A256" s="34"/>
      <c r="C256" s="1">
        <v>1</v>
      </c>
      <c r="D256" s="2">
        <v>0.7</v>
      </c>
      <c r="E256" s="8">
        <f t="shared" si="72"/>
        <v>0.7</v>
      </c>
      <c r="F256" s="36"/>
    </row>
    <row r="257" spans="1:7" x14ac:dyDescent="0.3">
      <c r="A257" s="34" t="s">
        <v>142</v>
      </c>
      <c r="C257" s="1">
        <v>1.2</v>
      </c>
      <c r="D257" s="1">
        <v>3.5</v>
      </c>
      <c r="E257" s="8">
        <f t="shared" si="72"/>
        <v>4.2</v>
      </c>
      <c r="F257" s="36"/>
      <c r="G257" s="1" t="s">
        <v>192</v>
      </c>
    </row>
    <row r="258" spans="1:7" x14ac:dyDescent="0.3">
      <c r="A258" s="34"/>
      <c r="C258" s="1">
        <v>1.2</v>
      </c>
      <c r="D258" s="1">
        <v>3.5</v>
      </c>
      <c r="E258" s="8">
        <f t="shared" si="72"/>
        <v>4.2</v>
      </c>
      <c r="F258" s="36"/>
    </row>
    <row r="259" spans="1:7" x14ac:dyDescent="0.3">
      <c r="A259" s="34"/>
      <c r="C259" s="1">
        <v>1.2</v>
      </c>
      <c r="D259" s="1">
        <v>3.5</v>
      </c>
      <c r="E259" s="8">
        <f t="shared" si="72"/>
        <v>4.2</v>
      </c>
      <c r="F259" s="36"/>
    </row>
    <row r="260" spans="1:7" x14ac:dyDescent="0.3">
      <c r="A260" s="34"/>
      <c r="C260" s="1">
        <v>1.2</v>
      </c>
      <c r="D260" s="1">
        <v>3.5</v>
      </c>
      <c r="E260" s="8">
        <f t="shared" si="72"/>
        <v>4.2</v>
      </c>
      <c r="F260" s="36"/>
    </row>
    <row r="261" spans="1:7" x14ac:dyDescent="0.3">
      <c r="A261" s="34"/>
      <c r="C261" s="1">
        <v>1.2</v>
      </c>
      <c r="D261" s="1">
        <v>3.5</v>
      </c>
      <c r="E261" s="8">
        <f t="shared" si="72"/>
        <v>4.2</v>
      </c>
      <c r="F261" s="36"/>
    </row>
    <row r="262" spans="1:7" x14ac:dyDescent="0.3">
      <c r="A262" s="34"/>
      <c r="C262" s="1">
        <v>1.2</v>
      </c>
      <c r="D262" s="1">
        <v>3.5</v>
      </c>
      <c r="E262" s="8">
        <f t="shared" si="72"/>
        <v>4.2</v>
      </c>
      <c r="F262" s="36"/>
    </row>
    <row r="263" spans="1:7" x14ac:dyDescent="0.3">
      <c r="A263" s="34"/>
      <c r="C263" s="1">
        <v>1.2</v>
      </c>
      <c r="D263" s="1">
        <v>3.5</v>
      </c>
      <c r="E263" s="8">
        <f t="shared" si="72"/>
        <v>4.2</v>
      </c>
      <c r="F263" s="36"/>
    </row>
    <row r="264" spans="1:7" x14ac:dyDescent="0.3">
      <c r="A264" s="34" t="s">
        <v>187</v>
      </c>
      <c r="C264" s="1">
        <v>1.2</v>
      </c>
      <c r="D264" s="1">
        <v>0.6</v>
      </c>
      <c r="E264" s="8">
        <f t="shared" si="72"/>
        <v>0.72</v>
      </c>
      <c r="F264" s="36"/>
      <c r="G264" s="1" t="s">
        <v>193</v>
      </c>
    </row>
    <row r="265" spans="1:7" x14ac:dyDescent="0.3">
      <c r="A265" s="34"/>
      <c r="C265" s="1">
        <v>1.2</v>
      </c>
      <c r="D265" s="1">
        <v>0.6</v>
      </c>
      <c r="E265" s="8">
        <f t="shared" si="72"/>
        <v>0.72</v>
      </c>
      <c r="F265" s="36"/>
    </row>
    <row r="266" spans="1:7" x14ac:dyDescent="0.3">
      <c r="A266" s="34"/>
      <c r="C266" s="1">
        <v>1.2</v>
      </c>
      <c r="D266" s="1">
        <v>0.6</v>
      </c>
      <c r="E266" s="8">
        <f t="shared" si="72"/>
        <v>0.72</v>
      </c>
      <c r="F266" s="36"/>
    </row>
    <row r="267" spans="1:7" x14ac:dyDescent="0.3">
      <c r="A267" s="34"/>
      <c r="C267" s="1">
        <v>1.2</v>
      </c>
      <c r="D267" s="1">
        <v>0.6</v>
      </c>
      <c r="E267" s="8">
        <f t="shared" si="72"/>
        <v>0.72</v>
      </c>
      <c r="F267" s="36"/>
    </row>
    <row r="268" spans="1:7" x14ac:dyDescent="0.3">
      <c r="A268" s="34"/>
      <c r="C268" s="1">
        <v>1.2</v>
      </c>
      <c r="D268" s="1">
        <v>0.6</v>
      </c>
      <c r="E268" s="8">
        <f t="shared" si="72"/>
        <v>0.72</v>
      </c>
      <c r="F268" s="36"/>
    </row>
    <row r="269" spans="1:7" x14ac:dyDescent="0.3">
      <c r="A269" s="34"/>
      <c r="C269" s="1">
        <v>1.2</v>
      </c>
      <c r="D269" s="1">
        <v>0.6</v>
      </c>
      <c r="E269" s="8">
        <f t="shared" si="72"/>
        <v>0.72</v>
      </c>
      <c r="F269" s="36"/>
    </row>
    <row r="270" spans="1:7" x14ac:dyDescent="0.3">
      <c r="A270" s="34"/>
      <c r="C270" s="1">
        <v>1.2</v>
      </c>
      <c r="D270" s="1">
        <v>0.6</v>
      </c>
      <c r="E270" s="8">
        <f t="shared" si="72"/>
        <v>0.72</v>
      </c>
      <c r="F270" s="36"/>
    </row>
    <row r="271" spans="1:7" x14ac:dyDescent="0.3">
      <c r="A271" s="34" t="s">
        <v>188</v>
      </c>
      <c r="C271" s="1">
        <v>2.5</v>
      </c>
      <c r="D271" s="1">
        <v>0.6</v>
      </c>
      <c r="E271" s="8">
        <f t="shared" si="72"/>
        <v>1.5</v>
      </c>
      <c r="G271" s="34" t="s">
        <v>191</v>
      </c>
    </row>
    <row r="272" spans="1:7" x14ac:dyDescent="0.3">
      <c r="A272" s="34"/>
      <c r="C272" s="1">
        <v>2.5</v>
      </c>
      <c r="D272" s="1">
        <v>0.6</v>
      </c>
      <c r="E272" s="8">
        <f t="shared" si="72"/>
        <v>1.5</v>
      </c>
      <c r="F272" s="1" t="s">
        <v>189</v>
      </c>
      <c r="G272" s="34"/>
    </row>
    <row r="273" spans="1:9" x14ac:dyDescent="0.3">
      <c r="A273" s="1" t="s">
        <v>190</v>
      </c>
      <c r="C273" s="1">
        <v>2.6</v>
      </c>
      <c r="D273" s="1">
        <v>0.2</v>
      </c>
      <c r="E273" s="8">
        <f t="shared" si="72"/>
        <v>0.52</v>
      </c>
      <c r="F273" s="8"/>
      <c r="G273" s="34" t="s">
        <v>194</v>
      </c>
    </row>
    <row r="274" spans="1:9" x14ac:dyDescent="0.3">
      <c r="C274" s="1">
        <v>4.8</v>
      </c>
      <c r="D274" s="1">
        <v>0.2</v>
      </c>
      <c r="E274" s="8">
        <f t="shared" si="72"/>
        <v>0.96</v>
      </c>
      <c r="F274" s="8"/>
      <c r="G274" s="34"/>
    </row>
    <row r="275" spans="1:9" x14ac:dyDescent="0.3">
      <c r="C275" s="1">
        <v>1.4</v>
      </c>
      <c r="D275" s="1">
        <v>0.2</v>
      </c>
      <c r="E275" s="8">
        <f t="shared" si="72"/>
        <v>0.27999999999999997</v>
      </c>
      <c r="F275" s="8"/>
      <c r="G275" s="34"/>
    </row>
    <row r="276" spans="1:9" x14ac:dyDescent="0.3">
      <c r="C276" s="1">
        <v>15</v>
      </c>
      <c r="D276" s="1">
        <v>0.2</v>
      </c>
      <c r="E276" s="8">
        <f t="shared" si="72"/>
        <v>3</v>
      </c>
      <c r="F276" s="8"/>
      <c r="G276" s="34"/>
    </row>
    <row r="283" spans="1:9" ht="16.5" customHeight="1" x14ac:dyDescent="0.3">
      <c r="A283" s="41" t="s">
        <v>53</v>
      </c>
      <c r="B283" s="41"/>
      <c r="C283" s="41"/>
      <c r="D283" s="41"/>
      <c r="E283" s="41"/>
    </row>
    <row r="284" spans="1:9" ht="33" x14ac:dyDescent="0.3">
      <c r="B284" s="2" t="s">
        <v>14</v>
      </c>
      <c r="C284" s="2" t="s">
        <v>54</v>
      </c>
      <c r="D284" s="9" t="s">
        <v>55</v>
      </c>
      <c r="E284" s="6" t="s">
        <v>62</v>
      </c>
    </row>
    <row r="285" spans="1:9" x14ac:dyDescent="0.3">
      <c r="B285" s="43" t="s">
        <v>60</v>
      </c>
      <c r="C285" s="2"/>
      <c r="D285" s="2">
        <f>C285/1.44</f>
        <v>0</v>
      </c>
      <c r="E285" s="40">
        <f>SUM(D285:D294)</f>
        <v>0</v>
      </c>
      <c r="G285" s="1" t="s">
        <v>221</v>
      </c>
      <c r="H285" s="1" t="s">
        <v>222</v>
      </c>
      <c r="I285" s="1" t="s">
        <v>223</v>
      </c>
    </row>
    <row r="286" spans="1:9" x14ac:dyDescent="0.3">
      <c r="B286" s="43"/>
      <c r="C286" s="2"/>
      <c r="D286" s="2">
        <f t="shared" ref="D286:D295" si="73">C286/1.44</f>
        <v>0</v>
      </c>
      <c r="E286" s="40"/>
      <c r="F286" s="11" t="s">
        <v>219</v>
      </c>
      <c r="G286" s="1">
        <v>60</v>
      </c>
      <c r="H286" s="1">
        <v>90</v>
      </c>
      <c r="I286" s="1">
        <f>SUM(G286:H286)</f>
        <v>150</v>
      </c>
    </row>
    <row r="287" spans="1:9" x14ac:dyDescent="0.3">
      <c r="B287" s="43"/>
      <c r="C287" s="2"/>
      <c r="D287" s="2">
        <f t="shared" si="73"/>
        <v>0</v>
      </c>
      <c r="E287" s="40"/>
      <c r="F287" s="11" t="s">
        <v>220</v>
      </c>
      <c r="G287" s="1">
        <v>128</v>
      </c>
      <c r="H287" s="1">
        <v>192</v>
      </c>
      <c r="I287" s="1">
        <f>SUM(G287:H287)</f>
        <v>320</v>
      </c>
    </row>
    <row r="288" spans="1:9" x14ac:dyDescent="0.3">
      <c r="B288" s="43"/>
      <c r="C288" s="2"/>
      <c r="D288" s="2">
        <f t="shared" si="73"/>
        <v>0</v>
      </c>
      <c r="E288" s="40"/>
    </row>
    <row r="289" spans="1:13" x14ac:dyDescent="0.3">
      <c r="B289" s="43"/>
      <c r="C289" s="2"/>
      <c r="D289" s="2">
        <f t="shared" si="73"/>
        <v>0</v>
      </c>
      <c r="E289" s="40"/>
    </row>
    <row r="290" spans="1:13" x14ac:dyDescent="0.3">
      <c r="B290" s="43"/>
      <c r="C290" s="2"/>
      <c r="D290" s="2">
        <f t="shared" si="73"/>
        <v>0</v>
      </c>
      <c r="E290" s="40"/>
    </row>
    <row r="291" spans="1:13" x14ac:dyDescent="0.3">
      <c r="B291" s="43"/>
      <c r="C291" s="2"/>
      <c r="D291" s="2">
        <f t="shared" si="73"/>
        <v>0</v>
      </c>
      <c r="E291" s="40"/>
    </row>
    <row r="292" spans="1:13" x14ac:dyDescent="0.3">
      <c r="B292" s="43"/>
      <c r="C292" s="2"/>
      <c r="D292" s="2">
        <f t="shared" si="73"/>
        <v>0</v>
      </c>
      <c r="E292" s="40"/>
    </row>
    <row r="293" spans="1:13" x14ac:dyDescent="0.3">
      <c r="B293" s="43"/>
      <c r="C293" s="2"/>
      <c r="D293" s="2">
        <f t="shared" si="73"/>
        <v>0</v>
      </c>
      <c r="E293" s="40"/>
    </row>
    <row r="294" spans="1:13" x14ac:dyDescent="0.3">
      <c r="B294" s="43"/>
      <c r="C294" s="2"/>
      <c r="D294" s="2">
        <f t="shared" si="73"/>
        <v>0</v>
      </c>
      <c r="E294" s="40"/>
    </row>
    <row r="295" spans="1:13" x14ac:dyDescent="0.3">
      <c r="B295" s="2" t="s">
        <v>61</v>
      </c>
      <c r="C295" s="2"/>
      <c r="D295" s="2">
        <f t="shared" si="73"/>
        <v>0</v>
      </c>
      <c r="E295" s="6">
        <v>8</v>
      </c>
    </row>
    <row r="296" spans="1:13" x14ac:dyDescent="0.3">
      <c r="B296" s="2" t="s">
        <v>13</v>
      </c>
      <c r="C296" s="2"/>
      <c r="D296" s="2">
        <f>SUM(D285:D295)</f>
        <v>0</v>
      </c>
      <c r="E296" s="6"/>
    </row>
    <row r="301" spans="1:13" ht="20.25" x14ac:dyDescent="0.3">
      <c r="A301" s="41" t="s">
        <v>56</v>
      </c>
      <c r="B301" s="41"/>
      <c r="C301" s="41"/>
      <c r="D301" s="41"/>
      <c r="G301" s="1" t="s">
        <v>89</v>
      </c>
    </row>
    <row r="302" spans="1:13" ht="33" x14ac:dyDescent="0.3">
      <c r="A302" s="19"/>
      <c r="B302" s="21" t="s">
        <v>14</v>
      </c>
      <c r="C302" s="21" t="s">
        <v>54</v>
      </c>
      <c r="D302" s="22" t="s">
        <v>57</v>
      </c>
      <c r="E302" s="20"/>
      <c r="G302" s="1" t="s">
        <v>90</v>
      </c>
      <c r="I302" s="2" t="s">
        <v>14</v>
      </c>
      <c r="J302" s="2" t="s">
        <v>92</v>
      </c>
      <c r="K302" s="14" t="s">
        <v>93</v>
      </c>
      <c r="L302" s="9" t="s">
        <v>13</v>
      </c>
      <c r="M302" s="14" t="s">
        <v>94</v>
      </c>
    </row>
    <row r="303" spans="1:13" x14ac:dyDescent="0.3">
      <c r="A303" s="19"/>
      <c r="B303" s="21"/>
      <c r="C303" s="21"/>
      <c r="D303" s="21">
        <f>C303/3.24</f>
        <v>0</v>
      </c>
      <c r="E303" s="20"/>
      <c r="G303" s="1" t="s">
        <v>91</v>
      </c>
      <c r="I303" s="2"/>
      <c r="J303" s="2"/>
      <c r="K303" s="14"/>
      <c r="L303" s="2">
        <f>J303*K303</f>
        <v>0</v>
      </c>
      <c r="M303" s="14">
        <f>L303/16</f>
        <v>0</v>
      </c>
    </row>
    <row r="304" spans="1:13" x14ac:dyDescent="0.3">
      <c r="A304" s="19"/>
      <c r="B304" s="21"/>
      <c r="C304" s="21"/>
      <c r="D304" s="21">
        <f t="shared" ref="D304:D306" si="74">C304/3.24</f>
        <v>0</v>
      </c>
      <c r="E304" s="20"/>
      <c r="I304" s="2"/>
      <c r="J304" s="2"/>
      <c r="K304" s="14"/>
      <c r="L304" s="2">
        <f t="shared" ref="L304:L306" si="75">J304*K304</f>
        <v>0</v>
      </c>
      <c r="M304" s="14">
        <f t="shared" ref="M304:M306" si="76">L304/16</f>
        <v>0</v>
      </c>
    </row>
    <row r="305" spans="1:13" x14ac:dyDescent="0.3">
      <c r="A305" s="19"/>
      <c r="B305" s="21"/>
      <c r="C305" s="21"/>
      <c r="D305" s="21">
        <f t="shared" si="74"/>
        <v>0</v>
      </c>
      <c r="E305" s="20"/>
      <c r="I305" s="2"/>
      <c r="J305" s="2"/>
      <c r="K305" s="14"/>
      <c r="L305" s="2">
        <f t="shared" si="75"/>
        <v>0</v>
      </c>
      <c r="M305" s="14">
        <f t="shared" si="76"/>
        <v>0</v>
      </c>
    </row>
    <row r="306" spans="1:13" x14ac:dyDescent="0.3">
      <c r="A306" s="19"/>
      <c r="B306" s="21"/>
      <c r="C306" s="21"/>
      <c r="D306" s="21">
        <f t="shared" si="74"/>
        <v>0</v>
      </c>
      <c r="E306" s="20"/>
      <c r="I306" s="2"/>
      <c r="J306" s="2"/>
      <c r="K306" s="14"/>
      <c r="L306" s="2">
        <f t="shared" si="75"/>
        <v>0</v>
      </c>
      <c r="M306" s="14">
        <f t="shared" si="76"/>
        <v>0</v>
      </c>
    </row>
    <row r="307" spans="1:13" x14ac:dyDescent="0.3">
      <c r="A307" s="19"/>
      <c r="B307" s="21" t="s">
        <v>13</v>
      </c>
      <c r="C307" s="21"/>
      <c r="D307" s="21">
        <f>SUM(D303:D306)</f>
        <v>0</v>
      </c>
      <c r="E307" s="20"/>
      <c r="I307" s="2" t="s">
        <v>13</v>
      </c>
      <c r="J307" s="2"/>
      <c r="K307" s="14"/>
      <c r="L307" s="2">
        <f>SUM(L303:L306)</f>
        <v>0</v>
      </c>
      <c r="M307" s="14">
        <f>SUM(M303:M306)</f>
        <v>0</v>
      </c>
    </row>
    <row r="308" spans="1:13" x14ac:dyDescent="0.3">
      <c r="A308" s="19"/>
      <c r="B308" s="19"/>
      <c r="C308" s="19"/>
      <c r="D308" s="19"/>
      <c r="E308" s="20"/>
    </row>
    <row r="310" spans="1:13" ht="20.25" x14ac:dyDescent="0.3">
      <c r="B310" s="5" t="s">
        <v>75</v>
      </c>
    </row>
    <row r="311" spans="1:13" x14ac:dyDescent="0.3">
      <c r="B311" s="2" t="s">
        <v>76</v>
      </c>
      <c r="C311" s="2" t="s">
        <v>77</v>
      </c>
      <c r="D311" s="2" t="s">
        <v>78</v>
      </c>
      <c r="E311" s="6" t="s">
        <v>79</v>
      </c>
      <c r="J311" s="1">
        <v>4800</v>
      </c>
    </row>
    <row r="312" spans="1:13" x14ac:dyDescent="0.3">
      <c r="B312" s="2"/>
      <c r="C312" s="2" t="s">
        <v>183</v>
      </c>
      <c r="D312" s="2"/>
      <c r="E312" s="6">
        <v>157900</v>
      </c>
      <c r="J312" s="1">
        <v>15000</v>
      </c>
    </row>
    <row r="313" spans="1:13" x14ac:dyDescent="0.3">
      <c r="B313" s="2"/>
      <c r="C313" s="2" t="s">
        <v>150</v>
      </c>
      <c r="D313" s="2"/>
      <c r="E313" s="6">
        <v>32</v>
      </c>
      <c r="J313" s="1">
        <v>10800</v>
      </c>
    </row>
    <row r="314" spans="1:13" x14ac:dyDescent="0.3">
      <c r="B314" s="2"/>
      <c r="C314" s="2" t="s">
        <v>184</v>
      </c>
      <c r="D314" s="2"/>
      <c r="E314" s="6">
        <v>20900</v>
      </c>
      <c r="J314" s="1">
        <v>10800</v>
      </c>
    </row>
    <row r="315" spans="1:13" x14ac:dyDescent="0.3">
      <c r="J315" s="1">
        <v>6600</v>
      </c>
    </row>
    <row r="316" spans="1:13" x14ac:dyDescent="0.3">
      <c r="J316" s="1">
        <v>6600</v>
      </c>
    </row>
    <row r="317" spans="1:13" ht="20.25" x14ac:dyDescent="0.3">
      <c r="B317" s="5" t="s">
        <v>80</v>
      </c>
      <c r="D317" s="1" t="s">
        <v>81</v>
      </c>
      <c r="J317" s="1">
        <v>7800</v>
      </c>
    </row>
    <row r="318" spans="1:13" x14ac:dyDescent="0.3">
      <c r="J318" s="1">
        <v>6000</v>
      </c>
    </row>
    <row r="319" spans="1:13" x14ac:dyDescent="0.3">
      <c r="J319" s="1">
        <v>9000</v>
      </c>
    </row>
    <row r="320" spans="1:13" x14ac:dyDescent="0.3">
      <c r="C320" s="1" t="s">
        <v>165</v>
      </c>
      <c r="E320" s="1"/>
      <c r="F320" s="8"/>
      <c r="J320" s="1">
        <v>6000</v>
      </c>
    </row>
    <row r="321" spans="2:10" x14ac:dyDescent="0.3">
      <c r="B321" s="14" t="s">
        <v>14</v>
      </c>
      <c r="C321" s="14" t="s">
        <v>3</v>
      </c>
      <c r="D321" s="14" t="s">
        <v>167</v>
      </c>
      <c r="E321" s="14" t="s">
        <v>152</v>
      </c>
      <c r="F321" s="6" t="s">
        <v>166</v>
      </c>
      <c r="J321" s="1">
        <v>6600</v>
      </c>
    </row>
    <row r="322" spans="2:10" x14ac:dyDescent="0.3">
      <c r="B322" s="37" t="s">
        <v>172</v>
      </c>
      <c r="C322" s="14"/>
      <c r="D322" s="14">
        <v>3.7</v>
      </c>
      <c r="E322" s="14">
        <v>3.5</v>
      </c>
      <c r="F322" s="6">
        <f t="shared" ref="F322:F330" si="77">D322*E322</f>
        <v>12.950000000000001</v>
      </c>
      <c r="J322" s="1">
        <v>3600</v>
      </c>
    </row>
    <row r="323" spans="2:10" x14ac:dyDescent="0.3">
      <c r="B323" s="38"/>
      <c r="C323" s="14"/>
      <c r="D323" s="14">
        <v>3.7</v>
      </c>
      <c r="E323" s="14">
        <v>3.5</v>
      </c>
      <c r="F323" s="6">
        <f t="shared" si="77"/>
        <v>12.950000000000001</v>
      </c>
      <c r="J323" s="1">
        <v>4800</v>
      </c>
    </row>
    <row r="324" spans="2:10" x14ac:dyDescent="0.3">
      <c r="B324" s="39"/>
      <c r="C324" s="14"/>
      <c r="D324" s="14">
        <v>8.4</v>
      </c>
      <c r="E324" s="14">
        <v>3.5</v>
      </c>
      <c r="F324" s="6">
        <f t="shared" si="77"/>
        <v>29.400000000000002</v>
      </c>
      <c r="J324" s="1">
        <v>2400</v>
      </c>
    </row>
    <row r="325" spans="2:10" x14ac:dyDescent="0.3">
      <c r="B325" s="14" t="s">
        <v>170</v>
      </c>
      <c r="C325" s="14"/>
      <c r="D325" s="14">
        <v>5.6</v>
      </c>
      <c r="E325" s="14">
        <v>3.5</v>
      </c>
      <c r="F325" s="6">
        <f t="shared" si="77"/>
        <v>19.599999999999998</v>
      </c>
      <c r="J325" s="1">
        <v>2400</v>
      </c>
    </row>
    <row r="326" spans="2:10" x14ac:dyDescent="0.3">
      <c r="B326" s="14"/>
      <c r="C326" s="14"/>
      <c r="D326" s="14">
        <v>1</v>
      </c>
      <c r="E326" s="14">
        <v>3.5</v>
      </c>
      <c r="F326" s="6">
        <f t="shared" si="77"/>
        <v>3.5</v>
      </c>
      <c r="J326" s="1">
        <v>5100</v>
      </c>
    </row>
    <row r="327" spans="2:10" x14ac:dyDescent="0.3">
      <c r="B327" s="14"/>
      <c r="C327" s="14"/>
      <c r="D327" s="14"/>
      <c r="E327" s="14"/>
      <c r="F327" s="6">
        <f t="shared" si="77"/>
        <v>0</v>
      </c>
      <c r="J327" s="1">
        <v>1200</v>
      </c>
    </row>
    <row r="328" spans="2:10" x14ac:dyDescent="0.3">
      <c r="B328" s="14"/>
      <c r="C328" s="14"/>
      <c r="D328" s="14"/>
      <c r="E328" s="14"/>
      <c r="F328" s="6">
        <f t="shared" si="77"/>
        <v>0</v>
      </c>
      <c r="J328" s="1">
        <v>6600</v>
      </c>
    </row>
    <row r="329" spans="2:10" x14ac:dyDescent="0.3">
      <c r="B329" s="14"/>
      <c r="C329" s="14"/>
      <c r="D329" s="14"/>
      <c r="E329" s="14"/>
      <c r="F329" s="6">
        <f t="shared" si="77"/>
        <v>0</v>
      </c>
      <c r="J329" s="1">
        <v>4800</v>
      </c>
    </row>
    <row r="330" spans="2:10" x14ac:dyDescent="0.3">
      <c r="B330" s="14"/>
      <c r="C330" s="14"/>
      <c r="D330" s="14"/>
      <c r="E330" s="14"/>
      <c r="F330" s="6">
        <f t="shared" si="77"/>
        <v>0</v>
      </c>
      <c r="J330" s="1">
        <v>1200</v>
      </c>
    </row>
    <row r="331" spans="2:10" x14ac:dyDescent="0.3">
      <c r="B331" s="14"/>
      <c r="C331" s="14"/>
      <c r="D331" s="14"/>
      <c r="E331" s="14"/>
      <c r="F331" s="18">
        <f>SUM(F322:F330)</f>
        <v>78.400000000000006</v>
      </c>
      <c r="J331" s="1">
        <v>10800</v>
      </c>
    </row>
    <row r="332" spans="2:10" x14ac:dyDescent="0.3">
      <c r="B332" s="14"/>
      <c r="C332" s="14"/>
      <c r="D332" s="14"/>
      <c r="E332" s="14"/>
      <c r="F332" s="6">
        <f>D332*E332</f>
        <v>0</v>
      </c>
      <c r="J332" s="1">
        <v>7200</v>
      </c>
    </row>
    <row r="333" spans="2:10" x14ac:dyDescent="0.3">
      <c r="B333" s="14"/>
      <c r="C333" s="14"/>
      <c r="D333" s="14"/>
      <c r="E333" s="14"/>
      <c r="F333" s="6"/>
      <c r="J333" s="1">
        <v>14800</v>
      </c>
    </row>
    <row r="334" spans="2:10" x14ac:dyDescent="0.3">
      <c r="B334" s="14"/>
      <c r="C334" s="14"/>
      <c r="D334" s="14"/>
      <c r="E334" s="14"/>
      <c r="F334" s="6"/>
      <c r="J334" s="1">
        <v>3000</v>
      </c>
    </row>
    <row r="335" spans="2:10" x14ac:dyDescent="0.3">
      <c r="J335" s="1">
        <f>SUM(J311:J334)</f>
        <v>157900</v>
      </c>
    </row>
  </sheetData>
  <mergeCells count="75">
    <mergeCell ref="B285:B294"/>
    <mergeCell ref="E285:E294"/>
    <mergeCell ref="A187:F187"/>
    <mergeCell ref="A6:F6"/>
    <mergeCell ref="A44:F44"/>
    <mergeCell ref="A104:A107"/>
    <mergeCell ref="A116:A119"/>
    <mergeCell ref="A127:F127"/>
    <mergeCell ref="F8:F9"/>
    <mergeCell ref="F10:F11"/>
    <mergeCell ref="F12:F13"/>
    <mergeCell ref="F16:F17"/>
    <mergeCell ref="F18:F19"/>
    <mergeCell ref="F20:F21"/>
    <mergeCell ref="F22:F23"/>
    <mergeCell ref="F24:F25"/>
    <mergeCell ref="A2:G2"/>
    <mergeCell ref="A102:F102"/>
    <mergeCell ref="F14:F15"/>
    <mergeCell ref="A114:F114"/>
    <mergeCell ref="A246:E246"/>
    <mergeCell ref="A8:A11"/>
    <mergeCell ref="A12:A17"/>
    <mergeCell ref="A18:A21"/>
    <mergeCell ref="F26:F27"/>
    <mergeCell ref="F28:F29"/>
    <mergeCell ref="F30:F31"/>
    <mergeCell ref="F32:F33"/>
    <mergeCell ref="A22:A29"/>
    <mergeCell ref="F34:F35"/>
    <mergeCell ref="F36:F37"/>
    <mergeCell ref="A30:A37"/>
    <mergeCell ref="A46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A153:A156"/>
    <mergeCell ref="A157:A160"/>
    <mergeCell ref="A161:A164"/>
    <mergeCell ref="A165:A168"/>
    <mergeCell ref="A129:A140"/>
    <mergeCell ref="A141:A144"/>
    <mergeCell ref="A145:A148"/>
    <mergeCell ref="A149:A152"/>
    <mergeCell ref="A169:A172"/>
    <mergeCell ref="A173:A176"/>
    <mergeCell ref="B322:B324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189:A199"/>
    <mergeCell ref="A232:A235"/>
    <mergeCell ref="A249:A252"/>
    <mergeCell ref="A301:D301"/>
    <mergeCell ref="A283:E283"/>
    <mergeCell ref="G271:G272"/>
    <mergeCell ref="G273:G276"/>
    <mergeCell ref="A253:A256"/>
    <mergeCell ref="A257:A263"/>
    <mergeCell ref="A264:A270"/>
    <mergeCell ref="A271:A272"/>
    <mergeCell ref="F249:F256"/>
    <mergeCell ref="F257:F263"/>
    <mergeCell ref="F264:F270"/>
  </mergeCells>
  <phoneticPr fontId="1" type="noConversion"/>
  <dataValidations disablePrompts="1" count="1">
    <dataValidation type="list" allowBlank="1" showInputMessage="1" showErrorMessage="1" sqref="D9 D11 D13 D15 D17 D19 D21 D23 D25 D27 D29 D31 D33 D35 D37" xr:uid="{BB93EF16-56F2-44B9-BD33-407C125869F3}">
      <formula1>"2400,2700,3000,3600"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7D2A-C743-40D0-9D05-917B0AFDD611}">
  <dimension ref="A2:O229"/>
  <sheetViews>
    <sheetView tabSelected="1" topLeftCell="A212" workbookViewId="0">
      <selection activeCell="K43" sqref="K43"/>
    </sheetView>
  </sheetViews>
  <sheetFormatPr defaultRowHeight="16.5" x14ac:dyDescent="0.3"/>
  <cols>
    <col min="1" max="2" width="9" style="1"/>
    <col min="3" max="3" width="14.5" style="1" customWidth="1"/>
    <col min="4" max="4" width="13.5" style="1" customWidth="1"/>
    <col min="5" max="5" width="11.25" style="8" customWidth="1"/>
    <col min="6" max="6" width="10.125" style="11" customWidth="1"/>
    <col min="7" max="7" width="11.625" style="1" customWidth="1"/>
    <col min="8" max="10" width="9" style="1"/>
    <col min="11" max="11" width="13.75" style="1" customWidth="1"/>
    <col min="12" max="12" width="14.25" style="1" customWidth="1"/>
    <col min="13" max="16384" width="9" style="1"/>
  </cols>
  <sheetData>
    <row r="2" spans="1:13" ht="20.25" x14ac:dyDescent="0.3">
      <c r="A2" s="41" t="s">
        <v>0</v>
      </c>
      <c r="B2" s="41"/>
      <c r="C2" s="41"/>
      <c r="D2" s="41"/>
      <c r="E2" s="41"/>
      <c r="F2" s="41"/>
      <c r="G2" s="41"/>
    </row>
    <row r="6" spans="1:13" ht="20.25" x14ac:dyDescent="0.3">
      <c r="A6" s="41" t="s">
        <v>1</v>
      </c>
      <c r="B6" s="41"/>
      <c r="C6" s="41"/>
      <c r="D6" s="41"/>
      <c r="E6" s="41"/>
      <c r="F6" s="41"/>
      <c r="I6" s="1" t="s">
        <v>51</v>
      </c>
    </row>
    <row r="7" spans="1:13" x14ac:dyDescent="0.3">
      <c r="A7" s="2" t="s">
        <v>2</v>
      </c>
      <c r="B7" s="2" t="s">
        <v>3</v>
      </c>
      <c r="C7" s="2" t="s">
        <v>10</v>
      </c>
      <c r="D7" s="2" t="s">
        <v>47</v>
      </c>
      <c r="E7" s="6" t="s">
        <v>48</v>
      </c>
      <c r="F7" s="6" t="s">
        <v>13</v>
      </c>
      <c r="G7" s="2" t="s">
        <v>43</v>
      </c>
      <c r="H7"/>
      <c r="I7" s="16" t="s">
        <v>72</v>
      </c>
      <c r="J7" s="17"/>
      <c r="K7" s="17"/>
      <c r="L7"/>
    </row>
    <row r="8" spans="1:13" x14ac:dyDescent="0.3">
      <c r="A8" s="43" t="s">
        <v>158</v>
      </c>
      <c r="B8" s="2" t="s">
        <v>4</v>
      </c>
      <c r="C8" s="2">
        <v>3000</v>
      </c>
      <c r="D8" s="2"/>
      <c r="E8" s="6">
        <f>(C8/450)+1</f>
        <v>7.666666666666667</v>
      </c>
      <c r="F8" s="40">
        <f>E8+E9</f>
        <v>9.3333333333333339</v>
      </c>
      <c r="G8" s="2"/>
      <c r="H8"/>
      <c r="I8"/>
      <c r="J8"/>
      <c r="K8"/>
      <c r="L8" s="4" t="s">
        <v>49</v>
      </c>
      <c r="M8" s="14" t="s">
        <v>63</v>
      </c>
    </row>
    <row r="9" spans="1:13" x14ac:dyDescent="0.3">
      <c r="A9" s="43"/>
      <c r="B9" s="2" t="s">
        <v>5</v>
      </c>
      <c r="C9" s="2">
        <v>3000</v>
      </c>
      <c r="D9" s="2">
        <v>3600</v>
      </c>
      <c r="E9" s="6">
        <f>(C9/D9)*2</f>
        <v>1.6666666666666667</v>
      </c>
      <c r="F9" s="40"/>
      <c r="G9" s="2"/>
      <c r="H9"/>
      <c r="I9"/>
      <c r="J9"/>
      <c r="K9" t="s">
        <v>82</v>
      </c>
      <c r="L9" s="4">
        <v>2400</v>
      </c>
      <c r="M9" s="14">
        <v>20</v>
      </c>
    </row>
    <row r="10" spans="1:13" x14ac:dyDescent="0.3">
      <c r="A10" s="43"/>
      <c r="B10" s="2" t="s">
        <v>6</v>
      </c>
      <c r="C10" s="2">
        <v>1600</v>
      </c>
      <c r="D10" s="2"/>
      <c r="E10" s="6">
        <f t="shared" ref="E10" si="0">(C10/450)+1</f>
        <v>4.5555555555555554</v>
      </c>
      <c r="F10" s="40">
        <f t="shared" ref="F10" si="1">E10+E11</f>
        <v>5.4444444444444446</v>
      </c>
      <c r="G10" s="2"/>
      <c r="H10"/>
      <c r="I10"/>
      <c r="J10"/>
      <c r="K10" t="s">
        <v>83</v>
      </c>
      <c r="L10" s="4">
        <v>2700</v>
      </c>
      <c r="M10" s="14">
        <v>20</v>
      </c>
    </row>
    <row r="11" spans="1:13" x14ac:dyDescent="0.3">
      <c r="A11" s="43"/>
      <c r="B11" s="2" t="s">
        <v>7</v>
      </c>
      <c r="C11" s="2">
        <v>1600</v>
      </c>
      <c r="D11" s="2">
        <v>3600</v>
      </c>
      <c r="E11" s="6">
        <f t="shared" ref="E11" si="2">(C11/D11)*2</f>
        <v>0.88888888888888884</v>
      </c>
      <c r="F11" s="40"/>
      <c r="G11" s="2"/>
      <c r="H11"/>
      <c r="I11"/>
      <c r="J11"/>
      <c r="K11" t="s">
        <v>84</v>
      </c>
      <c r="L11" s="4">
        <v>3000</v>
      </c>
      <c r="M11" s="14">
        <v>20</v>
      </c>
    </row>
    <row r="12" spans="1:13" x14ac:dyDescent="0.3">
      <c r="A12" s="43"/>
      <c r="B12" s="2" t="s">
        <v>8</v>
      </c>
      <c r="C12" s="2">
        <v>3000</v>
      </c>
      <c r="D12" s="2"/>
      <c r="E12" s="6">
        <f t="shared" ref="E12" si="3">(C12/450)+1</f>
        <v>7.666666666666667</v>
      </c>
      <c r="F12" s="40">
        <f t="shared" ref="F12" si="4">E12+E13</f>
        <v>9.3333333333333339</v>
      </c>
      <c r="G12" s="2"/>
      <c r="H12"/>
      <c r="I12"/>
      <c r="J12"/>
      <c r="K12" t="s">
        <v>85</v>
      </c>
      <c r="L12" s="12">
        <v>3600</v>
      </c>
      <c r="M12" s="15">
        <v>12</v>
      </c>
    </row>
    <row r="13" spans="1:13" x14ac:dyDescent="0.3">
      <c r="A13" s="43"/>
      <c r="B13" s="2" t="s">
        <v>9</v>
      </c>
      <c r="C13" s="2">
        <v>3000</v>
      </c>
      <c r="D13" s="2">
        <v>3600</v>
      </c>
      <c r="E13" s="6">
        <f t="shared" ref="E13" si="5">(C13/D13)*2</f>
        <v>1.6666666666666667</v>
      </c>
      <c r="F13" s="40"/>
      <c r="G13" s="2"/>
      <c r="H13"/>
      <c r="I13"/>
      <c r="J13"/>
      <c r="K13"/>
      <c r="L13"/>
    </row>
    <row r="14" spans="1:13" x14ac:dyDescent="0.3">
      <c r="A14" s="43"/>
      <c r="B14" s="2" t="s">
        <v>12</v>
      </c>
      <c r="C14" s="2">
        <v>1600</v>
      </c>
      <c r="D14" s="2"/>
      <c r="E14" s="6">
        <f t="shared" ref="E14" si="6">(C14/450)+1</f>
        <v>4.5555555555555554</v>
      </c>
      <c r="F14" s="40">
        <f t="shared" ref="F14" si="7">E14+E15</f>
        <v>5.4444444444444446</v>
      </c>
      <c r="G14" s="2"/>
      <c r="H14"/>
      <c r="I14"/>
      <c r="J14"/>
      <c r="K14"/>
      <c r="L14"/>
    </row>
    <row r="15" spans="1:13" x14ac:dyDescent="0.3">
      <c r="A15" s="43"/>
      <c r="B15" s="2" t="s">
        <v>11</v>
      </c>
      <c r="C15" s="2">
        <v>1600</v>
      </c>
      <c r="D15" s="2">
        <v>3600</v>
      </c>
      <c r="E15" s="6">
        <f t="shared" ref="E15" si="8">(C15/D15)*2</f>
        <v>0.88888888888888884</v>
      </c>
      <c r="F15" s="40"/>
      <c r="G15" s="2"/>
      <c r="H15"/>
      <c r="I15"/>
      <c r="J15"/>
      <c r="K15"/>
      <c r="L15"/>
    </row>
    <row r="16" spans="1:13" x14ac:dyDescent="0.3">
      <c r="A16" s="37" t="s">
        <v>159</v>
      </c>
      <c r="B16" s="2" t="s">
        <v>12</v>
      </c>
      <c r="C16" s="2">
        <v>5300</v>
      </c>
      <c r="D16" s="2"/>
      <c r="E16" s="6">
        <f t="shared" ref="E16" si="9">(C16/450)+1</f>
        <v>12.777777777777779</v>
      </c>
      <c r="F16" s="40">
        <f t="shared" ref="F16" si="10">E16+E17</f>
        <v>15.722222222222223</v>
      </c>
      <c r="G16" s="2"/>
      <c r="H16"/>
      <c r="I16"/>
      <c r="J16"/>
      <c r="K16"/>
      <c r="L16"/>
    </row>
    <row r="17" spans="1:12" x14ac:dyDescent="0.3">
      <c r="A17" s="38"/>
      <c r="B17" s="2" t="s">
        <v>11</v>
      </c>
      <c r="C17" s="2">
        <v>5300</v>
      </c>
      <c r="D17" s="2">
        <v>3600</v>
      </c>
      <c r="E17" s="6">
        <f t="shared" ref="E17" si="11">(C17/D17)*2</f>
        <v>2.9444444444444446</v>
      </c>
      <c r="F17" s="40"/>
      <c r="G17" s="2"/>
      <c r="H17"/>
      <c r="I17"/>
      <c r="J17"/>
      <c r="K17"/>
      <c r="L17"/>
    </row>
    <row r="18" spans="1:12" x14ac:dyDescent="0.3">
      <c r="A18" s="38"/>
      <c r="B18" s="2" t="s">
        <v>12</v>
      </c>
      <c r="C18" s="2">
        <v>5300</v>
      </c>
      <c r="D18" s="2"/>
      <c r="E18" s="6">
        <f t="shared" ref="E18" si="12">(C18/450)+1</f>
        <v>12.777777777777779</v>
      </c>
      <c r="F18" s="40">
        <f t="shared" ref="F18" si="13">E18+E19</f>
        <v>15.722222222222223</v>
      </c>
      <c r="G18" s="2"/>
      <c r="H18"/>
      <c r="I18"/>
      <c r="J18"/>
      <c r="K18"/>
      <c r="L18"/>
    </row>
    <row r="19" spans="1:12" x14ac:dyDescent="0.3">
      <c r="A19" s="39"/>
      <c r="B19" s="2" t="s">
        <v>11</v>
      </c>
      <c r="C19" s="2">
        <v>5300</v>
      </c>
      <c r="D19" s="2">
        <v>3600</v>
      </c>
      <c r="E19" s="6">
        <f t="shared" ref="E19" si="14">(C19/D19)*2</f>
        <v>2.9444444444444446</v>
      </c>
      <c r="F19" s="40"/>
      <c r="G19" s="2"/>
      <c r="H19"/>
      <c r="I19"/>
      <c r="J19"/>
      <c r="K19"/>
      <c r="L19"/>
    </row>
    <row r="20" spans="1:12" x14ac:dyDescent="0.3">
      <c r="A20" s="37" t="s">
        <v>160</v>
      </c>
      <c r="B20" s="2" t="s">
        <v>12</v>
      </c>
      <c r="C20" s="2">
        <v>3500</v>
      </c>
      <c r="D20" s="2"/>
      <c r="E20" s="6">
        <f t="shared" ref="E20" si="15">(C20/450)+1</f>
        <v>8.7777777777777786</v>
      </c>
      <c r="F20" s="40">
        <f t="shared" ref="F20" si="16">E20+E21</f>
        <v>10.722222222222223</v>
      </c>
      <c r="G20" s="2"/>
      <c r="H20"/>
      <c r="I20"/>
      <c r="J20"/>
      <c r="K20"/>
      <c r="L20"/>
    </row>
    <row r="21" spans="1:12" x14ac:dyDescent="0.3">
      <c r="A21" s="38"/>
      <c r="B21" s="2" t="s">
        <v>11</v>
      </c>
      <c r="C21" s="2">
        <v>3500</v>
      </c>
      <c r="D21" s="2">
        <v>3600</v>
      </c>
      <c r="E21" s="6">
        <f t="shared" ref="E21" si="17">(C21/D21)*2</f>
        <v>1.9444444444444444</v>
      </c>
      <c r="F21" s="40"/>
      <c r="G21" s="2"/>
      <c r="H21"/>
      <c r="I21"/>
      <c r="J21"/>
      <c r="K21"/>
      <c r="L21"/>
    </row>
    <row r="22" spans="1:12" x14ac:dyDescent="0.3">
      <c r="A22" s="38"/>
      <c r="B22" s="2" t="s">
        <v>12</v>
      </c>
      <c r="C22" s="2">
        <v>3500</v>
      </c>
      <c r="D22" s="2"/>
      <c r="E22" s="6">
        <f t="shared" ref="E22" si="18">(C22/450)+1</f>
        <v>8.7777777777777786</v>
      </c>
      <c r="F22" s="40">
        <f t="shared" ref="F22" si="19">E22+E23</f>
        <v>10.722222222222223</v>
      </c>
      <c r="G22" s="2"/>
      <c r="H22"/>
      <c r="I22"/>
      <c r="J22"/>
      <c r="K22"/>
      <c r="L22"/>
    </row>
    <row r="23" spans="1:12" x14ac:dyDescent="0.3">
      <c r="A23" s="39"/>
      <c r="B23" s="2" t="s">
        <v>11</v>
      </c>
      <c r="C23" s="2">
        <v>3500</v>
      </c>
      <c r="D23" s="2">
        <v>3600</v>
      </c>
      <c r="E23" s="6">
        <f t="shared" ref="E23" si="20">(C23/D23)*2</f>
        <v>1.9444444444444444</v>
      </c>
      <c r="F23" s="40"/>
      <c r="G23" s="2"/>
      <c r="H23"/>
      <c r="I23"/>
      <c r="J23"/>
      <c r="K23"/>
      <c r="L23"/>
    </row>
    <row r="24" spans="1:12" x14ac:dyDescent="0.3">
      <c r="A24" s="2" t="s">
        <v>13</v>
      </c>
      <c r="B24" s="2"/>
      <c r="C24" s="2"/>
      <c r="D24" s="2"/>
      <c r="E24" s="6"/>
      <c r="F24" s="6">
        <f>SUM(F8:F23)</f>
        <v>82.444444444444457</v>
      </c>
      <c r="G24" s="27">
        <f>F24/12</f>
        <v>6.8703703703703711</v>
      </c>
      <c r="H24"/>
      <c r="I24"/>
      <c r="J24"/>
      <c r="K24"/>
      <c r="L24"/>
    </row>
    <row r="29" spans="1:12" x14ac:dyDescent="0.3">
      <c r="K29" s="1" t="s">
        <v>86</v>
      </c>
    </row>
    <row r="30" spans="1:12" ht="23.25" x14ac:dyDescent="0.3">
      <c r="A30" s="44" t="s">
        <v>69</v>
      </c>
      <c r="B30" s="44"/>
      <c r="C30" s="44"/>
      <c r="D30" s="44"/>
      <c r="E30" s="44"/>
      <c r="F30" s="44"/>
      <c r="K30" s="1" t="s">
        <v>71</v>
      </c>
    </row>
    <row r="31" spans="1:12" ht="18" x14ac:dyDescent="0.3">
      <c r="A31" s="2" t="s">
        <v>14</v>
      </c>
      <c r="B31" s="2" t="s">
        <v>15</v>
      </c>
      <c r="C31" s="2" t="s">
        <v>42</v>
      </c>
      <c r="D31" s="2" t="s">
        <v>25</v>
      </c>
      <c r="E31" s="6" t="s">
        <v>21</v>
      </c>
      <c r="F31" s="6" t="s">
        <v>22</v>
      </c>
      <c r="G31" s="2" t="s">
        <v>20</v>
      </c>
      <c r="K31" s="1" t="s">
        <v>70</v>
      </c>
    </row>
    <row r="32" spans="1:12" ht="18" x14ac:dyDescent="0.3">
      <c r="A32" s="37" t="s">
        <v>161</v>
      </c>
      <c r="B32" s="2" t="s">
        <v>16</v>
      </c>
      <c r="C32" s="2">
        <v>20</v>
      </c>
      <c r="D32" s="2">
        <v>3.5</v>
      </c>
      <c r="E32" s="7">
        <f>C32*D32</f>
        <v>70</v>
      </c>
      <c r="F32" s="6">
        <f>E32/1.62</f>
        <v>43.209876543209873</v>
      </c>
      <c r="G32" s="2">
        <f>ROUNDUP(F32,0)</f>
        <v>44</v>
      </c>
    </row>
    <row r="33" spans="1:15" ht="18" x14ac:dyDescent="0.3">
      <c r="A33" s="38"/>
      <c r="B33" s="2" t="s">
        <v>17</v>
      </c>
      <c r="C33" s="2">
        <v>16</v>
      </c>
      <c r="D33" s="2">
        <v>3.5</v>
      </c>
      <c r="E33" s="7">
        <f>C33*D33</f>
        <v>56</v>
      </c>
      <c r="F33" s="6">
        <f t="shared" ref="F33:F35" si="21">E33/1.62</f>
        <v>34.567901234567898</v>
      </c>
      <c r="G33" s="2">
        <f t="shared" ref="G33:G35" si="22">ROUNDUP(F33,0)</f>
        <v>35</v>
      </c>
    </row>
    <row r="34" spans="1:15" ht="18" x14ac:dyDescent="0.3">
      <c r="A34" s="38"/>
      <c r="B34" s="2" t="s">
        <v>18</v>
      </c>
      <c r="C34" s="2">
        <v>22</v>
      </c>
      <c r="D34" s="2">
        <v>3.5</v>
      </c>
      <c r="E34" s="7">
        <f>C34*D34</f>
        <v>77</v>
      </c>
      <c r="F34" s="6">
        <f t="shared" si="21"/>
        <v>47.53086419753086</v>
      </c>
      <c r="G34" s="2">
        <f t="shared" si="22"/>
        <v>48</v>
      </c>
    </row>
    <row r="35" spans="1:15" ht="18" x14ac:dyDescent="0.3">
      <c r="A35" s="38"/>
      <c r="B35" s="2" t="s">
        <v>19</v>
      </c>
      <c r="C35" s="2">
        <v>4.8</v>
      </c>
      <c r="D35" s="2">
        <v>3.5</v>
      </c>
      <c r="E35" s="7">
        <f>C35*D35</f>
        <v>16.8</v>
      </c>
      <c r="F35" s="6">
        <f t="shared" si="21"/>
        <v>10.37037037037037</v>
      </c>
      <c r="G35" s="2">
        <f t="shared" si="22"/>
        <v>11</v>
      </c>
    </row>
    <row r="36" spans="1:15" ht="18" x14ac:dyDescent="0.3">
      <c r="A36" s="38"/>
      <c r="B36" s="2" t="s">
        <v>96</v>
      </c>
      <c r="C36" s="2">
        <v>2</v>
      </c>
      <c r="D36" s="2">
        <v>3.5</v>
      </c>
      <c r="E36" s="7">
        <f t="shared" ref="E36:E43" si="23">C36*D36</f>
        <v>7</v>
      </c>
      <c r="F36" s="6">
        <f t="shared" ref="F36:F43" si="24">E36/1.62</f>
        <v>4.3209876543209873</v>
      </c>
      <c r="G36" s="2">
        <f t="shared" ref="G36:G43" si="25">ROUNDUP(F36,0)</f>
        <v>5</v>
      </c>
    </row>
    <row r="37" spans="1:15" ht="18" x14ac:dyDescent="0.3">
      <c r="A37" s="39"/>
      <c r="B37" s="2" t="s">
        <v>97</v>
      </c>
      <c r="C37" s="2">
        <v>12</v>
      </c>
      <c r="D37" s="2">
        <v>3.5</v>
      </c>
      <c r="E37" s="7">
        <f t="shared" si="23"/>
        <v>42</v>
      </c>
      <c r="F37" s="6">
        <f t="shared" si="24"/>
        <v>25.925925925925924</v>
      </c>
      <c r="G37" s="2">
        <f t="shared" si="25"/>
        <v>26</v>
      </c>
    </row>
    <row r="38" spans="1:15" ht="18" x14ac:dyDescent="0.3">
      <c r="A38" s="37" t="s">
        <v>143</v>
      </c>
      <c r="B38" s="2" t="s">
        <v>98</v>
      </c>
      <c r="C38" s="2">
        <v>18</v>
      </c>
      <c r="D38" s="2">
        <v>3.5</v>
      </c>
      <c r="E38" s="7">
        <f t="shared" si="23"/>
        <v>63</v>
      </c>
      <c r="F38" s="6">
        <f t="shared" si="24"/>
        <v>38.888888888888886</v>
      </c>
      <c r="G38" s="2">
        <f t="shared" si="25"/>
        <v>39</v>
      </c>
    </row>
    <row r="39" spans="1:15" ht="18" x14ac:dyDescent="0.3">
      <c r="A39" s="38"/>
      <c r="B39" s="2" t="s">
        <v>99</v>
      </c>
      <c r="C39" s="2">
        <v>5.7</v>
      </c>
      <c r="D39" s="2">
        <v>3.5</v>
      </c>
      <c r="E39" s="7">
        <f t="shared" si="23"/>
        <v>19.95</v>
      </c>
      <c r="F39" s="6">
        <f t="shared" si="24"/>
        <v>12.314814814814813</v>
      </c>
      <c r="G39" s="2">
        <f t="shared" si="25"/>
        <v>13</v>
      </c>
    </row>
    <row r="40" spans="1:15" ht="18" x14ac:dyDescent="0.3">
      <c r="A40" s="38"/>
      <c r="B40" s="2" t="s">
        <v>100</v>
      </c>
      <c r="C40" s="2">
        <v>18</v>
      </c>
      <c r="D40" s="2">
        <v>3.5</v>
      </c>
      <c r="E40" s="7">
        <f t="shared" si="23"/>
        <v>63</v>
      </c>
      <c r="F40" s="6">
        <f t="shared" si="24"/>
        <v>38.888888888888886</v>
      </c>
      <c r="G40" s="2">
        <f t="shared" si="25"/>
        <v>39</v>
      </c>
      <c r="K40" s="1" t="s">
        <v>224</v>
      </c>
    </row>
    <row r="41" spans="1:15" ht="18" x14ac:dyDescent="0.3">
      <c r="A41" s="39"/>
      <c r="B41" s="2" t="s">
        <v>101</v>
      </c>
      <c r="C41" s="2">
        <v>5.7</v>
      </c>
      <c r="D41" s="2">
        <v>3.5</v>
      </c>
      <c r="E41" s="7">
        <f t="shared" si="23"/>
        <v>19.95</v>
      </c>
      <c r="F41" s="6">
        <f t="shared" si="24"/>
        <v>12.314814814814813</v>
      </c>
      <c r="G41" s="2">
        <f t="shared" si="25"/>
        <v>13</v>
      </c>
      <c r="K41" s="1" t="s">
        <v>167</v>
      </c>
      <c r="L41" s="1" t="s">
        <v>152</v>
      </c>
      <c r="M41" s="1" t="s">
        <v>166</v>
      </c>
      <c r="N41" s="1" t="s">
        <v>225</v>
      </c>
    </row>
    <row r="42" spans="1:15" ht="18" x14ac:dyDescent="0.3">
      <c r="A42" s="37" t="s">
        <v>159</v>
      </c>
      <c r="B42" s="2" t="s">
        <v>102</v>
      </c>
      <c r="C42" s="2">
        <v>5.3</v>
      </c>
      <c r="D42" s="2">
        <v>3.5</v>
      </c>
      <c r="E42" s="7">
        <f t="shared" si="23"/>
        <v>18.55</v>
      </c>
      <c r="F42" s="6">
        <f t="shared" si="24"/>
        <v>11.450617283950617</v>
      </c>
      <c r="G42" s="2">
        <f t="shared" si="25"/>
        <v>12</v>
      </c>
      <c r="K42" s="1">
        <v>5.3</v>
      </c>
      <c r="L42" s="1">
        <v>3.5</v>
      </c>
      <c r="M42" s="1">
        <f>K42*L42</f>
        <v>18.55</v>
      </c>
      <c r="N42" s="1">
        <f>M42/2.8</f>
        <v>6.6250000000000009</v>
      </c>
      <c r="O42" s="1">
        <f>ROUNDUP(N42,0)</f>
        <v>7</v>
      </c>
    </row>
    <row r="43" spans="1:15" ht="18" x14ac:dyDescent="0.3">
      <c r="A43" s="38"/>
      <c r="B43" s="2" t="s">
        <v>103</v>
      </c>
      <c r="C43" s="2">
        <v>1.8</v>
      </c>
      <c r="D43" s="2">
        <v>3.5</v>
      </c>
      <c r="E43" s="7">
        <f t="shared" si="23"/>
        <v>6.3</v>
      </c>
      <c r="F43" s="6">
        <f t="shared" si="24"/>
        <v>3.8888888888888884</v>
      </c>
      <c r="G43" s="2">
        <f t="shared" si="25"/>
        <v>4</v>
      </c>
      <c r="M43" s="1">
        <f>K43*L43</f>
        <v>0</v>
      </c>
      <c r="N43" s="1">
        <f>M43/2.8</f>
        <v>0</v>
      </c>
      <c r="O43" s="1">
        <f t="shared" ref="O43:O45" si="26">ROUNDUP(N43,0)</f>
        <v>0</v>
      </c>
    </row>
    <row r="44" spans="1:15" ht="18" x14ac:dyDescent="0.3">
      <c r="A44" s="38"/>
      <c r="B44" s="2"/>
      <c r="C44" s="2">
        <v>5.3</v>
      </c>
      <c r="D44" s="2">
        <v>3.5</v>
      </c>
      <c r="E44" s="7">
        <f t="shared" ref="E44:E48" si="27">C44*D44</f>
        <v>18.55</v>
      </c>
      <c r="F44" s="6">
        <f t="shared" ref="F44:F48" si="28">E44/1.62</f>
        <v>11.450617283950617</v>
      </c>
      <c r="G44" s="2">
        <f t="shared" ref="G44:G48" si="29">ROUNDUP(F44,0)</f>
        <v>12</v>
      </c>
      <c r="M44" s="1">
        <f t="shared" ref="M44:M45" si="30">K44*L44</f>
        <v>0</v>
      </c>
      <c r="N44" s="1">
        <f t="shared" ref="N44:N45" si="31">M44/2.8</f>
        <v>0</v>
      </c>
      <c r="O44" s="1">
        <f t="shared" si="26"/>
        <v>0</v>
      </c>
    </row>
    <row r="45" spans="1:15" ht="18" x14ac:dyDescent="0.3">
      <c r="A45" s="39"/>
      <c r="B45" s="2"/>
      <c r="C45" s="2">
        <v>1.8</v>
      </c>
      <c r="D45" s="2">
        <v>3.5</v>
      </c>
      <c r="E45" s="7">
        <f t="shared" si="27"/>
        <v>6.3</v>
      </c>
      <c r="F45" s="6">
        <f t="shared" si="28"/>
        <v>3.8888888888888884</v>
      </c>
      <c r="G45" s="2">
        <f t="shared" si="29"/>
        <v>4</v>
      </c>
      <c r="M45" s="1">
        <f t="shared" si="30"/>
        <v>0</v>
      </c>
      <c r="N45" s="1">
        <f t="shared" si="31"/>
        <v>0</v>
      </c>
      <c r="O45" s="1">
        <f t="shared" si="26"/>
        <v>0</v>
      </c>
    </row>
    <row r="46" spans="1:15" ht="18" x14ac:dyDescent="0.3">
      <c r="A46" s="37" t="s">
        <v>162</v>
      </c>
      <c r="B46" s="2"/>
      <c r="C46" s="2">
        <v>3.5</v>
      </c>
      <c r="D46" s="2">
        <v>3.5</v>
      </c>
      <c r="E46" s="7">
        <f t="shared" si="27"/>
        <v>12.25</v>
      </c>
      <c r="F46" s="6">
        <f t="shared" si="28"/>
        <v>7.5617283950617278</v>
      </c>
      <c r="G46" s="2">
        <f t="shared" si="29"/>
        <v>8</v>
      </c>
      <c r="O46" s="13">
        <f>SUM(O42:O45)</f>
        <v>7</v>
      </c>
    </row>
    <row r="47" spans="1:15" ht="18" x14ac:dyDescent="0.3">
      <c r="A47" s="39"/>
      <c r="B47" s="2"/>
      <c r="C47" s="2">
        <v>3.6</v>
      </c>
      <c r="D47" s="2">
        <v>3.5</v>
      </c>
      <c r="E47" s="7">
        <f t="shared" si="27"/>
        <v>12.6</v>
      </c>
      <c r="F47" s="6">
        <f t="shared" si="28"/>
        <v>7.7777777777777768</v>
      </c>
      <c r="G47" s="2">
        <f t="shared" si="29"/>
        <v>8</v>
      </c>
    </row>
    <row r="48" spans="1:15" ht="18" x14ac:dyDescent="0.3">
      <c r="A48" s="37" t="s">
        <v>163</v>
      </c>
      <c r="B48" s="2"/>
      <c r="C48" s="2">
        <v>7.8</v>
      </c>
      <c r="D48" s="2">
        <v>3.5</v>
      </c>
      <c r="E48" s="7">
        <f t="shared" si="27"/>
        <v>27.3</v>
      </c>
      <c r="F48" s="6">
        <f t="shared" si="28"/>
        <v>16.851851851851851</v>
      </c>
      <c r="G48" s="2">
        <f t="shared" si="29"/>
        <v>17</v>
      </c>
    </row>
    <row r="49" spans="1:7" ht="18" x14ac:dyDescent="0.3">
      <c r="A49" s="38"/>
      <c r="B49" s="2"/>
      <c r="C49" s="2">
        <v>4.3</v>
      </c>
      <c r="D49" s="2">
        <v>3.5</v>
      </c>
      <c r="E49" s="7">
        <f t="shared" ref="E49:E51" si="32">C49*D49</f>
        <v>15.049999999999999</v>
      </c>
      <c r="F49" s="6">
        <f t="shared" ref="F49:F51" si="33">E49/1.62</f>
        <v>9.2901234567901216</v>
      </c>
      <c r="G49" s="2">
        <f t="shared" ref="G49:G51" si="34">ROUNDUP(F49,0)</f>
        <v>10</v>
      </c>
    </row>
    <row r="50" spans="1:7" ht="18" x14ac:dyDescent="0.3">
      <c r="A50" s="38"/>
      <c r="B50" s="2"/>
      <c r="C50" s="2">
        <v>7.2</v>
      </c>
      <c r="D50" s="2">
        <v>3.5</v>
      </c>
      <c r="E50" s="7">
        <f t="shared" si="32"/>
        <v>25.2</v>
      </c>
      <c r="F50" s="6">
        <f t="shared" si="33"/>
        <v>15.555555555555554</v>
      </c>
      <c r="G50" s="2">
        <f t="shared" si="34"/>
        <v>16</v>
      </c>
    </row>
    <row r="51" spans="1:7" ht="18" x14ac:dyDescent="0.3">
      <c r="A51" s="39"/>
      <c r="B51" s="2"/>
      <c r="C51" s="2">
        <v>4.3</v>
      </c>
      <c r="D51" s="2">
        <v>3.5</v>
      </c>
      <c r="E51" s="7">
        <f t="shared" si="32"/>
        <v>15.049999999999999</v>
      </c>
      <c r="F51" s="6">
        <f t="shared" si="33"/>
        <v>9.2901234567901216</v>
      </c>
      <c r="G51" s="2">
        <f t="shared" si="34"/>
        <v>10</v>
      </c>
    </row>
    <row r="52" spans="1:7" ht="18" x14ac:dyDescent="0.3">
      <c r="A52" s="37" t="s">
        <v>145</v>
      </c>
      <c r="B52" s="2"/>
      <c r="C52" s="2">
        <v>0.8</v>
      </c>
      <c r="D52" s="2">
        <v>3.5</v>
      </c>
      <c r="E52" s="7">
        <f t="shared" ref="E52:E57" si="35">C52*D52</f>
        <v>2.8000000000000003</v>
      </c>
      <c r="F52" s="6">
        <f t="shared" ref="F52:F57" si="36">E52/1.62</f>
        <v>1.7283950617283952</v>
      </c>
      <c r="G52" s="2">
        <f t="shared" ref="G52:G57" si="37">ROUNDUP(F52,0)</f>
        <v>2</v>
      </c>
    </row>
    <row r="53" spans="1:7" ht="18" x14ac:dyDescent="0.3">
      <c r="A53" s="38"/>
      <c r="B53" s="2"/>
      <c r="C53" s="2">
        <v>0.7</v>
      </c>
      <c r="D53" s="2">
        <v>3.5</v>
      </c>
      <c r="E53" s="7">
        <f t="shared" si="35"/>
        <v>2.4499999999999997</v>
      </c>
      <c r="F53" s="6">
        <f t="shared" si="36"/>
        <v>1.5123456790123455</v>
      </c>
      <c r="G53" s="2">
        <f t="shared" si="37"/>
        <v>2</v>
      </c>
    </row>
    <row r="54" spans="1:7" ht="18" x14ac:dyDescent="0.3">
      <c r="A54" s="39"/>
      <c r="B54" s="2"/>
      <c r="C54" s="2">
        <v>0.8</v>
      </c>
      <c r="D54" s="2">
        <v>3.5</v>
      </c>
      <c r="E54" s="7">
        <f t="shared" si="35"/>
        <v>2.8000000000000003</v>
      </c>
      <c r="F54" s="6">
        <f t="shared" si="36"/>
        <v>1.7283950617283952</v>
      </c>
      <c r="G54" s="2">
        <f t="shared" si="37"/>
        <v>2</v>
      </c>
    </row>
    <row r="55" spans="1:7" ht="18" x14ac:dyDescent="0.3">
      <c r="A55" s="37" t="s">
        <v>145</v>
      </c>
      <c r="B55" s="2"/>
      <c r="C55" s="2">
        <v>0.7</v>
      </c>
      <c r="D55" s="2">
        <v>3.5</v>
      </c>
      <c r="E55" s="7">
        <f t="shared" si="35"/>
        <v>2.4499999999999997</v>
      </c>
      <c r="F55" s="6">
        <f t="shared" si="36"/>
        <v>1.5123456790123455</v>
      </c>
      <c r="G55" s="2">
        <f t="shared" si="37"/>
        <v>2</v>
      </c>
    </row>
    <row r="56" spans="1:7" ht="18" x14ac:dyDescent="0.3">
      <c r="A56" s="38"/>
      <c r="B56" s="2"/>
      <c r="C56" s="2">
        <v>0.6</v>
      </c>
      <c r="D56" s="2">
        <v>3.5</v>
      </c>
      <c r="E56" s="7">
        <f t="shared" si="35"/>
        <v>2.1</v>
      </c>
      <c r="F56" s="6">
        <f t="shared" si="36"/>
        <v>1.2962962962962963</v>
      </c>
      <c r="G56" s="2">
        <f t="shared" si="37"/>
        <v>2</v>
      </c>
    </row>
    <row r="57" spans="1:7" ht="18" x14ac:dyDescent="0.3">
      <c r="A57" s="38"/>
      <c r="B57" s="2"/>
      <c r="C57" s="2">
        <v>0.7</v>
      </c>
      <c r="D57" s="2">
        <v>3.5</v>
      </c>
      <c r="E57" s="7">
        <f t="shared" si="35"/>
        <v>2.4499999999999997</v>
      </c>
      <c r="F57" s="6">
        <f t="shared" si="36"/>
        <v>1.5123456790123455</v>
      </c>
      <c r="G57" s="2">
        <f t="shared" si="37"/>
        <v>2</v>
      </c>
    </row>
    <row r="58" spans="1:7" ht="18" x14ac:dyDescent="0.3">
      <c r="A58" s="39"/>
      <c r="B58" s="2"/>
      <c r="C58" s="2">
        <v>0.6</v>
      </c>
      <c r="D58" s="2">
        <v>3.5</v>
      </c>
      <c r="E58" s="7">
        <f t="shared" ref="E58:E62" si="38">C58*D58</f>
        <v>2.1</v>
      </c>
      <c r="F58" s="6">
        <f t="shared" ref="F58:F62" si="39">E58/1.62</f>
        <v>1.2962962962962963</v>
      </c>
      <c r="G58" s="2">
        <f t="shared" ref="G58:G62" si="40">ROUNDUP(F58,0)</f>
        <v>2</v>
      </c>
    </row>
    <row r="59" spans="1:7" ht="18" x14ac:dyDescent="0.3">
      <c r="A59" s="37" t="s">
        <v>145</v>
      </c>
      <c r="B59" s="2"/>
      <c r="C59" s="2">
        <v>0.6</v>
      </c>
      <c r="D59" s="2">
        <v>3.5</v>
      </c>
      <c r="E59" s="7">
        <f t="shared" si="38"/>
        <v>2.1</v>
      </c>
      <c r="F59" s="6">
        <f t="shared" si="39"/>
        <v>1.2962962962962963</v>
      </c>
      <c r="G59" s="2">
        <f t="shared" si="40"/>
        <v>2</v>
      </c>
    </row>
    <row r="60" spans="1:7" ht="18" x14ac:dyDescent="0.3">
      <c r="A60" s="38"/>
      <c r="B60" s="2"/>
      <c r="C60" s="2">
        <v>0.6</v>
      </c>
      <c r="D60" s="2">
        <v>3.5</v>
      </c>
      <c r="E60" s="7">
        <f t="shared" si="38"/>
        <v>2.1</v>
      </c>
      <c r="F60" s="6">
        <f t="shared" si="39"/>
        <v>1.2962962962962963</v>
      </c>
      <c r="G60" s="2">
        <f t="shared" si="40"/>
        <v>2</v>
      </c>
    </row>
    <row r="61" spans="1:7" ht="18" x14ac:dyDescent="0.3">
      <c r="A61" s="38"/>
      <c r="B61" s="2"/>
      <c r="C61" s="2">
        <v>0.6</v>
      </c>
      <c r="D61" s="2">
        <v>3.5</v>
      </c>
      <c r="E61" s="7">
        <f t="shared" si="38"/>
        <v>2.1</v>
      </c>
      <c r="F61" s="6">
        <f t="shared" si="39"/>
        <v>1.2962962962962963</v>
      </c>
      <c r="G61" s="2">
        <f t="shared" si="40"/>
        <v>2</v>
      </c>
    </row>
    <row r="62" spans="1:7" ht="18" x14ac:dyDescent="0.3">
      <c r="A62" s="39"/>
      <c r="B62" s="2"/>
      <c r="C62" s="2">
        <v>0.6</v>
      </c>
      <c r="D62" s="2">
        <v>3.5</v>
      </c>
      <c r="E62" s="7">
        <f t="shared" si="38"/>
        <v>2.1</v>
      </c>
      <c r="F62" s="6">
        <f t="shared" si="39"/>
        <v>1.2962962962962963</v>
      </c>
      <c r="G62" s="2">
        <f t="shared" si="40"/>
        <v>2</v>
      </c>
    </row>
    <row r="63" spans="1:7" ht="18" x14ac:dyDescent="0.3">
      <c r="A63" s="37" t="s">
        <v>164</v>
      </c>
      <c r="B63" s="2"/>
      <c r="C63" s="2">
        <v>3</v>
      </c>
      <c r="D63" s="2">
        <v>3.5</v>
      </c>
      <c r="E63" s="7">
        <f t="shared" ref="E63:E67" si="41">C63*D63</f>
        <v>10.5</v>
      </c>
      <c r="F63" s="6">
        <f t="shared" ref="F63:F67" si="42">E63/1.62</f>
        <v>6.481481481481481</v>
      </c>
      <c r="G63" s="2">
        <f t="shared" ref="G63:G67" si="43">ROUNDUP(F63,0)</f>
        <v>7</v>
      </c>
    </row>
    <row r="64" spans="1:7" ht="18" x14ac:dyDescent="0.3">
      <c r="A64" s="38"/>
      <c r="B64" s="2"/>
      <c r="C64" s="2">
        <v>1.5</v>
      </c>
      <c r="D64" s="2">
        <v>3.5</v>
      </c>
      <c r="E64" s="7">
        <f t="shared" si="41"/>
        <v>5.25</v>
      </c>
      <c r="F64" s="6">
        <f t="shared" si="42"/>
        <v>3.2407407407407405</v>
      </c>
      <c r="G64" s="2">
        <f t="shared" si="43"/>
        <v>4</v>
      </c>
    </row>
    <row r="65" spans="1:11" ht="18" x14ac:dyDescent="0.3">
      <c r="A65" s="38"/>
      <c r="B65" s="2"/>
      <c r="C65" s="2">
        <v>3.2</v>
      </c>
      <c r="D65" s="2">
        <v>3.5</v>
      </c>
      <c r="E65" s="7">
        <f t="shared" si="41"/>
        <v>11.200000000000001</v>
      </c>
      <c r="F65" s="6">
        <f t="shared" si="42"/>
        <v>6.9135802469135808</v>
      </c>
      <c r="G65" s="2">
        <f t="shared" si="43"/>
        <v>7</v>
      </c>
    </row>
    <row r="66" spans="1:11" ht="18" x14ac:dyDescent="0.3">
      <c r="A66" s="39"/>
      <c r="B66" s="2"/>
      <c r="C66" s="2">
        <v>1.7</v>
      </c>
      <c r="D66" s="2">
        <v>3.5</v>
      </c>
      <c r="E66" s="7">
        <f t="shared" si="41"/>
        <v>5.95</v>
      </c>
      <c r="F66" s="6">
        <f t="shared" si="42"/>
        <v>3.6728395061728394</v>
      </c>
      <c r="G66" s="2">
        <f t="shared" si="43"/>
        <v>4</v>
      </c>
    </row>
    <row r="67" spans="1:11" ht="18" x14ac:dyDescent="0.3">
      <c r="A67" s="2"/>
      <c r="B67" s="2"/>
      <c r="C67" s="2"/>
      <c r="D67" s="2">
        <v>3.5</v>
      </c>
      <c r="E67" s="7">
        <f t="shared" si="41"/>
        <v>0</v>
      </c>
      <c r="F67" s="6">
        <f t="shared" si="42"/>
        <v>0</v>
      </c>
      <c r="G67" s="2">
        <f t="shared" si="43"/>
        <v>0</v>
      </c>
    </row>
    <row r="68" spans="1:11" x14ac:dyDescent="0.3">
      <c r="A68" s="2" t="s">
        <v>23</v>
      </c>
      <c r="B68" s="2"/>
      <c r="C68" s="2"/>
      <c r="D68" s="2"/>
      <c r="E68" s="6"/>
      <c r="F68" s="6"/>
      <c r="G68" s="27">
        <f>SUM(G32:G66)</f>
        <v>418</v>
      </c>
    </row>
    <row r="73" spans="1:11" ht="20.25" x14ac:dyDescent="0.3">
      <c r="A73" s="42" t="s">
        <v>28</v>
      </c>
      <c r="B73" s="42"/>
      <c r="C73" s="42"/>
      <c r="D73" s="42"/>
      <c r="E73" s="42"/>
      <c r="F73" s="42"/>
      <c r="G73" s="5"/>
      <c r="K73" s="1" t="s">
        <v>87</v>
      </c>
    </row>
    <row r="74" spans="1:11" ht="18" x14ac:dyDescent="0.3">
      <c r="A74" s="2" t="s">
        <v>14</v>
      </c>
      <c r="B74" s="2" t="s">
        <v>15</v>
      </c>
      <c r="C74" s="2" t="s">
        <v>24</v>
      </c>
      <c r="D74" s="2" t="s">
        <v>25</v>
      </c>
      <c r="E74" s="6" t="s">
        <v>21</v>
      </c>
      <c r="F74" s="6" t="s">
        <v>26</v>
      </c>
      <c r="H74" s="1" t="s">
        <v>59</v>
      </c>
    </row>
    <row r="75" spans="1:11" x14ac:dyDescent="0.3">
      <c r="A75" s="43"/>
      <c r="B75" s="2" t="s">
        <v>16</v>
      </c>
      <c r="C75" s="2"/>
      <c r="D75" s="2"/>
      <c r="E75" s="6">
        <f>C75*D75</f>
        <v>0</v>
      </c>
      <c r="F75" s="6">
        <f>E75/2.88</f>
        <v>0</v>
      </c>
    </row>
    <row r="76" spans="1:11" x14ac:dyDescent="0.3">
      <c r="A76" s="43"/>
      <c r="B76" s="2" t="s">
        <v>17</v>
      </c>
      <c r="C76" s="2"/>
      <c r="D76" s="2"/>
      <c r="E76" s="6">
        <f>C76*D76</f>
        <v>0</v>
      </c>
      <c r="F76" s="6">
        <f t="shared" ref="F76:F78" si="44">E76/2.88</f>
        <v>0</v>
      </c>
    </row>
    <row r="77" spans="1:11" x14ac:dyDescent="0.3">
      <c r="A77" s="43"/>
      <c r="B77" s="2" t="s">
        <v>18</v>
      </c>
      <c r="C77" s="2"/>
      <c r="D77" s="2"/>
      <c r="E77" s="6">
        <f>C77*D77</f>
        <v>0</v>
      </c>
      <c r="F77" s="6">
        <f t="shared" si="44"/>
        <v>0</v>
      </c>
    </row>
    <row r="78" spans="1:11" x14ac:dyDescent="0.3">
      <c r="A78" s="43"/>
      <c r="B78" s="2" t="s">
        <v>19</v>
      </c>
      <c r="C78" s="2"/>
      <c r="D78" s="2"/>
      <c r="E78" s="6">
        <f>C78*D78</f>
        <v>0</v>
      </c>
      <c r="F78" s="6">
        <f t="shared" si="44"/>
        <v>0</v>
      </c>
    </row>
    <row r="79" spans="1:11" x14ac:dyDescent="0.3">
      <c r="A79" s="2" t="s">
        <v>13</v>
      </c>
      <c r="B79" s="2"/>
      <c r="C79" s="2"/>
      <c r="D79" s="2"/>
      <c r="E79" s="6"/>
      <c r="F79" s="6">
        <f>SUM(F75:F78)</f>
        <v>0</v>
      </c>
    </row>
    <row r="85" spans="1:11" ht="20.25" x14ac:dyDescent="0.3">
      <c r="A85" s="41" t="s">
        <v>27</v>
      </c>
      <c r="B85" s="41"/>
      <c r="C85" s="41"/>
      <c r="D85" s="41"/>
      <c r="E85" s="41"/>
      <c r="F85" s="41"/>
      <c r="G85" s="5"/>
      <c r="J85" s="1" t="s">
        <v>29</v>
      </c>
    </row>
    <row r="86" spans="1:11" x14ac:dyDescent="0.3">
      <c r="A86" s="2" t="s">
        <v>14</v>
      </c>
      <c r="B86" s="2" t="s">
        <v>15</v>
      </c>
      <c r="C86" s="2" t="s">
        <v>30</v>
      </c>
      <c r="D86" s="2" t="s">
        <v>31</v>
      </c>
      <c r="E86" s="6" t="s">
        <v>32</v>
      </c>
      <c r="F86" s="6" t="s">
        <v>33</v>
      </c>
      <c r="K86" s="3" t="s">
        <v>44</v>
      </c>
    </row>
    <row r="87" spans="1:11" x14ac:dyDescent="0.3">
      <c r="A87" s="43"/>
      <c r="B87" s="2" t="s">
        <v>16</v>
      </c>
      <c r="C87" s="2">
        <v>5210</v>
      </c>
      <c r="D87" s="2">
        <f>C87/450</f>
        <v>11.577777777777778</v>
      </c>
      <c r="E87" s="6">
        <f>ROUNDUP(D87,0)</f>
        <v>12</v>
      </c>
      <c r="F87" s="6"/>
      <c r="J87" s="1" t="s">
        <v>58</v>
      </c>
    </row>
    <row r="88" spans="1:11" x14ac:dyDescent="0.3">
      <c r="A88" s="43"/>
      <c r="B88" s="2" t="s">
        <v>17</v>
      </c>
      <c r="C88" s="2">
        <v>3450</v>
      </c>
      <c r="D88" s="2">
        <f t="shared" ref="D88:D90" si="45">C88/450</f>
        <v>7.666666666666667</v>
      </c>
      <c r="E88" s="6">
        <f>ROUNDUP(D88,0)</f>
        <v>8</v>
      </c>
      <c r="F88" s="10"/>
      <c r="J88" s="1" t="s">
        <v>88</v>
      </c>
    </row>
    <row r="89" spans="1:11" x14ac:dyDescent="0.3">
      <c r="A89" s="43"/>
      <c r="B89" s="2" t="s">
        <v>18</v>
      </c>
      <c r="C89" s="2"/>
      <c r="D89" s="2">
        <f t="shared" si="45"/>
        <v>0</v>
      </c>
      <c r="E89" s="6">
        <f>ROUNDUP(D89,0)</f>
        <v>0</v>
      </c>
      <c r="F89" s="6"/>
    </row>
    <row r="90" spans="1:11" x14ac:dyDescent="0.3">
      <c r="A90" s="43"/>
      <c r="B90" s="2" t="s">
        <v>19</v>
      </c>
      <c r="C90" s="2"/>
      <c r="D90" s="2">
        <f t="shared" si="45"/>
        <v>0</v>
      </c>
      <c r="E90" s="6">
        <f>ROUNDUP(D90,0)</f>
        <v>0</v>
      </c>
      <c r="F90" s="6"/>
    </row>
    <row r="91" spans="1:11" x14ac:dyDescent="0.3">
      <c r="A91" s="2" t="s">
        <v>13</v>
      </c>
      <c r="B91" s="2"/>
      <c r="C91" s="2"/>
      <c r="D91" s="2"/>
      <c r="E91" s="6">
        <f>SUM(E87:E90)</f>
        <v>20</v>
      </c>
      <c r="F91" s="6">
        <f>E91/13</f>
        <v>1.5384615384615385</v>
      </c>
    </row>
    <row r="94" spans="1:11" ht="20.25" x14ac:dyDescent="0.3">
      <c r="A94" s="5" t="s">
        <v>73</v>
      </c>
    </row>
    <row r="97" spans="1:8" ht="20.25" x14ac:dyDescent="0.3">
      <c r="A97" s="41" t="s">
        <v>45</v>
      </c>
      <c r="B97" s="41"/>
      <c r="C97" s="41"/>
      <c r="D97" s="41"/>
      <c r="E97" s="41"/>
      <c r="F97" s="41"/>
      <c r="H97" s="1" t="s">
        <v>34</v>
      </c>
    </row>
    <row r="98" spans="1:8" x14ac:dyDescent="0.3">
      <c r="A98" s="2" t="s">
        <v>14</v>
      </c>
      <c r="B98" s="2" t="s">
        <v>15</v>
      </c>
      <c r="C98" s="2" t="s">
        <v>30</v>
      </c>
      <c r="D98" s="2" t="s">
        <v>35</v>
      </c>
      <c r="E98" s="6" t="s">
        <v>20</v>
      </c>
    </row>
    <row r="99" spans="1:8" x14ac:dyDescent="0.3">
      <c r="A99" s="43"/>
      <c r="B99" s="2" t="s">
        <v>16</v>
      </c>
      <c r="C99" s="2">
        <v>19807</v>
      </c>
      <c r="D99" s="2">
        <f>C99/2400</f>
        <v>8.2529166666666658</v>
      </c>
      <c r="E99" s="6">
        <f>ROUNDUP(D99,0)</f>
        <v>9</v>
      </c>
    </row>
    <row r="100" spans="1:8" x14ac:dyDescent="0.3">
      <c r="A100" s="43"/>
      <c r="B100" s="2" t="s">
        <v>17</v>
      </c>
      <c r="C100" s="2">
        <v>12000</v>
      </c>
      <c r="D100" s="2">
        <f t="shared" ref="D100:D102" si="46">C100/2400</f>
        <v>5</v>
      </c>
      <c r="E100" s="6">
        <f>ROUNDUP(D100,0)</f>
        <v>5</v>
      </c>
    </row>
    <row r="101" spans="1:8" x14ac:dyDescent="0.3">
      <c r="A101" s="43"/>
      <c r="B101" s="2" t="s">
        <v>18</v>
      </c>
      <c r="C101" s="2">
        <v>7900</v>
      </c>
      <c r="D101" s="2">
        <f t="shared" si="46"/>
        <v>3.2916666666666665</v>
      </c>
      <c r="E101" s="6">
        <f>ROUNDUP(D101,0)</f>
        <v>4</v>
      </c>
    </row>
    <row r="102" spans="1:8" x14ac:dyDescent="0.3">
      <c r="A102" s="43"/>
      <c r="B102" s="2" t="s">
        <v>19</v>
      </c>
      <c r="C102" s="2">
        <v>4400</v>
      </c>
      <c r="D102" s="2">
        <f t="shared" si="46"/>
        <v>1.8333333333333333</v>
      </c>
      <c r="E102" s="6">
        <f>ROUNDUP(D102,0)</f>
        <v>2</v>
      </c>
    </row>
    <row r="103" spans="1:8" x14ac:dyDescent="0.3">
      <c r="A103" s="2"/>
      <c r="B103" s="2" t="s">
        <v>96</v>
      </c>
      <c r="C103" s="2">
        <v>14300</v>
      </c>
      <c r="D103" s="2">
        <f t="shared" ref="D103:D118" si="47">C103/2400</f>
        <v>5.958333333333333</v>
      </c>
      <c r="E103" s="6">
        <f t="shared" ref="E103:E128" si="48">ROUNDUP(D103,0)</f>
        <v>6</v>
      </c>
    </row>
    <row r="104" spans="1:8" x14ac:dyDescent="0.3">
      <c r="A104" s="2"/>
      <c r="B104" s="2" t="s">
        <v>97</v>
      </c>
      <c r="C104" s="2">
        <v>4800</v>
      </c>
      <c r="D104" s="2">
        <f t="shared" si="47"/>
        <v>2</v>
      </c>
      <c r="E104" s="6">
        <f t="shared" si="48"/>
        <v>2</v>
      </c>
    </row>
    <row r="105" spans="1:8" x14ac:dyDescent="0.3">
      <c r="A105" s="2"/>
      <c r="B105" s="2" t="s">
        <v>98</v>
      </c>
      <c r="C105" s="2">
        <v>1910</v>
      </c>
      <c r="D105" s="2">
        <f t="shared" si="47"/>
        <v>0.79583333333333328</v>
      </c>
      <c r="E105" s="6">
        <f t="shared" si="48"/>
        <v>1</v>
      </c>
    </row>
    <row r="106" spans="1:8" x14ac:dyDescent="0.3">
      <c r="A106" s="2"/>
      <c r="B106" s="2" t="s">
        <v>99</v>
      </c>
      <c r="C106" s="2">
        <v>11100</v>
      </c>
      <c r="D106" s="2">
        <f t="shared" si="47"/>
        <v>4.625</v>
      </c>
      <c r="E106" s="6">
        <f t="shared" si="48"/>
        <v>5</v>
      </c>
    </row>
    <row r="107" spans="1:8" x14ac:dyDescent="0.3">
      <c r="A107" s="2"/>
      <c r="B107" s="2" t="s">
        <v>100</v>
      </c>
      <c r="C107" s="2">
        <v>1700</v>
      </c>
      <c r="D107" s="2">
        <f t="shared" si="47"/>
        <v>0.70833333333333337</v>
      </c>
      <c r="E107" s="6">
        <f t="shared" si="48"/>
        <v>1</v>
      </c>
    </row>
    <row r="108" spans="1:8" x14ac:dyDescent="0.3">
      <c r="A108" s="2"/>
      <c r="B108" s="2" t="s">
        <v>101</v>
      </c>
      <c r="C108" s="2">
        <v>3500</v>
      </c>
      <c r="D108" s="2">
        <f t="shared" si="47"/>
        <v>1.4583333333333333</v>
      </c>
      <c r="E108" s="6">
        <f t="shared" si="48"/>
        <v>2</v>
      </c>
    </row>
    <row r="109" spans="1:8" x14ac:dyDescent="0.3">
      <c r="A109" s="2"/>
      <c r="B109" s="2" t="s">
        <v>102</v>
      </c>
      <c r="C109" s="2">
        <v>3600</v>
      </c>
      <c r="D109" s="2">
        <f t="shared" si="47"/>
        <v>1.5</v>
      </c>
      <c r="E109" s="6">
        <f t="shared" si="48"/>
        <v>2</v>
      </c>
    </row>
    <row r="110" spans="1:8" x14ac:dyDescent="0.3">
      <c r="A110" s="2"/>
      <c r="B110" s="2" t="s">
        <v>103</v>
      </c>
      <c r="C110" s="2">
        <v>5210</v>
      </c>
      <c r="D110" s="2">
        <f t="shared" si="47"/>
        <v>2.1708333333333334</v>
      </c>
      <c r="E110" s="6">
        <f t="shared" si="48"/>
        <v>3</v>
      </c>
    </row>
    <row r="111" spans="1:8" x14ac:dyDescent="0.3">
      <c r="A111" s="2"/>
      <c r="B111" s="2" t="s">
        <v>104</v>
      </c>
      <c r="C111" s="2">
        <v>1900</v>
      </c>
      <c r="D111" s="2">
        <f t="shared" si="47"/>
        <v>0.79166666666666663</v>
      </c>
      <c r="E111" s="6">
        <f t="shared" si="48"/>
        <v>1</v>
      </c>
    </row>
    <row r="112" spans="1:8" x14ac:dyDescent="0.3">
      <c r="A112" s="2"/>
      <c r="B112" s="2" t="s">
        <v>122</v>
      </c>
      <c r="C112" s="2">
        <v>5210</v>
      </c>
      <c r="D112" s="2">
        <f t="shared" si="47"/>
        <v>2.1708333333333334</v>
      </c>
      <c r="E112" s="6">
        <f t="shared" si="48"/>
        <v>3</v>
      </c>
    </row>
    <row r="113" spans="1:5" x14ac:dyDescent="0.3">
      <c r="A113" s="2"/>
      <c r="B113" s="2" t="s">
        <v>123</v>
      </c>
      <c r="C113" s="2">
        <v>1900</v>
      </c>
      <c r="D113" s="2">
        <f t="shared" si="47"/>
        <v>0.79166666666666663</v>
      </c>
      <c r="E113" s="6">
        <f t="shared" si="48"/>
        <v>1</v>
      </c>
    </row>
    <row r="114" spans="1:5" x14ac:dyDescent="0.3">
      <c r="A114" s="2"/>
      <c r="B114" s="2" t="s">
        <v>124</v>
      </c>
      <c r="C114" s="2">
        <v>7710</v>
      </c>
      <c r="D114" s="2">
        <f t="shared" si="47"/>
        <v>3.2124999999999999</v>
      </c>
      <c r="E114" s="6">
        <f t="shared" si="48"/>
        <v>4</v>
      </c>
    </row>
    <row r="115" spans="1:5" x14ac:dyDescent="0.3">
      <c r="A115" s="2"/>
      <c r="B115" s="2" t="s">
        <v>125</v>
      </c>
      <c r="C115" s="2">
        <v>4230</v>
      </c>
      <c r="D115" s="2">
        <f t="shared" si="47"/>
        <v>1.7625</v>
      </c>
      <c r="E115" s="6">
        <f t="shared" si="48"/>
        <v>2</v>
      </c>
    </row>
    <row r="116" spans="1:5" x14ac:dyDescent="0.3">
      <c r="A116" s="2"/>
      <c r="B116" s="2" t="s">
        <v>126</v>
      </c>
      <c r="C116" s="2">
        <v>7200</v>
      </c>
      <c r="D116" s="2">
        <f t="shared" si="47"/>
        <v>3</v>
      </c>
      <c r="E116" s="6">
        <f t="shared" si="48"/>
        <v>3</v>
      </c>
    </row>
    <row r="117" spans="1:5" x14ac:dyDescent="0.3">
      <c r="A117" s="2"/>
      <c r="B117" s="2" t="s">
        <v>127</v>
      </c>
      <c r="C117" s="2">
        <v>4300</v>
      </c>
      <c r="D117" s="2">
        <f t="shared" si="47"/>
        <v>1.7916666666666667</v>
      </c>
      <c r="E117" s="6">
        <f t="shared" si="48"/>
        <v>2</v>
      </c>
    </row>
    <row r="118" spans="1:5" x14ac:dyDescent="0.3">
      <c r="A118" s="2"/>
      <c r="B118" s="2" t="s">
        <v>128</v>
      </c>
      <c r="C118" s="2">
        <v>710</v>
      </c>
      <c r="D118" s="2">
        <f t="shared" si="47"/>
        <v>0.29583333333333334</v>
      </c>
      <c r="E118" s="6">
        <f t="shared" si="48"/>
        <v>1</v>
      </c>
    </row>
    <row r="119" spans="1:5" x14ac:dyDescent="0.3">
      <c r="A119" s="2"/>
      <c r="B119" s="2"/>
      <c r="C119" s="2">
        <v>620</v>
      </c>
      <c r="D119" s="2">
        <f t="shared" ref="D119:D122" si="49">C119/2400</f>
        <v>0.25833333333333336</v>
      </c>
      <c r="E119" s="6">
        <f t="shared" si="48"/>
        <v>1</v>
      </c>
    </row>
    <row r="120" spans="1:5" x14ac:dyDescent="0.3">
      <c r="A120" s="2"/>
      <c r="B120" s="2"/>
      <c r="C120" s="2">
        <v>730</v>
      </c>
      <c r="D120" s="2">
        <f t="shared" si="49"/>
        <v>0.30416666666666664</v>
      </c>
      <c r="E120" s="6">
        <f t="shared" si="48"/>
        <v>1</v>
      </c>
    </row>
    <row r="121" spans="1:5" x14ac:dyDescent="0.3">
      <c r="A121" s="2"/>
      <c r="B121" s="2"/>
      <c r="C121" s="2">
        <v>635</v>
      </c>
      <c r="D121" s="2">
        <f t="shared" si="49"/>
        <v>0.26458333333333334</v>
      </c>
      <c r="E121" s="6">
        <f t="shared" si="48"/>
        <v>1</v>
      </c>
    </row>
    <row r="122" spans="1:5" x14ac:dyDescent="0.3">
      <c r="A122" s="2"/>
      <c r="B122" s="2"/>
      <c r="C122" s="2">
        <v>600</v>
      </c>
      <c r="D122" s="2">
        <f t="shared" si="49"/>
        <v>0.25</v>
      </c>
      <c r="E122" s="6">
        <f t="shared" si="48"/>
        <v>1</v>
      </c>
    </row>
    <row r="123" spans="1:5" x14ac:dyDescent="0.3">
      <c r="A123" s="2"/>
      <c r="B123" s="2"/>
      <c r="C123" s="2">
        <v>635</v>
      </c>
      <c r="D123" s="2">
        <f t="shared" ref="D123:D128" si="50">C123/2400</f>
        <v>0.26458333333333334</v>
      </c>
      <c r="E123" s="6">
        <f t="shared" si="48"/>
        <v>1</v>
      </c>
    </row>
    <row r="124" spans="1:5" x14ac:dyDescent="0.3">
      <c r="A124" s="2"/>
      <c r="B124" s="2"/>
      <c r="C124" s="2">
        <v>600</v>
      </c>
      <c r="D124" s="2">
        <f t="shared" si="50"/>
        <v>0.25</v>
      </c>
      <c r="E124" s="6">
        <f t="shared" si="48"/>
        <v>1</v>
      </c>
    </row>
    <row r="125" spans="1:5" x14ac:dyDescent="0.3">
      <c r="A125" s="2"/>
      <c r="B125" s="2"/>
      <c r="C125" s="2">
        <v>610</v>
      </c>
      <c r="D125" s="2">
        <f t="shared" si="50"/>
        <v>0.25416666666666665</v>
      </c>
      <c r="E125" s="6">
        <f t="shared" si="48"/>
        <v>1</v>
      </c>
    </row>
    <row r="126" spans="1:5" x14ac:dyDescent="0.3">
      <c r="A126" s="2"/>
      <c r="B126" s="2"/>
      <c r="C126" s="2">
        <v>600</v>
      </c>
      <c r="D126" s="2">
        <f t="shared" si="50"/>
        <v>0.25</v>
      </c>
      <c r="E126" s="6">
        <f t="shared" si="48"/>
        <v>1</v>
      </c>
    </row>
    <row r="127" spans="1:5" x14ac:dyDescent="0.3">
      <c r="A127" s="2"/>
      <c r="B127" s="2"/>
      <c r="C127" s="2">
        <v>610</v>
      </c>
      <c r="D127" s="2">
        <f t="shared" si="50"/>
        <v>0.25416666666666665</v>
      </c>
      <c r="E127" s="6">
        <f t="shared" si="48"/>
        <v>1</v>
      </c>
    </row>
    <row r="128" spans="1:5" x14ac:dyDescent="0.3">
      <c r="A128" s="2"/>
      <c r="B128" s="2"/>
      <c r="C128" s="2">
        <v>600</v>
      </c>
      <c r="D128" s="2">
        <f t="shared" si="50"/>
        <v>0.25</v>
      </c>
      <c r="E128" s="6">
        <f t="shared" si="48"/>
        <v>1</v>
      </c>
    </row>
    <row r="129" spans="1:8" x14ac:dyDescent="0.3">
      <c r="A129" s="2" t="s">
        <v>23</v>
      </c>
      <c r="B129" s="2"/>
      <c r="C129" s="2"/>
      <c r="D129" s="2"/>
      <c r="E129" s="18">
        <f>SUM(E99:E128)</f>
        <v>69</v>
      </c>
    </row>
    <row r="132" spans="1:8" x14ac:dyDescent="0.3">
      <c r="H132" s="1" t="s">
        <v>37</v>
      </c>
    </row>
    <row r="133" spans="1:8" x14ac:dyDescent="0.3">
      <c r="H133" s="3" t="s">
        <v>46</v>
      </c>
    </row>
    <row r="134" spans="1:8" ht="20.25" x14ac:dyDescent="0.3">
      <c r="A134" s="41" t="s">
        <v>36</v>
      </c>
      <c r="B134" s="41"/>
      <c r="C134" s="41"/>
      <c r="D134" s="41"/>
      <c r="E134" s="41"/>
      <c r="F134" s="41"/>
      <c r="G134" s="13" t="s">
        <v>52</v>
      </c>
      <c r="H134" s="13"/>
    </row>
    <row r="135" spans="1:8" x14ac:dyDescent="0.3">
      <c r="A135" s="2" t="s">
        <v>14</v>
      </c>
      <c r="B135" s="2" t="s">
        <v>15</v>
      </c>
      <c r="C135" s="14" t="s">
        <v>66</v>
      </c>
      <c r="D135" s="14" t="s">
        <v>67</v>
      </c>
      <c r="E135" s="2" t="s">
        <v>113</v>
      </c>
      <c r="F135" s="2" t="s">
        <v>38</v>
      </c>
      <c r="G135" s="6" t="s">
        <v>50</v>
      </c>
      <c r="H135" s="10"/>
    </row>
    <row r="136" spans="1:8" x14ac:dyDescent="0.3">
      <c r="A136" s="43">
        <v>101</v>
      </c>
      <c r="B136" s="2" t="s">
        <v>16</v>
      </c>
      <c r="C136" s="14">
        <v>20</v>
      </c>
      <c r="D136" s="14">
        <v>3.5</v>
      </c>
      <c r="E136" s="2">
        <f>C136*D136</f>
        <v>70</v>
      </c>
      <c r="F136" s="2">
        <f t="shared" ref="F136:F139" si="51">E136*0.3025</f>
        <v>21.175000000000001</v>
      </c>
      <c r="G136" s="6"/>
      <c r="H136" s="10"/>
    </row>
    <row r="137" spans="1:8" x14ac:dyDescent="0.3">
      <c r="A137" s="43"/>
      <c r="B137" s="2" t="s">
        <v>17</v>
      </c>
      <c r="C137" s="14">
        <v>12</v>
      </c>
      <c r="D137" s="14">
        <v>3.5</v>
      </c>
      <c r="E137" s="2">
        <f t="shared" ref="E137:E158" si="52">C137*D137</f>
        <v>42</v>
      </c>
      <c r="F137" s="2">
        <f t="shared" si="51"/>
        <v>12.705</v>
      </c>
      <c r="G137" s="6"/>
      <c r="H137" s="10"/>
    </row>
    <row r="138" spans="1:8" x14ac:dyDescent="0.3">
      <c r="A138" s="43"/>
      <c r="B138" s="2" t="s">
        <v>18</v>
      </c>
      <c r="C138" s="14">
        <v>7.9</v>
      </c>
      <c r="D138" s="14">
        <v>3.5</v>
      </c>
      <c r="E138" s="2">
        <f t="shared" si="52"/>
        <v>27.650000000000002</v>
      </c>
      <c r="F138" s="2">
        <f t="shared" si="51"/>
        <v>8.3641249999999996</v>
      </c>
      <c r="G138" s="6"/>
      <c r="H138" s="10"/>
    </row>
    <row r="139" spans="1:8" x14ac:dyDescent="0.3">
      <c r="A139" s="43"/>
      <c r="B139" s="2" t="s">
        <v>19</v>
      </c>
      <c r="C139" s="14">
        <v>4.4000000000000004</v>
      </c>
      <c r="D139" s="14">
        <v>3.5</v>
      </c>
      <c r="E139" s="2">
        <f t="shared" si="52"/>
        <v>15.400000000000002</v>
      </c>
      <c r="F139" s="2">
        <f t="shared" si="51"/>
        <v>4.6585000000000001</v>
      </c>
      <c r="G139" s="6"/>
      <c r="H139" s="10"/>
    </row>
    <row r="140" spans="1:8" x14ac:dyDescent="0.3">
      <c r="A140" s="2"/>
      <c r="B140" s="2" t="s">
        <v>96</v>
      </c>
      <c r="C140" s="14">
        <v>14.3</v>
      </c>
      <c r="D140" s="14">
        <v>3.5</v>
      </c>
      <c r="E140" s="2">
        <f t="shared" si="52"/>
        <v>50.050000000000004</v>
      </c>
      <c r="F140" s="2">
        <f t="shared" ref="F140:F154" si="53">E140*0.3025</f>
        <v>15.140125000000001</v>
      </c>
      <c r="G140" s="6"/>
      <c r="H140" s="10"/>
    </row>
    <row r="141" spans="1:8" x14ac:dyDescent="0.3">
      <c r="A141" s="2"/>
      <c r="B141" s="2" t="s">
        <v>97</v>
      </c>
      <c r="C141" s="14">
        <v>4.8</v>
      </c>
      <c r="D141" s="14">
        <v>3.5</v>
      </c>
      <c r="E141" s="2">
        <f t="shared" si="52"/>
        <v>16.8</v>
      </c>
      <c r="F141" s="2">
        <f t="shared" si="53"/>
        <v>5.0819999999999999</v>
      </c>
      <c r="G141" s="6"/>
      <c r="H141" s="10"/>
    </row>
    <row r="142" spans="1:8" x14ac:dyDescent="0.3">
      <c r="A142" s="2"/>
      <c r="B142" s="2" t="s">
        <v>98</v>
      </c>
      <c r="C142" s="14">
        <v>2</v>
      </c>
      <c r="D142" s="14">
        <v>3.5</v>
      </c>
      <c r="E142" s="2">
        <f t="shared" si="52"/>
        <v>7</v>
      </c>
      <c r="F142" s="2">
        <f t="shared" si="53"/>
        <v>2.1174999999999997</v>
      </c>
      <c r="G142" s="6"/>
      <c r="H142" s="10"/>
    </row>
    <row r="143" spans="1:8" x14ac:dyDescent="0.3">
      <c r="A143" s="2"/>
      <c r="B143" s="2" t="s">
        <v>99</v>
      </c>
      <c r="C143" s="14">
        <v>12</v>
      </c>
      <c r="D143" s="14">
        <v>3.5</v>
      </c>
      <c r="E143" s="2">
        <f t="shared" si="52"/>
        <v>42</v>
      </c>
      <c r="F143" s="2">
        <f t="shared" si="53"/>
        <v>12.705</v>
      </c>
      <c r="G143" s="6"/>
      <c r="H143" s="10"/>
    </row>
    <row r="144" spans="1:8" x14ac:dyDescent="0.3">
      <c r="A144" s="2"/>
      <c r="B144" s="2" t="s">
        <v>100</v>
      </c>
      <c r="C144" s="14">
        <v>3.5</v>
      </c>
      <c r="D144" s="14">
        <v>3.5</v>
      </c>
      <c r="E144" s="2">
        <f t="shared" si="52"/>
        <v>12.25</v>
      </c>
      <c r="F144" s="2">
        <f t="shared" si="53"/>
        <v>3.7056249999999999</v>
      </c>
      <c r="G144" s="6"/>
      <c r="H144" s="10"/>
    </row>
    <row r="145" spans="1:8" x14ac:dyDescent="0.3">
      <c r="A145" s="2"/>
      <c r="B145" s="2" t="s">
        <v>101</v>
      </c>
      <c r="C145" s="14">
        <v>3.5</v>
      </c>
      <c r="D145" s="14">
        <v>3.5</v>
      </c>
      <c r="E145" s="2">
        <f t="shared" si="52"/>
        <v>12.25</v>
      </c>
      <c r="F145" s="2">
        <f t="shared" si="53"/>
        <v>3.7056249999999999</v>
      </c>
      <c r="G145" s="6"/>
      <c r="H145" s="10"/>
    </row>
    <row r="146" spans="1:8" x14ac:dyDescent="0.3">
      <c r="A146" s="2"/>
      <c r="B146" s="2" t="s">
        <v>102</v>
      </c>
      <c r="C146" s="14">
        <v>5.3</v>
      </c>
      <c r="D146" s="14">
        <v>3.5</v>
      </c>
      <c r="E146" s="2">
        <f t="shared" si="52"/>
        <v>18.55</v>
      </c>
      <c r="F146" s="2">
        <f t="shared" si="53"/>
        <v>5.6113749999999998</v>
      </c>
      <c r="G146" s="6"/>
      <c r="H146" s="10"/>
    </row>
    <row r="147" spans="1:8" x14ac:dyDescent="0.3">
      <c r="A147" s="2"/>
      <c r="B147" s="2" t="s">
        <v>103</v>
      </c>
      <c r="C147" s="14">
        <v>1.9</v>
      </c>
      <c r="D147" s="14">
        <v>3.5</v>
      </c>
      <c r="E147" s="2">
        <f t="shared" si="52"/>
        <v>6.6499999999999995</v>
      </c>
      <c r="F147" s="2">
        <f t="shared" si="53"/>
        <v>2.011625</v>
      </c>
      <c r="G147" s="6"/>
      <c r="H147" s="10"/>
    </row>
    <row r="148" spans="1:8" x14ac:dyDescent="0.3">
      <c r="A148" s="2"/>
      <c r="B148" s="2" t="s">
        <v>104</v>
      </c>
      <c r="C148" s="14">
        <v>5.3</v>
      </c>
      <c r="D148" s="14">
        <v>3.5</v>
      </c>
      <c r="E148" s="2">
        <f t="shared" si="52"/>
        <v>18.55</v>
      </c>
      <c r="F148" s="2">
        <f t="shared" si="53"/>
        <v>5.6113749999999998</v>
      </c>
      <c r="G148" s="6"/>
      <c r="H148" s="10"/>
    </row>
    <row r="149" spans="1:8" x14ac:dyDescent="0.3">
      <c r="A149" s="2"/>
      <c r="B149" s="2" t="s">
        <v>122</v>
      </c>
      <c r="C149" s="14">
        <v>1.9</v>
      </c>
      <c r="D149" s="14">
        <v>3.5</v>
      </c>
      <c r="E149" s="2">
        <f t="shared" si="52"/>
        <v>6.6499999999999995</v>
      </c>
      <c r="F149" s="2">
        <f t="shared" si="53"/>
        <v>2.011625</v>
      </c>
      <c r="G149" s="6"/>
      <c r="H149" s="10"/>
    </row>
    <row r="150" spans="1:8" x14ac:dyDescent="0.3">
      <c r="A150" s="2"/>
      <c r="B150" s="2" t="s">
        <v>123</v>
      </c>
      <c r="C150" s="14">
        <v>5.7</v>
      </c>
      <c r="D150" s="14">
        <v>3.5</v>
      </c>
      <c r="E150" s="2">
        <f t="shared" si="52"/>
        <v>19.95</v>
      </c>
      <c r="F150" s="2">
        <f t="shared" si="53"/>
        <v>6.0348749999999995</v>
      </c>
      <c r="G150" s="6"/>
      <c r="H150" s="10"/>
    </row>
    <row r="151" spans="1:8" x14ac:dyDescent="0.3">
      <c r="A151" s="2"/>
      <c r="B151" s="2" t="s">
        <v>124</v>
      </c>
      <c r="C151" s="14">
        <v>1.8</v>
      </c>
      <c r="D151" s="14">
        <v>3.5</v>
      </c>
      <c r="E151" s="2">
        <f t="shared" si="52"/>
        <v>6.3</v>
      </c>
      <c r="F151" s="2">
        <f t="shared" si="53"/>
        <v>1.9057499999999998</v>
      </c>
      <c r="G151" s="6"/>
      <c r="H151" s="10"/>
    </row>
    <row r="152" spans="1:8" x14ac:dyDescent="0.3">
      <c r="A152" s="2"/>
      <c r="B152" s="2" t="s">
        <v>125</v>
      </c>
      <c r="C152" s="14">
        <v>5.7</v>
      </c>
      <c r="D152" s="14">
        <v>3.5</v>
      </c>
      <c r="E152" s="2">
        <f t="shared" si="52"/>
        <v>19.95</v>
      </c>
      <c r="F152" s="2">
        <f t="shared" si="53"/>
        <v>6.0348749999999995</v>
      </c>
      <c r="G152" s="6"/>
      <c r="H152" s="10"/>
    </row>
    <row r="153" spans="1:8" x14ac:dyDescent="0.3">
      <c r="A153" s="2"/>
      <c r="B153" s="2" t="s">
        <v>126</v>
      </c>
      <c r="C153" s="14">
        <v>1.8</v>
      </c>
      <c r="D153" s="14">
        <v>3.5</v>
      </c>
      <c r="E153" s="2">
        <f t="shared" si="52"/>
        <v>6.3</v>
      </c>
      <c r="F153" s="2">
        <f t="shared" si="53"/>
        <v>1.9057499999999998</v>
      </c>
      <c r="G153" s="6"/>
      <c r="H153" s="10"/>
    </row>
    <row r="154" spans="1:8" x14ac:dyDescent="0.3">
      <c r="A154" s="2"/>
      <c r="B154" s="2" t="s">
        <v>127</v>
      </c>
      <c r="C154" s="14">
        <v>7.8</v>
      </c>
      <c r="D154" s="14">
        <v>3.5</v>
      </c>
      <c r="E154" s="2">
        <f t="shared" si="52"/>
        <v>27.3</v>
      </c>
      <c r="F154" s="2">
        <f t="shared" si="53"/>
        <v>8.2582500000000003</v>
      </c>
      <c r="G154" s="6"/>
      <c r="H154" s="10"/>
    </row>
    <row r="155" spans="1:8" x14ac:dyDescent="0.3">
      <c r="A155" s="2"/>
      <c r="B155" s="2"/>
      <c r="C155" s="14">
        <v>4.3</v>
      </c>
      <c r="D155" s="14">
        <v>3.5</v>
      </c>
      <c r="E155" s="2">
        <f t="shared" si="52"/>
        <v>15.049999999999999</v>
      </c>
      <c r="F155" s="2">
        <f t="shared" ref="F155:F158" si="54">E155*0.3025</f>
        <v>4.5526249999999999</v>
      </c>
      <c r="G155" s="6"/>
      <c r="H155" s="10"/>
    </row>
    <row r="156" spans="1:8" x14ac:dyDescent="0.3">
      <c r="A156" s="2"/>
      <c r="B156" s="2"/>
      <c r="C156" s="14">
        <v>7.2</v>
      </c>
      <c r="D156" s="14">
        <v>3.5</v>
      </c>
      <c r="E156" s="2">
        <f t="shared" si="52"/>
        <v>25.2</v>
      </c>
      <c r="F156" s="2">
        <f t="shared" si="54"/>
        <v>7.6229999999999993</v>
      </c>
      <c r="G156" s="6"/>
      <c r="H156" s="10"/>
    </row>
    <row r="157" spans="1:8" x14ac:dyDescent="0.3">
      <c r="A157" s="2"/>
      <c r="B157" s="2"/>
      <c r="C157" s="14">
        <v>4.3</v>
      </c>
      <c r="D157" s="14">
        <v>3.5</v>
      </c>
      <c r="E157" s="2">
        <f t="shared" si="52"/>
        <v>15.049999999999999</v>
      </c>
      <c r="F157" s="2">
        <f t="shared" si="54"/>
        <v>4.5526249999999999</v>
      </c>
      <c r="G157" s="6"/>
      <c r="H157" s="10"/>
    </row>
    <row r="158" spans="1:8" x14ac:dyDescent="0.3">
      <c r="A158" s="2"/>
      <c r="B158" s="2"/>
      <c r="C158" s="14"/>
      <c r="D158" s="14"/>
      <c r="E158" s="2">
        <f t="shared" si="52"/>
        <v>0</v>
      </c>
      <c r="F158" s="2">
        <f t="shared" si="54"/>
        <v>0</v>
      </c>
      <c r="G158" s="6"/>
      <c r="H158" s="10"/>
    </row>
    <row r="159" spans="1:8" x14ac:dyDescent="0.3">
      <c r="A159" s="2" t="s">
        <v>23</v>
      </c>
      <c r="B159" s="2"/>
      <c r="C159" s="14"/>
      <c r="D159" s="14"/>
      <c r="E159" s="2"/>
      <c r="F159" s="2">
        <f>SUM(F136:F158)</f>
        <v>145.47224999999995</v>
      </c>
      <c r="G159" s="18">
        <f>F159/5</f>
        <v>29.094449999999988</v>
      </c>
      <c r="H159" s="10"/>
    </row>
    <row r="162" spans="1:8" ht="20.25" x14ac:dyDescent="0.3">
      <c r="A162" s="5" t="s">
        <v>74</v>
      </c>
    </row>
    <row r="165" spans="1:8" ht="20.25" x14ac:dyDescent="0.3">
      <c r="A165" s="41" t="s">
        <v>39</v>
      </c>
      <c r="B165" s="41"/>
      <c r="C165" s="41"/>
      <c r="D165" s="41"/>
      <c r="E165" s="41"/>
      <c r="H165" s="1" t="s">
        <v>40</v>
      </c>
    </row>
    <row r="166" spans="1:8" x14ac:dyDescent="0.3">
      <c r="A166" s="1" t="s">
        <v>39</v>
      </c>
      <c r="B166" s="1" t="s">
        <v>41</v>
      </c>
    </row>
    <row r="167" spans="1:8" x14ac:dyDescent="0.3">
      <c r="A167" s="2" t="s">
        <v>14</v>
      </c>
      <c r="B167" s="2" t="s">
        <v>3</v>
      </c>
      <c r="C167" s="2" t="s">
        <v>66</v>
      </c>
      <c r="D167" s="2" t="s">
        <v>67</v>
      </c>
      <c r="E167" s="6" t="s">
        <v>68</v>
      </c>
    </row>
    <row r="168" spans="1:8" x14ac:dyDescent="0.3">
      <c r="A168" s="2"/>
      <c r="B168" s="2"/>
      <c r="C168" s="2">
        <v>7</v>
      </c>
      <c r="D168" s="2">
        <v>0.2</v>
      </c>
      <c r="E168" s="6">
        <f>C168*D168</f>
        <v>1.4000000000000001</v>
      </c>
    </row>
    <row r="169" spans="1:8" x14ac:dyDescent="0.3">
      <c r="A169" s="2"/>
      <c r="B169" s="2"/>
      <c r="C169" s="2">
        <v>5</v>
      </c>
      <c r="D169" s="2">
        <v>0.2</v>
      </c>
      <c r="E169" s="6">
        <f t="shared" ref="E169:E172" si="55">C169*D169</f>
        <v>1</v>
      </c>
    </row>
    <row r="170" spans="1:8" x14ac:dyDescent="0.3">
      <c r="A170" s="2"/>
      <c r="B170" s="2"/>
      <c r="C170" s="2">
        <v>5.0999999999999996</v>
      </c>
      <c r="D170" s="2">
        <v>0.2</v>
      </c>
      <c r="E170" s="6">
        <f t="shared" si="55"/>
        <v>1.02</v>
      </c>
    </row>
    <row r="171" spans="1:8" x14ac:dyDescent="0.3">
      <c r="A171" s="2"/>
      <c r="B171" s="2"/>
      <c r="C171" s="2">
        <v>16</v>
      </c>
      <c r="D171" s="2">
        <v>0.2</v>
      </c>
      <c r="E171" s="6">
        <f t="shared" si="55"/>
        <v>3.2</v>
      </c>
    </row>
    <row r="172" spans="1:8" x14ac:dyDescent="0.3">
      <c r="C172" s="1">
        <v>22</v>
      </c>
      <c r="D172" s="2">
        <v>0.2</v>
      </c>
      <c r="E172" s="8">
        <f t="shared" si="55"/>
        <v>4.4000000000000004</v>
      </c>
    </row>
    <row r="178" spans="1:5" ht="16.5" customHeight="1" x14ac:dyDescent="0.3">
      <c r="A178" s="41" t="s">
        <v>53</v>
      </c>
      <c r="B178" s="41"/>
      <c r="C178" s="41"/>
      <c r="D178" s="41"/>
      <c r="E178" s="41"/>
    </row>
    <row r="179" spans="1:5" ht="33" x14ac:dyDescent="0.3">
      <c r="B179" s="2" t="s">
        <v>14</v>
      </c>
      <c r="C179" s="2" t="s">
        <v>54</v>
      </c>
      <c r="D179" s="9" t="s">
        <v>55</v>
      </c>
      <c r="E179" s="6" t="s">
        <v>62</v>
      </c>
    </row>
    <row r="180" spans="1:5" x14ac:dyDescent="0.3">
      <c r="B180" s="43" t="s">
        <v>60</v>
      </c>
      <c r="C180" s="2"/>
      <c r="D180" s="2">
        <f>C180/1.44</f>
        <v>0</v>
      </c>
      <c r="E180" s="40">
        <f>SUM(D180:D189)</f>
        <v>0</v>
      </c>
    </row>
    <row r="181" spans="1:5" x14ac:dyDescent="0.3">
      <c r="B181" s="43"/>
      <c r="C181" s="2"/>
      <c r="D181" s="2">
        <f t="shared" ref="D181:D190" si="56">C181/1.44</f>
        <v>0</v>
      </c>
      <c r="E181" s="40"/>
    </row>
    <row r="182" spans="1:5" x14ac:dyDescent="0.3">
      <c r="B182" s="43"/>
      <c r="C182" s="2"/>
      <c r="D182" s="2">
        <f t="shared" si="56"/>
        <v>0</v>
      </c>
      <c r="E182" s="40"/>
    </row>
    <row r="183" spans="1:5" x14ac:dyDescent="0.3">
      <c r="B183" s="43"/>
      <c r="C183" s="2"/>
      <c r="D183" s="2">
        <f t="shared" si="56"/>
        <v>0</v>
      </c>
      <c r="E183" s="40"/>
    </row>
    <row r="184" spans="1:5" x14ac:dyDescent="0.3">
      <c r="B184" s="43"/>
      <c r="C184" s="2"/>
      <c r="D184" s="2">
        <f t="shared" si="56"/>
        <v>0</v>
      </c>
      <c r="E184" s="40"/>
    </row>
    <row r="185" spans="1:5" x14ac:dyDescent="0.3">
      <c r="B185" s="43"/>
      <c r="C185" s="2"/>
      <c r="D185" s="2">
        <f t="shared" si="56"/>
        <v>0</v>
      </c>
      <c r="E185" s="40"/>
    </row>
    <row r="186" spans="1:5" x14ac:dyDescent="0.3">
      <c r="B186" s="43"/>
      <c r="C186" s="2"/>
      <c r="D186" s="2">
        <f t="shared" si="56"/>
        <v>0</v>
      </c>
      <c r="E186" s="40"/>
    </row>
    <row r="187" spans="1:5" x14ac:dyDescent="0.3">
      <c r="B187" s="43"/>
      <c r="C187" s="2"/>
      <c r="D187" s="2">
        <f t="shared" si="56"/>
        <v>0</v>
      </c>
      <c r="E187" s="40"/>
    </row>
    <row r="188" spans="1:5" x14ac:dyDescent="0.3">
      <c r="B188" s="43"/>
      <c r="C188" s="2"/>
      <c r="D188" s="2">
        <f t="shared" si="56"/>
        <v>0</v>
      </c>
      <c r="E188" s="40"/>
    </row>
    <row r="189" spans="1:5" x14ac:dyDescent="0.3">
      <c r="B189" s="43"/>
      <c r="C189" s="2"/>
      <c r="D189" s="2">
        <f t="shared" si="56"/>
        <v>0</v>
      </c>
      <c r="E189" s="40"/>
    </row>
    <row r="190" spans="1:5" x14ac:dyDescent="0.3">
      <c r="B190" s="2" t="s">
        <v>61</v>
      </c>
      <c r="C190" s="2"/>
      <c r="D190" s="2">
        <f t="shared" si="56"/>
        <v>0</v>
      </c>
      <c r="E190" s="6">
        <v>8</v>
      </c>
    </row>
    <row r="191" spans="1:5" x14ac:dyDescent="0.3">
      <c r="B191" s="2" t="s">
        <v>13</v>
      </c>
      <c r="C191" s="2"/>
      <c r="D191" s="2">
        <f>SUM(D180:D190)</f>
        <v>0</v>
      </c>
      <c r="E191" s="6"/>
    </row>
    <row r="196" spans="1:13" ht="20.25" x14ac:dyDescent="0.3">
      <c r="A196" s="41" t="s">
        <v>56</v>
      </c>
      <c r="B196" s="41"/>
      <c r="C196" s="41"/>
      <c r="D196" s="41"/>
      <c r="G196" s="1" t="s">
        <v>89</v>
      </c>
    </row>
    <row r="197" spans="1:13" ht="33" x14ac:dyDescent="0.3">
      <c r="A197" s="19"/>
      <c r="B197" s="21" t="s">
        <v>14</v>
      </c>
      <c r="C197" s="21" t="s">
        <v>54</v>
      </c>
      <c r="D197" s="22" t="s">
        <v>57</v>
      </c>
      <c r="E197" s="20"/>
      <c r="G197" s="1" t="s">
        <v>90</v>
      </c>
      <c r="I197" s="2" t="s">
        <v>14</v>
      </c>
      <c r="J197" s="2" t="s">
        <v>92</v>
      </c>
      <c r="K197" s="14" t="s">
        <v>93</v>
      </c>
      <c r="L197" s="9" t="s">
        <v>13</v>
      </c>
      <c r="M197" s="14" t="s">
        <v>94</v>
      </c>
    </row>
    <row r="198" spans="1:13" x14ac:dyDescent="0.3">
      <c r="A198" s="19"/>
      <c r="B198" s="21"/>
      <c r="C198" s="21"/>
      <c r="D198" s="21">
        <f>C198/3.24</f>
        <v>0</v>
      </c>
      <c r="E198" s="20"/>
      <c r="G198" s="1" t="s">
        <v>91</v>
      </c>
      <c r="I198" s="2"/>
      <c r="J198" s="2"/>
      <c r="K198" s="14"/>
      <c r="L198" s="2">
        <f>J198*K198</f>
        <v>0</v>
      </c>
      <c r="M198" s="14">
        <f>L198/16</f>
        <v>0</v>
      </c>
    </row>
    <row r="199" spans="1:13" x14ac:dyDescent="0.3">
      <c r="A199" s="19"/>
      <c r="B199" s="21"/>
      <c r="C199" s="21"/>
      <c r="D199" s="21">
        <f t="shared" ref="D199:D201" si="57">C199/3.24</f>
        <v>0</v>
      </c>
      <c r="E199" s="20"/>
      <c r="I199" s="2"/>
      <c r="J199" s="2"/>
      <c r="K199" s="14"/>
      <c r="L199" s="2">
        <f t="shared" ref="L199:L201" si="58">J199*K199</f>
        <v>0</v>
      </c>
      <c r="M199" s="14">
        <f t="shared" ref="M199:M201" si="59">L199/16</f>
        <v>0</v>
      </c>
    </row>
    <row r="200" spans="1:13" x14ac:dyDescent="0.3">
      <c r="A200" s="19"/>
      <c r="B200" s="21"/>
      <c r="C200" s="21"/>
      <c r="D200" s="21">
        <f t="shared" si="57"/>
        <v>0</v>
      </c>
      <c r="E200" s="20"/>
      <c r="I200" s="2"/>
      <c r="J200" s="2"/>
      <c r="K200" s="14"/>
      <c r="L200" s="2">
        <f t="shared" si="58"/>
        <v>0</v>
      </c>
      <c r="M200" s="14">
        <f t="shared" si="59"/>
        <v>0</v>
      </c>
    </row>
    <row r="201" spans="1:13" x14ac:dyDescent="0.3">
      <c r="A201" s="19"/>
      <c r="B201" s="21"/>
      <c r="C201" s="21"/>
      <c r="D201" s="21">
        <f t="shared" si="57"/>
        <v>0</v>
      </c>
      <c r="E201" s="20"/>
      <c r="I201" s="2"/>
      <c r="J201" s="2"/>
      <c r="K201" s="14"/>
      <c r="L201" s="2">
        <f t="shared" si="58"/>
        <v>0</v>
      </c>
      <c r="M201" s="14">
        <f t="shared" si="59"/>
        <v>0</v>
      </c>
    </row>
    <row r="202" spans="1:13" x14ac:dyDescent="0.3">
      <c r="A202" s="19"/>
      <c r="B202" s="21" t="s">
        <v>13</v>
      </c>
      <c r="C202" s="21"/>
      <c r="D202" s="21">
        <f>SUM(D198:D201)</f>
        <v>0</v>
      </c>
      <c r="E202" s="20"/>
      <c r="I202" s="2" t="s">
        <v>13</v>
      </c>
      <c r="J202" s="2"/>
      <c r="K202" s="14"/>
      <c r="L202" s="2">
        <f>SUM(L198:L201)</f>
        <v>0</v>
      </c>
      <c r="M202" s="14">
        <f>SUM(M198:M201)</f>
        <v>0</v>
      </c>
    </row>
    <row r="203" spans="1:13" x14ac:dyDescent="0.3">
      <c r="A203" s="19"/>
      <c r="B203" s="19"/>
      <c r="C203" s="19"/>
      <c r="D203" s="19"/>
      <c r="E203" s="20"/>
    </row>
    <row r="205" spans="1:13" ht="20.25" x14ac:dyDescent="0.3">
      <c r="B205" s="5" t="s">
        <v>75</v>
      </c>
    </row>
    <row r="206" spans="1:13" x14ac:dyDescent="0.3">
      <c r="B206" s="2" t="s">
        <v>2</v>
      </c>
      <c r="C206" s="2" t="s">
        <v>77</v>
      </c>
      <c r="D206" s="2" t="s">
        <v>78</v>
      </c>
      <c r="E206" s="6" t="s">
        <v>13</v>
      </c>
    </row>
    <row r="207" spans="1:13" x14ac:dyDescent="0.3">
      <c r="B207" s="2"/>
      <c r="C207" s="2" t="s">
        <v>148</v>
      </c>
      <c r="E207" s="2">
        <v>192000</v>
      </c>
    </row>
    <row r="208" spans="1:13" x14ac:dyDescent="0.3">
      <c r="B208" s="2"/>
      <c r="C208" s="2" t="s">
        <v>151</v>
      </c>
      <c r="D208" s="2"/>
      <c r="E208" s="6">
        <v>3600</v>
      </c>
      <c r="K208" s="1">
        <v>22800</v>
      </c>
    </row>
    <row r="209" spans="1:11" x14ac:dyDescent="0.3">
      <c r="B209" s="2"/>
      <c r="C209" s="2"/>
      <c r="D209" s="2"/>
      <c r="E209" s="6"/>
      <c r="K209" s="1">
        <v>14400</v>
      </c>
    </row>
    <row r="210" spans="1:11" x14ac:dyDescent="0.3">
      <c r="K210" s="1">
        <v>22800</v>
      </c>
    </row>
    <row r="211" spans="1:11" x14ac:dyDescent="0.3">
      <c r="K211" s="1">
        <v>14400</v>
      </c>
    </row>
    <row r="212" spans="1:11" ht="20.25" x14ac:dyDescent="0.3">
      <c r="B212" s="5" t="s">
        <v>74</v>
      </c>
      <c r="D212" s="1" t="s">
        <v>81</v>
      </c>
      <c r="K212" s="1">
        <v>22800</v>
      </c>
    </row>
    <row r="213" spans="1:11" x14ac:dyDescent="0.3">
      <c r="K213" s="1">
        <v>14400</v>
      </c>
    </row>
    <row r="214" spans="1:11" x14ac:dyDescent="0.3">
      <c r="K214" s="1">
        <v>5100</v>
      </c>
    </row>
    <row r="215" spans="1:11" x14ac:dyDescent="0.3">
      <c r="B215" s="1" t="s">
        <v>165</v>
      </c>
      <c r="K215" s="1">
        <v>5100</v>
      </c>
    </row>
    <row r="216" spans="1:11" x14ac:dyDescent="0.3">
      <c r="A216" s="14" t="s">
        <v>14</v>
      </c>
      <c r="B216" s="14" t="s">
        <v>3</v>
      </c>
      <c r="C216" s="14" t="s">
        <v>167</v>
      </c>
      <c r="D216" s="14" t="s">
        <v>152</v>
      </c>
      <c r="E216" s="6" t="s">
        <v>166</v>
      </c>
      <c r="K216" s="1">
        <v>15000</v>
      </c>
    </row>
    <row r="217" spans="1:11" x14ac:dyDescent="0.3">
      <c r="A217" s="43"/>
      <c r="B217" s="14"/>
      <c r="C217" s="14">
        <v>5.3</v>
      </c>
      <c r="D217" s="14">
        <v>3.5</v>
      </c>
      <c r="E217" s="6">
        <f t="shared" ref="E217:E225" si="60">C217*D217</f>
        <v>18.55</v>
      </c>
      <c r="K217" s="1">
        <v>3000</v>
      </c>
    </row>
    <row r="218" spans="1:11" x14ac:dyDescent="0.3">
      <c r="A218" s="43"/>
      <c r="B218" s="14"/>
      <c r="C218" s="14"/>
      <c r="D218" s="14">
        <v>3.5</v>
      </c>
      <c r="E218" s="6">
        <f t="shared" si="60"/>
        <v>0</v>
      </c>
      <c r="K218" s="1">
        <v>6000</v>
      </c>
    </row>
    <row r="219" spans="1:11" x14ac:dyDescent="0.3">
      <c r="A219" s="14"/>
      <c r="B219" s="14"/>
      <c r="C219" s="14"/>
      <c r="D219" s="14"/>
      <c r="E219" s="6">
        <f t="shared" si="60"/>
        <v>0</v>
      </c>
      <c r="K219" s="1">
        <v>6000</v>
      </c>
    </row>
    <row r="220" spans="1:11" x14ac:dyDescent="0.3">
      <c r="A220" s="14"/>
      <c r="B220" s="14"/>
      <c r="C220" s="14"/>
      <c r="D220" s="14"/>
      <c r="E220" s="6">
        <f t="shared" si="60"/>
        <v>0</v>
      </c>
      <c r="K220" s="1">
        <v>10200</v>
      </c>
    </row>
    <row r="221" spans="1:11" x14ac:dyDescent="0.3">
      <c r="A221" s="14"/>
      <c r="B221" s="14"/>
      <c r="C221" s="14"/>
      <c r="D221" s="14"/>
      <c r="E221" s="6">
        <f t="shared" si="60"/>
        <v>0</v>
      </c>
      <c r="K221" s="1">
        <v>15600</v>
      </c>
    </row>
    <row r="222" spans="1:11" x14ac:dyDescent="0.3">
      <c r="A222" s="14"/>
      <c r="B222" s="14"/>
      <c r="C222" s="14"/>
      <c r="D222" s="14"/>
      <c r="E222" s="6">
        <f t="shared" si="60"/>
        <v>0</v>
      </c>
      <c r="K222" s="1">
        <v>7200</v>
      </c>
    </row>
    <row r="223" spans="1:11" x14ac:dyDescent="0.3">
      <c r="A223" s="14"/>
      <c r="B223" s="14"/>
      <c r="C223" s="14"/>
      <c r="D223" s="14"/>
      <c r="E223" s="6">
        <f t="shared" si="60"/>
        <v>0</v>
      </c>
      <c r="K223" s="1">
        <v>3600</v>
      </c>
    </row>
    <row r="224" spans="1:11" x14ac:dyDescent="0.3">
      <c r="A224" s="14"/>
      <c r="B224" s="14"/>
      <c r="C224" s="14"/>
      <c r="D224" s="14"/>
      <c r="E224" s="6">
        <f t="shared" si="60"/>
        <v>0</v>
      </c>
      <c r="K224" s="1">
        <v>3600</v>
      </c>
    </row>
    <row r="225" spans="1:11" x14ac:dyDescent="0.3">
      <c r="A225" s="14"/>
      <c r="B225" s="14"/>
      <c r="C225" s="14"/>
      <c r="D225" s="14"/>
      <c r="E225" s="6">
        <f t="shared" si="60"/>
        <v>0</v>
      </c>
      <c r="K225" s="1">
        <f>SUM(K208:K224)</f>
        <v>192000</v>
      </c>
    </row>
    <row r="226" spans="1:11" x14ac:dyDescent="0.3">
      <c r="A226" s="14"/>
      <c r="B226" s="14"/>
      <c r="C226" s="14"/>
      <c r="D226" s="14"/>
      <c r="E226" s="18">
        <f>SUM(E217:E225)</f>
        <v>18.55</v>
      </c>
    </row>
    <row r="227" spans="1:11" x14ac:dyDescent="0.3">
      <c r="A227" s="14"/>
      <c r="B227" s="14"/>
      <c r="C227" s="14"/>
      <c r="D227" s="14"/>
      <c r="E227" s="6">
        <f>C227*D227</f>
        <v>0</v>
      </c>
    </row>
    <row r="228" spans="1:11" x14ac:dyDescent="0.3">
      <c r="A228" s="14"/>
      <c r="B228" s="14"/>
      <c r="C228" s="14"/>
      <c r="D228" s="14"/>
      <c r="E228" s="6"/>
    </row>
    <row r="229" spans="1:11" x14ac:dyDescent="0.3">
      <c r="A229" s="14"/>
      <c r="B229" s="14"/>
      <c r="C229" s="14"/>
      <c r="D229" s="14"/>
      <c r="E229" s="6"/>
    </row>
  </sheetData>
  <mergeCells count="37">
    <mergeCell ref="A59:A62"/>
    <mergeCell ref="A63:A66"/>
    <mergeCell ref="A217:A218"/>
    <mergeCell ref="A42:A45"/>
    <mergeCell ref="A46:A47"/>
    <mergeCell ref="A48:A51"/>
    <mergeCell ref="A52:A54"/>
    <mergeCell ref="A55:A58"/>
    <mergeCell ref="A87:A90"/>
    <mergeCell ref="A73:F73"/>
    <mergeCell ref="A75:A78"/>
    <mergeCell ref="A85:F85"/>
    <mergeCell ref="F18:F19"/>
    <mergeCell ref="F20:F21"/>
    <mergeCell ref="F22:F23"/>
    <mergeCell ref="A32:A37"/>
    <mergeCell ref="A38:A41"/>
    <mergeCell ref="A30:F30"/>
    <mergeCell ref="A16:A19"/>
    <mergeCell ref="A20:A23"/>
    <mergeCell ref="F16:F17"/>
    <mergeCell ref="B180:B189"/>
    <mergeCell ref="E180:E189"/>
    <mergeCell ref="A196:D196"/>
    <mergeCell ref="A97:F97"/>
    <mergeCell ref="A99:A102"/>
    <mergeCell ref="A134:F134"/>
    <mergeCell ref="A136:A139"/>
    <mergeCell ref="A165:E165"/>
    <mergeCell ref="A178:E178"/>
    <mergeCell ref="A2:G2"/>
    <mergeCell ref="A6:F6"/>
    <mergeCell ref="A8:A15"/>
    <mergeCell ref="F8:F9"/>
    <mergeCell ref="F10:F11"/>
    <mergeCell ref="F12:F13"/>
    <mergeCell ref="F14:F15"/>
  </mergeCells>
  <phoneticPr fontId="1" type="noConversion"/>
  <dataValidations count="1">
    <dataValidation type="list" allowBlank="1" showInputMessage="1" showErrorMessage="1" sqref="D9 D11 D13 D15 D17 D19 D21 D23" xr:uid="{2010E691-7178-4B81-ABAF-3CCF4C8034A7}">
      <formula1>"2400,2700,3000,3600"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4C07-E409-439B-942B-C9C2C6E921E4}">
  <dimension ref="A2:R305"/>
  <sheetViews>
    <sheetView topLeftCell="A60" workbookViewId="0">
      <selection activeCell="O82" sqref="O82"/>
    </sheetView>
  </sheetViews>
  <sheetFormatPr defaultRowHeight="16.5" x14ac:dyDescent="0.3"/>
  <cols>
    <col min="1" max="2" width="9" style="1"/>
    <col min="3" max="3" width="14.5" style="1" customWidth="1"/>
    <col min="4" max="4" width="13.5" style="1" customWidth="1"/>
    <col min="5" max="5" width="11.25" style="8" customWidth="1"/>
    <col min="6" max="6" width="10.125" style="11" customWidth="1"/>
    <col min="7" max="7" width="11.625" style="1" customWidth="1"/>
    <col min="8" max="10" width="9" style="1"/>
    <col min="11" max="11" width="13.75" style="1" customWidth="1"/>
    <col min="12" max="12" width="14.25" style="1" customWidth="1"/>
    <col min="13" max="16384" width="9" style="1"/>
  </cols>
  <sheetData>
    <row r="2" spans="1:13" ht="20.25" x14ac:dyDescent="0.3">
      <c r="A2" s="41" t="s">
        <v>0</v>
      </c>
      <c r="B2" s="41"/>
      <c r="C2" s="41"/>
      <c r="D2" s="41"/>
      <c r="E2" s="41"/>
      <c r="F2" s="41"/>
      <c r="G2" s="41"/>
    </row>
    <row r="6" spans="1:13" ht="20.25" x14ac:dyDescent="0.3">
      <c r="A6" s="41" t="s">
        <v>1</v>
      </c>
      <c r="B6" s="41"/>
      <c r="C6" s="41"/>
      <c r="D6" s="41"/>
      <c r="E6" s="41"/>
      <c r="F6" s="41"/>
      <c r="I6" s="1" t="s">
        <v>51</v>
      </c>
    </row>
    <row r="7" spans="1:13" x14ac:dyDescent="0.3">
      <c r="A7" s="2" t="s">
        <v>2</v>
      </c>
      <c r="B7" s="2" t="s">
        <v>3</v>
      </c>
      <c r="C7" s="2" t="s">
        <v>10</v>
      </c>
      <c r="D7" s="2" t="s">
        <v>47</v>
      </c>
      <c r="E7" s="6" t="s">
        <v>48</v>
      </c>
      <c r="F7" s="6" t="s">
        <v>13</v>
      </c>
      <c r="G7" s="2" t="s">
        <v>43</v>
      </c>
      <c r="H7"/>
      <c r="I7" s="16" t="s">
        <v>72</v>
      </c>
      <c r="J7" s="17"/>
      <c r="K7" s="17"/>
      <c r="L7"/>
    </row>
    <row r="8" spans="1:13" x14ac:dyDescent="0.3">
      <c r="A8" s="43" t="s">
        <v>105</v>
      </c>
      <c r="B8" s="2" t="s">
        <v>4</v>
      </c>
      <c r="C8" s="2">
        <v>9500</v>
      </c>
      <c r="D8" s="2"/>
      <c r="E8" s="6">
        <f>(C8/450)+1</f>
        <v>22.111111111111111</v>
      </c>
      <c r="F8" s="40">
        <f>E8+E9</f>
        <v>28.444444444444443</v>
      </c>
      <c r="G8" s="2"/>
      <c r="H8"/>
      <c r="I8"/>
      <c r="J8"/>
      <c r="K8"/>
      <c r="L8" s="4" t="s">
        <v>49</v>
      </c>
      <c r="M8" s="14" t="s">
        <v>63</v>
      </c>
    </row>
    <row r="9" spans="1:13" x14ac:dyDescent="0.3">
      <c r="A9" s="43"/>
      <c r="B9" s="2" t="s">
        <v>5</v>
      </c>
      <c r="C9" s="2">
        <v>9500</v>
      </c>
      <c r="D9" s="2">
        <v>3000</v>
      </c>
      <c r="E9" s="6">
        <f>(C9/D9)*2</f>
        <v>6.333333333333333</v>
      </c>
      <c r="F9" s="40"/>
      <c r="G9" s="2"/>
      <c r="H9"/>
      <c r="I9"/>
      <c r="J9"/>
      <c r="K9" t="s">
        <v>82</v>
      </c>
      <c r="L9" s="4">
        <v>2400</v>
      </c>
      <c r="M9" s="14">
        <v>20</v>
      </c>
    </row>
    <row r="10" spans="1:13" x14ac:dyDescent="0.3">
      <c r="A10" s="43"/>
      <c r="B10" s="2" t="s">
        <v>6</v>
      </c>
      <c r="C10" s="2">
        <v>6200</v>
      </c>
      <c r="D10" s="2"/>
      <c r="E10" s="6">
        <f t="shared" ref="E10" si="0">(C10/450)+1</f>
        <v>14.777777777777779</v>
      </c>
      <c r="F10" s="40">
        <f t="shared" ref="F10" si="1">E10+E11</f>
        <v>18.911111111111111</v>
      </c>
      <c r="G10" s="2"/>
      <c r="H10"/>
      <c r="I10"/>
      <c r="J10"/>
      <c r="K10" t="s">
        <v>83</v>
      </c>
      <c r="L10" s="4">
        <v>2700</v>
      </c>
      <c r="M10" s="14">
        <v>20</v>
      </c>
    </row>
    <row r="11" spans="1:13" x14ac:dyDescent="0.3">
      <c r="A11" s="43"/>
      <c r="B11" s="2" t="s">
        <v>7</v>
      </c>
      <c r="C11" s="2">
        <v>6200</v>
      </c>
      <c r="D11" s="2">
        <v>3000</v>
      </c>
      <c r="E11" s="6">
        <f t="shared" ref="E11" si="2">(C11/D11)*2</f>
        <v>4.1333333333333337</v>
      </c>
      <c r="F11" s="40"/>
      <c r="G11" s="2"/>
      <c r="H11"/>
      <c r="I11"/>
      <c r="J11"/>
      <c r="K11" t="s">
        <v>84</v>
      </c>
      <c r="L11" s="4">
        <v>3000</v>
      </c>
      <c r="M11" s="14">
        <v>20</v>
      </c>
    </row>
    <row r="12" spans="1:13" x14ac:dyDescent="0.3">
      <c r="A12" s="43"/>
      <c r="B12" s="2" t="s">
        <v>8</v>
      </c>
      <c r="C12" s="2">
        <v>9500</v>
      </c>
      <c r="D12" s="2"/>
      <c r="E12" s="6">
        <f t="shared" ref="E12" si="3">(C12/450)+1</f>
        <v>22.111111111111111</v>
      </c>
      <c r="F12" s="40">
        <f t="shared" ref="F12" si="4">E12+E13</f>
        <v>28.444444444444443</v>
      </c>
      <c r="G12" s="2"/>
      <c r="H12"/>
      <c r="I12"/>
      <c r="J12"/>
      <c r="K12" t="s">
        <v>85</v>
      </c>
      <c r="L12" s="12">
        <v>3600</v>
      </c>
      <c r="M12" s="15">
        <v>12</v>
      </c>
    </row>
    <row r="13" spans="1:13" x14ac:dyDescent="0.3">
      <c r="A13" s="43"/>
      <c r="B13" s="2" t="s">
        <v>9</v>
      </c>
      <c r="C13" s="2">
        <v>9500</v>
      </c>
      <c r="D13" s="2">
        <v>3000</v>
      </c>
      <c r="E13" s="6">
        <f t="shared" ref="E13" si="5">(C13/D13)*2</f>
        <v>6.333333333333333</v>
      </c>
      <c r="F13" s="40"/>
      <c r="G13" s="2"/>
      <c r="H13"/>
      <c r="I13"/>
      <c r="J13"/>
      <c r="K13"/>
      <c r="L13"/>
    </row>
    <row r="14" spans="1:13" x14ac:dyDescent="0.3">
      <c r="A14" s="43"/>
      <c r="B14" s="2" t="s">
        <v>12</v>
      </c>
      <c r="C14" s="2">
        <v>6200</v>
      </c>
      <c r="D14" s="2"/>
      <c r="E14" s="6">
        <f t="shared" ref="E14" si="6">(C14/450)+1</f>
        <v>14.777777777777779</v>
      </c>
      <c r="F14" s="40">
        <f t="shared" ref="F14" si="7">E14+E15</f>
        <v>18.911111111111111</v>
      </c>
      <c r="G14" s="2"/>
      <c r="H14"/>
      <c r="I14"/>
      <c r="J14"/>
      <c r="K14"/>
      <c r="L14"/>
    </row>
    <row r="15" spans="1:13" x14ac:dyDescent="0.3">
      <c r="A15" s="43"/>
      <c r="B15" s="2" t="s">
        <v>11</v>
      </c>
      <c r="C15" s="2">
        <v>6200</v>
      </c>
      <c r="D15" s="2">
        <v>3000</v>
      </c>
      <c r="E15" s="6">
        <f t="shared" ref="E15" si="8">(C15/D15)*2</f>
        <v>4.1333333333333337</v>
      </c>
      <c r="F15" s="40"/>
      <c r="G15" s="2"/>
      <c r="H15"/>
      <c r="I15"/>
      <c r="J15"/>
      <c r="K15"/>
      <c r="L15"/>
    </row>
    <row r="16" spans="1:13" ht="16.5" customHeight="1" x14ac:dyDescent="0.3">
      <c r="A16" s="45" t="s">
        <v>106</v>
      </c>
      <c r="B16" s="2" t="s">
        <v>114</v>
      </c>
      <c r="C16" s="2">
        <v>6200</v>
      </c>
      <c r="D16" s="2"/>
      <c r="E16" s="6">
        <f t="shared" ref="E16" si="9">(C16/450)+1</f>
        <v>14.777777777777779</v>
      </c>
      <c r="F16" s="40">
        <f t="shared" ref="F16" si="10">E16+E17</f>
        <v>18.911111111111111</v>
      </c>
      <c r="G16" s="2"/>
      <c r="H16"/>
      <c r="I16"/>
      <c r="J16"/>
      <c r="K16"/>
      <c r="L16"/>
    </row>
    <row r="17" spans="1:12" x14ac:dyDescent="0.3">
      <c r="A17" s="46"/>
      <c r="B17" s="2" t="s">
        <v>115</v>
      </c>
      <c r="C17" s="2">
        <v>6200</v>
      </c>
      <c r="D17" s="2">
        <v>3000</v>
      </c>
      <c r="E17" s="6">
        <f t="shared" ref="E17" si="11">(C17/D17)*2</f>
        <v>4.1333333333333337</v>
      </c>
      <c r="F17" s="40"/>
      <c r="G17" s="2"/>
      <c r="H17"/>
      <c r="I17"/>
      <c r="J17"/>
      <c r="K17"/>
      <c r="L17"/>
    </row>
    <row r="18" spans="1:12" x14ac:dyDescent="0.3">
      <c r="A18" s="46"/>
      <c r="B18" s="2" t="s">
        <v>116</v>
      </c>
      <c r="C18" s="2">
        <v>1400</v>
      </c>
      <c r="D18" s="2"/>
      <c r="E18" s="6">
        <f t="shared" ref="E18" si="12">(C18/450)+1</f>
        <v>4.1111111111111107</v>
      </c>
      <c r="F18" s="40">
        <f t="shared" ref="F18" si="13">E18+E19</f>
        <v>5.0444444444444443</v>
      </c>
      <c r="G18" s="2"/>
      <c r="H18"/>
      <c r="I18"/>
      <c r="J18"/>
      <c r="K18"/>
      <c r="L18"/>
    </row>
    <row r="19" spans="1:12" x14ac:dyDescent="0.3">
      <c r="A19" s="46"/>
      <c r="B19" s="2" t="s">
        <v>117</v>
      </c>
      <c r="C19" s="2">
        <v>1400</v>
      </c>
      <c r="D19" s="2">
        <v>3000</v>
      </c>
      <c r="E19" s="6">
        <f t="shared" ref="E19" si="14">(C19/D19)*2</f>
        <v>0.93333333333333335</v>
      </c>
      <c r="F19" s="40"/>
      <c r="G19" s="2"/>
      <c r="H19"/>
      <c r="I19"/>
      <c r="J19"/>
      <c r="K19"/>
      <c r="L19"/>
    </row>
    <row r="20" spans="1:12" x14ac:dyDescent="0.3">
      <c r="A20" s="46"/>
      <c r="B20" s="2" t="s">
        <v>118</v>
      </c>
      <c r="C20" s="2">
        <v>3800</v>
      </c>
      <c r="D20" s="2"/>
      <c r="E20" s="6">
        <f t="shared" ref="E20" si="15">(C20/450)+1</f>
        <v>9.4444444444444446</v>
      </c>
      <c r="F20" s="40">
        <f t="shared" ref="F20" si="16">E20+E21</f>
        <v>11.977777777777778</v>
      </c>
      <c r="G20" s="2"/>
      <c r="H20"/>
      <c r="I20"/>
      <c r="J20"/>
      <c r="K20"/>
      <c r="L20"/>
    </row>
    <row r="21" spans="1:12" x14ac:dyDescent="0.3">
      <c r="A21" s="46"/>
      <c r="B21" s="2" t="s">
        <v>119</v>
      </c>
      <c r="C21" s="2">
        <v>3800</v>
      </c>
      <c r="D21" s="2">
        <v>3000</v>
      </c>
      <c r="E21" s="6">
        <f t="shared" ref="E21" si="17">(C21/D21)*2</f>
        <v>2.5333333333333332</v>
      </c>
      <c r="F21" s="40"/>
      <c r="G21" s="2"/>
      <c r="H21"/>
      <c r="I21"/>
      <c r="J21"/>
      <c r="K21"/>
      <c r="L21"/>
    </row>
    <row r="22" spans="1:12" x14ac:dyDescent="0.3">
      <c r="A22" s="46"/>
      <c r="B22" s="2" t="s">
        <v>120</v>
      </c>
      <c r="C22" s="2">
        <v>6500</v>
      </c>
      <c r="D22" s="2"/>
      <c r="E22" s="6">
        <f t="shared" ref="E22" si="18">(C22/450)+1</f>
        <v>15.444444444444445</v>
      </c>
      <c r="F22" s="40">
        <f t="shared" ref="F22" si="19">E22+E23</f>
        <v>19.777777777777779</v>
      </c>
      <c r="G22" s="2"/>
      <c r="H22"/>
      <c r="I22"/>
      <c r="J22"/>
      <c r="K22"/>
      <c r="L22"/>
    </row>
    <row r="23" spans="1:12" x14ac:dyDescent="0.3">
      <c r="A23" s="47"/>
      <c r="B23" s="2" t="s">
        <v>11</v>
      </c>
      <c r="C23" s="2">
        <v>6500</v>
      </c>
      <c r="D23" s="2">
        <v>3000</v>
      </c>
      <c r="E23" s="6">
        <f t="shared" ref="E23" si="20">(C23/D23)*2</f>
        <v>4.333333333333333</v>
      </c>
      <c r="F23" s="40"/>
      <c r="G23" s="2"/>
      <c r="H23"/>
      <c r="I23"/>
      <c r="J23"/>
      <c r="K23"/>
      <c r="L23"/>
    </row>
    <row r="24" spans="1:12" ht="16.5" customHeight="1" x14ac:dyDescent="0.3">
      <c r="A24" s="45" t="s">
        <v>107</v>
      </c>
      <c r="B24" s="2" t="s">
        <v>114</v>
      </c>
      <c r="C24" s="2">
        <v>8100</v>
      </c>
      <c r="D24" s="2"/>
      <c r="E24" s="6">
        <f t="shared" ref="E24" si="21">(C24/450)+1</f>
        <v>19</v>
      </c>
      <c r="F24" s="40">
        <f t="shared" ref="F24" si="22">E24+E25</f>
        <v>24.4</v>
      </c>
      <c r="G24" s="2"/>
      <c r="H24"/>
      <c r="I24"/>
      <c r="J24"/>
      <c r="K24"/>
      <c r="L24"/>
    </row>
    <row r="25" spans="1:12" x14ac:dyDescent="0.3">
      <c r="A25" s="46"/>
      <c r="B25" s="2" t="s">
        <v>115</v>
      </c>
      <c r="C25" s="2">
        <v>8100</v>
      </c>
      <c r="D25" s="2">
        <v>3000</v>
      </c>
      <c r="E25" s="6">
        <f t="shared" ref="E25" si="23">(C25/D25)*2</f>
        <v>5.4</v>
      </c>
      <c r="F25" s="40"/>
      <c r="G25" s="2"/>
      <c r="H25"/>
      <c r="I25"/>
      <c r="J25"/>
      <c r="K25"/>
      <c r="L25"/>
    </row>
    <row r="26" spans="1:12" x14ac:dyDescent="0.3">
      <c r="A26" s="46"/>
      <c r="B26" s="2" t="s">
        <v>116</v>
      </c>
      <c r="C26" s="2">
        <v>6000</v>
      </c>
      <c r="D26" s="2"/>
      <c r="E26" s="6">
        <f t="shared" ref="E26" si="24">(C26/450)+1</f>
        <v>14.333333333333334</v>
      </c>
      <c r="F26" s="40">
        <f t="shared" ref="F26" si="25">E26+E27</f>
        <v>18.333333333333336</v>
      </c>
      <c r="G26" s="2"/>
      <c r="H26"/>
      <c r="I26"/>
      <c r="J26"/>
      <c r="K26"/>
      <c r="L26"/>
    </row>
    <row r="27" spans="1:12" x14ac:dyDescent="0.3">
      <c r="A27" s="46"/>
      <c r="B27" s="2" t="s">
        <v>117</v>
      </c>
      <c r="C27" s="2">
        <v>6000</v>
      </c>
      <c r="D27" s="2">
        <v>3000</v>
      </c>
      <c r="E27" s="6">
        <f t="shared" ref="E27" si="26">(C27/D27)*2</f>
        <v>4</v>
      </c>
      <c r="F27" s="40"/>
      <c r="G27" s="2"/>
      <c r="H27"/>
      <c r="I27"/>
      <c r="J27"/>
      <c r="K27"/>
      <c r="L27"/>
    </row>
    <row r="28" spans="1:12" x14ac:dyDescent="0.3">
      <c r="A28" s="46"/>
      <c r="B28" s="2" t="s">
        <v>118</v>
      </c>
      <c r="C28" s="2">
        <v>1800</v>
      </c>
      <c r="D28" s="2"/>
      <c r="E28" s="6">
        <f t="shared" ref="E28" si="27">(C28/450)+1</f>
        <v>5</v>
      </c>
      <c r="F28" s="40">
        <f t="shared" ref="F28" si="28">E28+E29</f>
        <v>6.2</v>
      </c>
      <c r="G28" s="2"/>
      <c r="H28"/>
      <c r="I28"/>
      <c r="J28"/>
      <c r="K28"/>
      <c r="L28"/>
    </row>
    <row r="29" spans="1:12" x14ac:dyDescent="0.3">
      <c r="A29" s="46"/>
      <c r="B29" s="2" t="s">
        <v>119</v>
      </c>
      <c r="C29" s="2">
        <v>1800</v>
      </c>
      <c r="D29" s="2">
        <v>3000</v>
      </c>
      <c r="E29" s="6">
        <f t="shared" ref="E29" si="29">(C29/D29)*2</f>
        <v>1.2</v>
      </c>
      <c r="F29" s="40"/>
      <c r="G29" s="2"/>
      <c r="H29"/>
      <c r="I29"/>
      <c r="J29"/>
      <c r="K29"/>
      <c r="L29"/>
    </row>
    <row r="30" spans="1:12" x14ac:dyDescent="0.3">
      <c r="A30" s="46"/>
      <c r="B30" s="2" t="s">
        <v>120</v>
      </c>
      <c r="C30" s="2">
        <v>1400</v>
      </c>
      <c r="D30" s="2"/>
      <c r="E30" s="6">
        <f t="shared" ref="E30" si="30">(C30/450)+1</f>
        <v>4.1111111111111107</v>
      </c>
      <c r="F30" s="40">
        <f t="shared" ref="F30" si="31">E30+E31</f>
        <v>5.0444444444444443</v>
      </c>
      <c r="G30" s="2"/>
      <c r="H30"/>
      <c r="I30"/>
      <c r="J30"/>
      <c r="K30"/>
      <c r="L30"/>
    </row>
    <row r="31" spans="1:12" x14ac:dyDescent="0.3">
      <c r="A31" s="47"/>
      <c r="B31" s="2" t="s">
        <v>11</v>
      </c>
      <c r="C31" s="2">
        <v>1400</v>
      </c>
      <c r="D31" s="2">
        <v>3000</v>
      </c>
      <c r="E31" s="6">
        <f t="shared" ref="E31" si="32">(C31/D31)*2</f>
        <v>0.93333333333333335</v>
      </c>
      <c r="F31" s="40"/>
      <c r="G31" s="2"/>
      <c r="H31"/>
      <c r="I31"/>
      <c r="J31"/>
      <c r="K31"/>
      <c r="L31"/>
    </row>
    <row r="32" spans="1:12" x14ac:dyDescent="0.3">
      <c r="A32" s="37" t="s">
        <v>108</v>
      </c>
      <c r="B32" s="2" t="s">
        <v>12</v>
      </c>
      <c r="C32" s="2">
        <v>8700</v>
      </c>
      <c r="D32" s="2"/>
      <c r="E32" s="6">
        <f t="shared" ref="E32" si="33">(C32/450)+1</f>
        <v>20.333333333333332</v>
      </c>
      <c r="F32" s="40">
        <f t="shared" ref="F32" si="34">E32+E33</f>
        <v>26.133333333333333</v>
      </c>
      <c r="G32" s="2"/>
      <c r="H32"/>
      <c r="I32"/>
      <c r="J32"/>
      <c r="K32"/>
      <c r="L32"/>
    </row>
    <row r="33" spans="1:12" x14ac:dyDescent="0.3">
      <c r="A33" s="38"/>
      <c r="B33" s="2" t="s">
        <v>11</v>
      </c>
      <c r="C33" s="2">
        <v>8700</v>
      </c>
      <c r="D33" s="2">
        <v>3000</v>
      </c>
      <c r="E33" s="6">
        <f t="shared" ref="E33" si="35">(C33/D33)*2</f>
        <v>5.8</v>
      </c>
      <c r="F33" s="40"/>
      <c r="G33" s="2"/>
      <c r="H33"/>
      <c r="I33"/>
      <c r="J33"/>
      <c r="K33"/>
      <c r="L33"/>
    </row>
    <row r="34" spans="1:12" x14ac:dyDescent="0.3">
      <c r="A34" s="38"/>
      <c r="B34" s="2" t="s">
        <v>12</v>
      </c>
      <c r="C34" s="2">
        <v>6200</v>
      </c>
      <c r="D34" s="2"/>
      <c r="E34" s="6">
        <f t="shared" ref="E34" si="36">(C34/450)+1</f>
        <v>14.777777777777779</v>
      </c>
      <c r="F34" s="40">
        <f t="shared" ref="F34" si="37">E34+E35</f>
        <v>18.911111111111111</v>
      </c>
      <c r="G34" s="2"/>
      <c r="H34"/>
      <c r="I34"/>
      <c r="J34"/>
      <c r="K34"/>
      <c r="L34"/>
    </row>
    <row r="35" spans="1:12" x14ac:dyDescent="0.3">
      <c r="A35" s="38"/>
      <c r="B35" s="2" t="s">
        <v>11</v>
      </c>
      <c r="C35" s="2">
        <v>6200</v>
      </c>
      <c r="D35" s="2">
        <v>3000</v>
      </c>
      <c r="E35" s="6">
        <f t="shared" ref="E35" si="38">(C35/D35)*2</f>
        <v>4.1333333333333337</v>
      </c>
      <c r="F35" s="40"/>
      <c r="G35" s="2"/>
      <c r="H35"/>
      <c r="I35"/>
      <c r="J35"/>
      <c r="K35"/>
      <c r="L35"/>
    </row>
    <row r="36" spans="1:12" x14ac:dyDescent="0.3">
      <c r="A36" s="38"/>
      <c r="B36" s="2" t="s">
        <v>12</v>
      </c>
      <c r="C36" s="2">
        <v>6200</v>
      </c>
      <c r="D36" s="2"/>
      <c r="E36" s="6">
        <f t="shared" ref="E36" si="39">(C36/450)+1</f>
        <v>14.777777777777779</v>
      </c>
      <c r="F36" s="40">
        <f t="shared" ref="F36" si="40">E36+E37</f>
        <v>18.911111111111111</v>
      </c>
      <c r="G36" s="2"/>
      <c r="H36"/>
      <c r="I36"/>
      <c r="J36"/>
      <c r="K36"/>
      <c r="L36"/>
    </row>
    <row r="37" spans="1:12" x14ac:dyDescent="0.3">
      <c r="A37" s="39"/>
      <c r="B37" s="2" t="s">
        <v>11</v>
      </c>
      <c r="C37" s="2">
        <v>6200</v>
      </c>
      <c r="D37" s="2">
        <v>3000</v>
      </c>
      <c r="E37" s="6">
        <f t="shared" ref="E37" si="41">(C37/D37)*2</f>
        <v>4.1333333333333337</v>
      </c>
      <c r="F37" s="40"/>
      <c r="G37" s="2"/>
      <c r="H37"/>
      <c r="I37"/>
      <c r="J37"/>
      <c r="K37"/>
      <c r="L37"/>
    </row>
    <row r="38" spans="1:12" x14ac:dyDescent="0.3">
      <c r="A38" s="37" t="s">
        <v>109</v>
      </c>
      <c r="B38" s="2" t="s">
        <v>12</v>
      </c>
      <c r="C38" s="2">
        <v>6200</v>
      </c>
      <c r="D38" s="2"/>
      <c r="E38" s="6">
        <f t="shared" ref="E38" si="42">(C38/450)+1</f>
        <v>14.777777777777779</v>
      </c>
      <c r="F38" s="40">
        <f t="shared" ref="F38" si="43">E38+E39</f>
        <v>18.911111111111111</v>
      </c>
      <c r="G38" s="2"/>
      <c r="H38"/>
      <c r="I38"/>
      <c r="J38"/>
      <c r="K38"/>
      <c r="L38"/>
    </row>
    <row r="39" spans="1:12" x14ac:dyDescent="0.3">
      <c r="A39" s="38"/>
      <c r="B39" s="2" t="s">
        <v>11</v>
      </c>
      <c r="C39" s="2">
        <v>6200</v>
      </c>
      <c r="D39" s="2">
        <v>3000</v>
      </c>
      <c r="E39" s="6">
        <f t="shared" ref="E39" si="44">(C39/D39)*2</f>
        <v>4.1333333333333337</v>
      </c>
      <c r="F39" s="40"/>
      <c r="G39" s="2"/>
      <c r="H39"/>
      <c r="I39"/>
      <c r="J39"/>
      <c r="K39"/>
      <c r="L39"/>
    </row>
    <row r="40" spans="1:12" x14ac:dyDescent="0.3">
      <c r="A40" s="38"/>
      <c r="B40" s="2" t="s">
        <v>12</v>
      </c>
      <c r="C40" s="2">
        <v>2500</v>
      </c>
      <c r="D40" s="2"/>
      <c r="E40" s="6">
        <f t="shared" ref="E40" si="45">(C40/450)+1</f>
        <v>6.5555555555555554</v>
      </c>
      <c r="F40" s="40">
        <f t="shared" ref="F40" si="46">E40+E41</f>
        <v>8.2222222222222214</v>
      </c>
      <c r="G40" s="2"/>
      <c r="H40"/>
      <c r="I40"/>
      <c r="J40"/>
      <c r="K40"/>
      <c r="L40"/>
    </row>
    <row r="41" spans="1:12" x14ac:dyDescent="0.3">
      <c r="A41" s="38"/>
      <c r="B41" s="2" t="s">
        <v>11</v>
      </c>
      <c r="C41" s="2">
        <v>2500</v>
      </c>
      <c r="D41" s="2">
        <v>3000</v>
      </c>
      <c r="E41" s="6">
        <f t="shared" ref="E41" si="47">(C41/D41)*2</f>
        <v>1.6666666666666667</v>
      </c>
      <c r="F41" s="40"/>
      <c r="G41" s="2"/>
      <c r="H41"/>
      <c r="I41"/>
      <c r="J41"/>
      <c r="K41"/>
      <c r="L41"/>
    </row>
    <row r="42" spans="1:12" x14ac:dyDescent="0.3">
      <c r="A42" s="38"/>
      <c r="B42" s="2" t="s">
        <v>12</v>
      </c>
      <c r="C42" s="2">
        <v>1600</v>
      </c>
      <c r="D42" s="2"/>
      <c r="E42" s="6">
        <f t="shared" ref="E42" si="48">(C42/450)+1</f>
        <v>4.5555555555555554</v>
      </c>
      <c r="F42" s="40">
        <f t="shared" ref="F42" si="49">E42+E43</f>
        <v>5.6222222222222218</v>
      </c>
      <c r="G42" s="2"/>
      <c r="H42"/>
      <c r="I42"/>
      <c r="J42"/>
      <c r="K42"/>
      <c r="L42"/>
    </row>
    <row r="43" spans="1:12" x14ac:dyDescent="0.3">
      <c r="A43" s="38"/>
      <c r="B43" s="2" t="s">
        <v>11</v>
      </c>
      <c r="C43" s="2">
        <v>1600</v>
      </c>
      <c r="D43" s="2">
        <v>3000</v>
      </c>
      <c r="E43" s="6">
        <f t="shared" ref="E43" si="50">(C43/D43)*2</f>
        <v>1.0666666666666667</v>
      </c>
      <c r="F43" s="40"/>
      <c r="G43" s="2"/>
      <c r="H43"/>
      <c r="I43"/>
      <c r="J43"/>
      <c r="K43"/>
      <c r="L43"/>
    </row>
    <row r="44" spans="1:12" x14ac:dyDescent="0.3">
      <c r="A44" s="38"/>
      <c r="B44" s="2" t="s">
        <v>12</v>
      </c>
      <c r="C44" s="2">
        <v>2900</v>
      </c>
      <c r="D44" s="2"/>
      <c r="E44" s="6">
        <f t="shared" ref="E44" si="51">(C44/450)+1</f>
        <v>7.4444444444444446</v>
      </c>
      <c r="F44" s="40">
        <f t="shared" ref="F44" si="52">E44+E45</f>
        <v>9.3777777777777782</v>
      </c>
      <c r="G44" s="2"/>
      <c r="H44"/>
      <c r="I44"/>
      <c r="J44"/>
      <c r="K44"/>
      <c r="L44"/>
    </row>
    <row r="45" spans="1:12" x14ac:dyDescent="0.3">
      <c r="A45" s="39"/>
      <c r="B45" s="2" t="s">
        <v>11</v>
      </c>
      <c r="C45" s="2">
        <v>2900</v>
      </c>
      <c r="D45" s="2">
        <v>3000</v>
      </c>
      <c r="E45" s="6">
        <f t="shared" ref="E45" si="53">(C45/D45)*2</f>
        <v>1.9333333333333333</v>
      </c>
      <c r="F45" s="40"/>
      <c r="G45" s="2"/>
      <c r="H45"/>
      <c r="I45"/>
      <c r="J45"/>
      <c r="K45"/>
      <c r="L45"/>
    </row>
    <row r="46" spans="1:12" x14ac:dyDescent="0.3">
      <c r="A46" s="45" t="s">
        <v>110</v>
      </c>
      <c r="B46" s="2" t="s">
        <v>12</v>
      </c>
      <c r="C46" s="2">
        <v>9500</v>
      </c>
      <c r="D46" s="2"/>
      <c r="E46" s="6">
        <f t="shared" ref="E46" si="54">(C46/450)+1</f>
        <v>22.111111111111111</v>
      </c>
      <c r="F46" s="40">
        <f t="shared" ref="F46" si="55">E46+E47</f>
        <v>28.444444444444443</v>
      </c>
      <c r="G46" s="2"/>
      <c r="H46"/>
      <c r="I46"/>
      <c r="J46"/>
      <c r="K46"/>
      <c r="L46"/>
    </row>
    <row r="47" spans="1:12" x14ac:dyDescent="0.3">
      <c r="A47" s="46"/>
      <c r="B47" s="2" t="s">
        <v>11</v>
      </c>
      <c r="C47" s="2">
        <v>9500</v>
      </c>
      <c r="D47" s="2">
        <v>3000</v>
      </c>
      <c r="E47" s="6">
        <f t="shared" ref="E47" si="56">(C47/D47)*2</f>
        <v>6.333333333333333</v>
      </c>
      <c r="F47" s="40"/>
      <c r="G47" s="2"/>
      <c r="H47"/>
      <c r="I47"/>
      <c r="J47"/>
      <c r="K47"/>
      <c r="L47"/>
    </row>
    <row r="48" spans="1:12" x14ac:dyDescent="0.3">
      <c r="A48" s="46"/>
      <c r="B48" s="2" t="s">
        <v>12</v>
      </c>
      <c r="C48" s="2">
        <v>6200</v>
      </c>
      <c r="D48" s="2"/>
      <c r="E48" s="6">
        <f t="shared" ref="E48" si="57">(C48/450)+1</f>
        <v>14.777777777777779</v>
      </c>
      <c r="F48" s="40">
        <f t="shared" ref="F48" si="58">E48+E49</f>
        <v>18.911111111111111</v>
      </c>
      <c r="G48" s="2"/>
      <c r="H48"/>
      <c r="I48"/>
      <c r="J48"/>
      <c r="K48"/>
      <c r="L48"/>
    </row>
    <row r="49" spans="1:12" x14ac:dyDescent="0.3">
      <c r="A49" s="47"/>
      <c r="B49" s="2" t="s">
        <v>11</v>
      </c>
      <c r="C49" s="2">
        <v>6200</v>
      </c>
      <c r="D49" s="2">
        <v>3000</v>
      </c>
      <c r="E49" s="6">
        <f t="shared" ref="E49" si="59">(C49/D49)*2</f>
        <v>4.1333333333333337</v>
      </c>
      <c r="F49" s="40"/>
      <c r="G49" s="2"/>
      <c r="H49"/>
      <c r="I49"/>
      <c r="J49"/>
      <c r="K49"/>
      <c r="L49"/>
    </row>
    <row r="50" spans="1:12" x14ac:dyDescent="0.3">
      <c r="A50" s="45" t="s">
        <v>111</v>
      </c>
      <c r="B50" s="2" t="s">
        <v>12</v>
      </c>
      <c r="C50" s="2">
        <v>8100</v>
      </c>
      <c r="D50" s="2"/>
      <c r="E50" s="6">
        <f t="shared" ref="E50" si="60">(C50/450)+1</f>
        <v>19</v>
      </c>
      <c r="F50" s="40">
        <f t="shared" ref="F50" si="61">E50+E51</f>
        <v>24.4</v>
      </c>
      <c r="G50" s="2"/>
      <c r="H50"/>
      <c r="I50"/>
      <c r="J50"/>
      <c r="K50"/>
      <c r="L50"/>
    </row>
    <row r="51" spans="1:12" x14ac:dyDescent="0.3">
      <c r="A51" s="46"/>
      <c r="B51" s="2" t="s">
        <v>11</v>
      </c>
      <c r="C51" s="2">
        <v>8100</v>
      </c>
      <c r="D51" s="2">
        <v>3000</v>
      </c>
      <c r="E51" s="6">
        <f t="shared" ref="E51" si="62">(C51/D51)*2</f>
        <v>5.4</v>
      </c>
      <c r="F51" s="40"/>
      <c r="G51" s="2"/>
      <c r="H51"/>
      <c r="I51"/>
      <c r="J51"/>
      <c r="K51"/>
      <c r="L51"/>
    </row>
    <row r="52" spans="1:12" x14ac:dyDescent="0.3">
      <c r="A52" s="46"/>
      <c r="B52" s="2" t="s">
        <v>12</v>
      </c>
      <c r="C52" s="2">
        <v>6200</v>
      </c>
      <c r="D52" s="2"/>
      <c r="E52" s="6">
        <f t="shared" ref="E52" si="63">(C52/450)+1</f>
        <v>14.777777777777779</v>
      </c>
      <c r="F52" s="40">
        <f t="shared" ref="F52" si="64">E52+E53</f>
        <v>18.911111111111111</v>
      </c>
      <c r="G52" s="2"/>
      <c r="H52"/>
      <c r="I52"/>
      <c r="J52"/>
      <c r="K52"/>
      <c r="L52"/>
    </row>
    <row r="53" spans="1:12" x14ac:dyDescent="0.3">
      <c r="A53" s="47"/>
      <c r="B53" s="2" t="s">
        <v>11</v>
      </c>
      <c r="C53" s="2">
        <v>6200</v>
      </c>
      <c r="D53" s="2">
        <v>3000</v>
      </c>
      <c r="E53" s="6">
        <f t="shared" ref="E53" si="65">(C53/D53)*2</f>
        <v>4.1333333333333337</v>
      </c>
      <c r="F53" s="40"/>
      <c r="G53" s="2"/>
      <c r="H53"/>
      <c r="I53"/>
      <c r="J53"/>
      <c r="K53"/>
      <c r="L53"/>
    </row>
    <row r="54" spans="1:12" x14ac:dyDescent="0.3">
      <c r="A54" s="2" t="s">
        <v>121</v>
      </c>
      <c r="B54" s="2" t="s">
        <v>12</v>
      </c>
      <c r="C54" s="2"/>
      <c r="D54" s="2"/>
      <c r="E54" s="6">
        <f t="shared" ref="E54" si="66">(C54/450)+1</f>
        <v>1</v>
      </c>
      <c r="F54" s="40">
        <v>3</v>
      </c>
      <c r="G54" s="2"/>
      <c r="H54"/>
      <c r="I54"/>
      <c r="J54"/>
      <c r="K54"/>
      <c r="L54"/>
    </row>
    <row r="55" spans="1:12" x14ac:dyDescent="0.3">
      <c r="A55" s="2"/>
      <c r="B55" s="2" t="s">
        <v>11</v>
      </c>
      <c r="C55" s="2"/>
      <c r="D55" s="2">
        <v>3000</v>
      </c>
      <c r="E55" s="6">
        <f t="shared" ref="E55" si="67">(C55/D55)*2</f>
        <v>0</v>
      </c>
      <c r="F55" s="40"/>
      <c r="G55" s="2"/>
      <c r="H55"/>
      <c r="I55"/>
      <c r="J55"/>
      <c r="K55"/>
      <c r="L55"/>
    </row>
    <row r="56" spans="1:12" x14ac:dyDescent="0.3">
      <c r="A56" s="2" t="s">
        <v>13</v>
      </c>
      <c r="B56" s="2"/>
      <c r="C56" s="2"/>
      <c r="D56" s="2"/>
      <c r="E56" s="6"/>
      <c r="F56" s="6">
        <f>SUM(F8:F55)</f>
        <v>404.15555555555551</v>
      </c>
      <c r="G56" s="27">
        <f>F56/20</f>
        <v>20.207777777777775</v>
      </c>
      <c r="H56"/>
      <c r="I56"/>
      <c r="J56"/>
      <c r="K56"/>
      <c r="L56"/>
    </row>
    <row r="61" spans="1:12" x14ac:dyDescent="0.3">
      <c r="K61" s="1" t="s">
        <v>86</v>
      </c>
    </row>
    <row r="62" spans="1:12" ht="23.25" x14ac:dyDescent="0.3">
      <c r="A62" s="44" t="s">
        <v>69</v>
      </c>
      <c r="B62" s="44"/>
      <c r="C62" s="44"/>
      <c r="D62" s="44"/>
      <c r="E62" s="44"/>
      <c r="F62" s="44"/>
      <c r="K62" s="1" t="s">
        <v>71</v>
      </c>
    </row>
    <row r="63" spans="1:12" ht="18" x14ac:dyDescent="0.3">
      <c r="A63" s="2" t="s">
        <v>14</v>
      </c>
      <c r="B63" s="2" t="s">
        <v>15</v>
      </c>
      <c r="C63" s="2" t="s">
        <v>42</v>
      </c>
      <c r="D63" s="2" t="s">
        <v>25</v>
      </c>
      <c r="E63" s="6" t="s">
        <v>21</v>
      </c>
      <c r="F63" s="6" t="s">
        <v>22</v>
      </c>
      <c r="G63" s="2" t="s">
        <v>20</v>
      </c>
      <c r="K63" s="1" t="s">
        <v>70</v>
      </c>
    </row>
    <row r="64" spans="1:12" ht="18" x14ac:dyDescent="0.3">
      <c r="A64" s="37" t="s">
        <v>105</v>
      </c>
      <c r="B64" s="2" t="s">
        <v>16</v>
      </c>
      <c r="C64" s="2">
        <v>9.5</v>
      </c>
      <c r="D64" s="2">
        <v>2.9</v>
      </c>
      <c r="E64" s="7">
        <f>C64*D64</f>
        <v>27.55</v>
      </c>
      <c r="F64" s="6">
        <f>E64/1.62</f>
        <v>17.006172839506171</v>
      </c>
      <c r="G64" s="2">
        <f>ROUNDUP(F64,0)</f>
        <v>18</v>
      </c>
    </row>
    <row r="65" spans="1:15" ht="18" x14ac:dyDescent="0.3">
      <c r="A65" s="38"/>
      <c r="B65" s="2" t="s">
        <v>17</v>
      </c>
      <c r="C65" s="2">
        <v>6.2</v>
      </c>
      <c r="D65" s="2">
        <v>2.9</v>
      </c>
      <c r="E65" s="7">
        <f>C65*D65</f>
        <v>17.98</v>
      </c>
      <c r="F65" s="6">
        <f t="shared" ref="F65:F67" si="68">E65/1.62</f>
        <v>11.098765432098764</v>
      </c>
      <c r="G65" s="2">
        <f t="shared" ref="G65:G67" si="69">ROUNDUP(F65,0)</f>
        <v>12</v>
      </c>
    </row>
    <row r="66" spans="1:15" ht="18" x14ac:dyDescent="0.3">
      <c r="A66" s="38"/>
      <c r="B66" s="2" t="s">
        <v>18</v>
      </c>
      <c r="C66" s="2">
        <v>6.2</v>
      </c>
      <c r="D66" s="2">
        <v>2.9</v>
      </c>
      <c r="E66" s="7">
        <f>C66*D66</f>
        <v>17.98</v>
      </c>
      <c r="F66" s="6">
        <f t="shared" si="68"/>
        <v>11.098765432098764</v>
      </c>
      <c r="G66" s="2">
        <f t="shared" si="69"/>
        <v>12</v>
      </c>
    </row>
    <row r="67" spans="1:15" ht="18" x14ac:dyDescent="0.3">
      <c r="A67" s="38"/>
      <c r="B67" s="2" t="s">
        <v>19</v>
      </c>
      <c r="C67" s="2">
        <v>9.5</v>
      </c>
      <c r="D67" s="2">
        <v>0.5</v>
      </c>
      <c r="E67" s="7">
        <f>C67*D67</f>
        <v>4.75</v>
      </c>
      <c r="F67" s="6">
        <f t="shared" si="68"/>
        <v>2.9320987654320985</v>
      </c>
      <c r="G67" s="2">
        <f t="shared" si="69"/>
        <v>3</v>
      </c>
    </row>
    <row r="68" spans="1:15" ht="18" x14ac:dyDescent="0.3">
      <c r="A68" s="39"/>
      <c r="B68" s="2" t="s">
        <v>133</v>
      </c>
      <c r="C68" s="2">
        <v>9.5</v>
      </c>
      <c r="D68" s="2">
        <v>6.2</v>
      </c>
      <c r="E68" s="7">
        <f>C68*D68</f>
        <v>58.9</v>
      </c>
      <c r="F68" s="6">
        <f t="shared" ref="F68" si="70">E68/1.62</f>
        <v>36.358024691358018</v>
      </c>
      <c r="G68" s="2">
        <f t="shared" ref="G68" si="71">ROUNDUP(F68,0)</f>
        <v>37</v>
      </c>
    </row>
    <row r="69" spans="1:15" ht="18" x14ac:dyDescent="0.3">
      <c r="A69" s="37" t="s">
        <v>131</v>
      </c>
      <c r="B69" s="2" t="s">
        <v>96</v>
      </c>
      <c r="C69" s="2">
        <v>9</v>
      </c>
      <c r="D69" s="2">
        <v>2.9</v>
      </c>
      <c r="E69" s="7">
        <f t="shared" ref="E69:E86" si="72">C69*D69</f>
        <v>26.099999999999998</v>
      </c>
      <c r="F69" s="6">
        <f t="shared" ref="F69:F86" si="73">E69/1.62</f>
        <v>16.111111111111107</v>
      </c>
      <c r="G69" s="2">
        <f t="shared" ref="G69:G86" si="74">ROUNDUP(F69,0)</f>
        <v>17</v>
      </c>
      <c r="K69" s="1" t="s">
        <v>224</v>
      </c>
    </row>
    <row r="70" spans="1:15" ht="18" x14ac:dyDescent="0.3">
      <c r="A70" s="38"/>
      <c r="B70" s="2" t="s">
        <v>97</v>
      </c>
      <c r="C70" s="2">
        <v>9.8000000000000007</v>
      </c>
      <c r="D70" s="2">
        <v>2.9</v>
      </c>
      <c r="E70" s="7">
        <f t="shared" si="72"/>
        <v>28.42</v>
      </c>
      <c r="F70" s="6">
        <f t="shared" si="73"/>
        <v>17.543209876543209</v>
      </c>
      <c r="G70" s="2">
        <f t="shared" si="74"/>
        <v>18</v>
      </c>
      <c r="K70" s="1" t="s">
        <v>167</v>
      </c>
      <c r="L70" s="1" t="s">
        <v>152</v>
      </c>
      <c r="M70" s="1" t="s">
        <v>166</v>
      </c>
      <c r="N70" s="1" t="s">
        <v>225</v>
      </c>
    </row>
    <row r="71" spans="1:15" ht="18" x14ac:dyDescent="0.3">
      <c r="A71" s="38"/>
      <c r="B71" s="2" t="s">
        <v>98</v>
      </c>
      <c r="C71" s="2">
        <v>6.5</v>
      </c>
      <c r="D71" s="2">
        <v>2.9</v>
      </c>
      <c r="E71" s="7">
        <f t="shared" si="72"/>
        <v>18.849999999999998</v>
      </c>
      <c r="F71" s="6">
        <f t="shared" si="73"/>
        <v>11.6358024691358</v>
      </c>
      <c r="G71" s="2">
        <f t="shared" si="74"/>
        <v>12</v>
      </c>
      <c r="K71" s="1">
        <v>6.1</v>
      </c>
      <c r="L71" s="1">
        <v>2.9</v>
      </c>
      <c r="M71" s="1">
        <f>K71*L71</f>
        <v>17.689999999999998</v>
      </c>
      <c r="N71" s="1">
        <f>M71/2.8</f>
        <v>6.3178571428571422</v>
      </c>
      <c r="O71" s="1">
        <f>ROUNDUP(N71,0)</f>
        <v>7</v>
      </c>
    </row>
    <row r="72" spans="1:15" ht="18" x14ac:dyDescent="0.3">
      <c r="A72" s="38"/>
      <c r="B72" s="2" t="s">
        <v>99</v>
      </c>
      <c r="C72" s="2">
        <v>3.8</v>
      </c>
      <c r="D72" s="2">
        <v>2.9</v>
      </c>
      <c r="E72" s="7">
        <f t="shared" si="72"/>
        <v>11.02</v>
      </c>
      <c r="F72" s="6">
        <f t="shared" si="73"/>
        <v>6.8024691358024683</v>
      </c>
      <c r="G72" s="2">
        <f t="shared" si="74"/>
        <v>7</v>
      </c>
      <c r="K72" s="1">
        <v>1.4</v>
      </c>
      <c r="L72" s="1">
        <v>2.9</v>
      </c>
      <c r="M72" s="1">
        <f>K72*L72</f>
        <v>4.0599999999999996</v>
      </c>
      <c r="N72" s="1">
        <f>M72/2.8</f>
        <v>1.45</v>
      </c>
      <c r="O72" s="1">
        <f t="shared" ref="O72:O79" si="75">ROUNDUP(N72,0)</f>
        <v>2</v>
      </c>
    </row>
    <row r="73" spans="1:15" ht="18" x14ac:dyDescent="0.3">
      <c r="A73" s="38"/>
      <c r="B73" s="2" t="s">
        <v>100</v>
      </c>
      <c r="C73" s="2">
        <v>1.4</v>
      </c>
      <c r="D73" s="2">
        <v>2.9</v>
      </c>
      <c r="E73" s="7">
        <f t="shared" si="72"/>
        <v>4.0599999999999996</v>
      </c>
      <c r="F73" s="6">
        <f t="shared" si="73"/>
        <v>2.5061728395061724</v>
      </c>
      <c r="G73" s="2">
        <f t="shared" si="74"/>
        <v>3</v>
      </c>
      <c r="K73" s="1">
        <v>3.8</v>
      </c>
      <c r="L73" s="1">
        <v>2.9</v>
      </c>
      <c r="M73" s="1">
        <f t="shared" ref="M73:M79" si="76">K73*L73</f>
        <v>11.02</v>
      </c>
      <c r="N73" s="1">
        <f t="shared" ref="N73:N79" si="77">M73/2.8</f>
        <v>3.9357142857142859</v>
      </c>
      <c r="O73" s="1">
        <f t="shared" si="75"/>
        <v>4</v>
      </c>
    </row>
    <row r="74" spans="1:15" ht="18" x14ac:dyDescent="0.3">
      <c r="A74" s="39"/>
      <c r="B74" s="2" t="s">
        <v>101</v>
      </c>
      <c r="C74" s="2">
        <v>6.1</v>
      </c>
      <c r="D74" s="2">
        <v>2.9</v>
      </c>
      <c r="E74" s="7">
        <f t="shared" si="72"/>
        <v>17.689999999999998</v>
      </c>
      <c r="F74" s="6">
        <f t="shared" si="73"/>
        <v>10.919753086419751</v>
      </c>
      <c r="G74" s="2">
        <f t="shared" si="74"/>
        <v>11</v>
      </c>
      <c r="K74" s="1">
        <v>8.1</v>
      </c>
      <c r="L74" s="1">
        <v>2.9</v>
      </c>
      <c r="M74" s="1">
        <f t="shared" si="76"/>
        <v>23.49</v>
      </c>
      <c r="N74" s="1">
        <f t="shared" si="77"/>
        <v>8.3892857142857142</v>
      </c>
      <c r="O74" s="1">
        <f t="shared" si="75"/>
        <v>9</v>
      </c>
    </row>
    <row r="75" spans="1:15" ht="18" x14ac:dyDescent="0.3">
      <c r="A75" s="37" t="s">
        <v>132</v>
      </c>
      <c r="B75" s="2" t="s">
        <v>102</v>
      </c>
      <c r="C75" s="2">
        <v>9</v>
      </c>
      <c r="D75" s="2">
        <v>2.9</v>
      </c>
      <c r="E75" s="7">
        <f t="shared" si="72"/>
        <v>26.099999999999998</v>
      </c>
      <c r="F75" s="6">
        <f t="shared" si="73"/>
        <v>16.111111111111107</v>
      </c>
      <c r="G75" s="2">
        <f t="shared" si="74"/>
        <v>17</v>
      </c>
      <c r="K75" s="1">
        <v>13.1</v>
      </c>
      <c r="L75" s="1">
        <v>2.9</v>
      </c>
      <c r="M75" s="1">
        <f t="shared" si="76"/>
        <v>37.989999999999995</v>
      </c>
      <c r="N75" s="1">
        <f t="shared" si="77"/>
        <v>13.567857142857141</v>
      </c>
      <c r="O75" s="1">
        <f t="shared" si="75"/>
        <v>14</v>
      </c>
    </row>
    <row r="76" spans="1:15" ht="18" x14ac:dyDescent="0.3">
      <c r="A76" s="38"/>
      <c r="B76" s="2" t="s">
        <v>103</v>
      </c>
      <c r="C76" s="2">
        <v>6</v>
      </c>
      <c r="D76" s="2">
        <v>2.9</v>
      </c>
      <c r="E76" s="7">
        <f t="shared" si="72"/>
        <v>17.399999999999999</v>
      </c>
      <c r="F76" s="6">
        <f t="shared" si="73"/>
        <v>10.740740740740739</v>
      </c>
      <c r="G76" s="2">
        <f t="shared" si="74"/>
        <v>11</v>
      </c>
      <c r="K76" s="1">
        <v>6</v>
      </c>
      <c r="L76" s="1">
        <v>2.9</v>
      </c>
      <c r="M76" s="1">
        <f t="shared" si="76"/>
        <v>17.399999999999999</v>
      </c>
      <c r="N76" s="1">
        <f t="shared" si="77"/>
        <v>6.2142857142857144</v>
      </c>
      <c r="O76" s="1">
        <f t="shared" si="75"/>
        <v>7</v>
      </c>
    </row>
    <row r="77" spans="1:15" ht="18" x14ac:dyDescent="0.3">
      <c r="A77" s="38"/>
      <c r="B77" s="2" t="s">
        <v>104</v>
      </c>
      <c r="C77" s="2">
        <v>6.1</v>
      </c>
      <c r="D77" s="2">
        <v>2.9</v>
      </c>
      <c r="E77" s="7">
        <f t="shared" si="72"/>
        <v>17.689999999999998</v>
      </c>
      <c r="F77" s="6">
        <f t="shared" si="73"/>
        <v>10.919753086419751</v>
      </c>
      <c r="G77" s="2">
        <f t="shared" si="74"/>
        <v>11</v>
      </c>
      <c r="K77" s="1">
        <v>6</v>
      </c>
      <c r="L77" s="1">
        <v>2.9</v>
      </c>
      <c r="M77" s="1">
        <f t="shared" si="76"/>
        <v>17.399999999999999</v>
      </c>
      <c r="N77" s="1">
        <f t="shared" si="77"/>
        <v>6.2142857142857144</v>
      </c>
      <c r="O77" s="1">
        <f t="shared" si="75"/>
        <v>7</v>
      </c>
    </row>
    <row r="78" spans="1:15" ht="18" x14ac:dyDescent="0.3">
      <c r="A78" s="38"/>
      <c r="B78" s="2" t="s">
        <v>122</v>
      </c>
      <c r="C78" s="2">
        <v>7.4</v>
      </c>
      <c r="D78" s="2">
        <v>2.9</v>
      </c>
      <c r="E78" s="7">
        <f t="shared" si="72"/>
        <v>21.46</v>
      </c>
      <c r="F78" s="6">
        <f t="shared" si="73"/>
        <v>13.246913580246913</v>
      </c>
      <c r="G78" s="2">
        <f t="shared" si="74"/>
        <v>14</v>
      </c>
      <c r="K78" s="1">
        <v>1.6</v>
      </c>
      <c r="L78" s="1">
        <v>2.9</v>
      </c>
      <c r="M78" s="1">
        <f t="shared" si="76"/>
        <v>4.6399999999999997</v>
      </c>
      <c r="N78" s="1">
        <f t="shared" si="77"/>
        <v>1.657142857142857</v>
      </c>
      <c r="O78" s="1">
        <f t="shared" si="75"/>
        <v>2</v>
      </c>
    </row>
    <row r="79" spans="1:15" ht="18" x14ac:dyDescent="0.3">
      <c r="A79" s="38"/>
      <c r="B79" s="2" t="s">
        <v>123</v>
      </c>
      <c r="C79" s="2">
        <v>6</v>
      </c>
      <c r="D79" s="2">
        <v>2.9</v>
      </c>
      <c r="E79" s="7">
        <f t="shared" si="72"/>
        <v>17.399999999999999</v>
      </c>
      <c r="F79" s="6">
        <f t="shared" si="73"/>
        <v>10.740740740740739</v>
      </c>
      <c r="G79" s="2">
        <f t="shared" si="74"/>
        <v>11</v>
      </c>
      <c r="K79" s="1">
        <v>6.2</v>
      </c>
      <c r="L79" s="1">
        <v>2.9</v>
      </c>
      <c r="M79" s="1">
        <f t="shared" si="76"/>
        <v>17.98</v>
      </c>
      <c r="N79" s="1">
        <f t="shared" si="77"/>
        <v>6.4214285714285717</v>
      </c>
      <c r="O79" s="1">
        <f t="shared" si="75"/>
        <v>7</v>
      </c>
    </row>
    <row r="80" spans="1:15" ht="18" x14ac:dyDescent="0.3">
      <c r="A80" s="38"/>
      <c r="B80" s="2" t="s">
        <v>124</v>
      </c>
      <c r="C80" s="2">
        <v>1.8</v>
      </c>
      <c r="D80" s="2">
        <v>2.9</v>
      </c>
      <c r="E80" s="7">
        <f t="shared" si="72"/>
        <v>5.22</v>
      </c>
      <c r="F80" s="6">
        <f t="shared" si="73"/>
        <v>3.2222222222222219</v>
      </c>
      <c r="G80" s="2">
        <f t="shared" si="74"/>
        <v>4</v>
      </c>
    </row>
    <row r="81" spans="1:15" ht="18" x14ac:dyDescent="0.3">
      <c r="A81" s="38"/>
      <c r="B81" s="2" t="s">
        <v>125</v>
      </c>
      <c r="C81" s="2">
        <v>1.4</v>
      </c>
      <c r="D81" s="2">
        <v>2.9</v>
      </c>
      <c r="E81" s="7">
        <f t="shared" si="72"/>
        <v>4.0599999999999996</v>
      </c>
      <c r="F81" s="6">
        <f t="shared" si="73"/>
        <v>2.5061728395061724</v>
      </c>
      <c r="G81" s="2">
        <f t="shared" si="74"/>
        <v>3</v>
      </c>
    </row>
    <row r="82" spans="1:15" ht="18" x14ac:dyDescent="0.3">
      <c r="A82" s="39"/>
      <c r="B82" s="2" t="s">
        <v>133</v>
      </c>
      <c r="C82" s="2">
        <v>8.1</v>
      </c>
      <c r="D82" s="2">
        <v>6</v>
      </c>
      <c r="E82" s="7">
        <f t="shared" si="72"/>
        <v>48.599999999999994</v>
      </c>
      <c r="F82" s="6">
        <f t="shared" si="73"/>
        <v>29.999999999999993</v>
      </c>
      <c r="G82" s="2">
        <f t="shared" si="74"/>
        <v>30</v>
      </c>
      <c r="H82" s="1" t="s">
        <v>133</v>
      </c>
      <c r="O82" s="13">
        <f>SUM(O71:O79)</f>
        <v>59</v>
      </c>
    </row>
    <row r="83" spans="1:15" ht="18" x14ac:dyDescent="0.3">
      <c r="A83" s="37" t="s">
        <v>108</v>
      </c>
      <c r="B83" s="2" t="s">
        <v>127</v>
      </c>
      <c r="C83" s="2">
        <v>8.6999999999999993</v>
      </c>
      <c r="D83" s="2">
        <v>2.9</v>
      </c>
      <c r="E83" s="7">
        <f t="shared" si="72"/>
        <v>25.229999999999997</v>
      </c>
      <c r="F83" s="6">
        <f t="shared" si="73"/>
        <v>15.574074074074071</v>
      </c>
      <c r="G83" s="2">
        <f t="shared" si="74"/>
        <v>16</v>
      </c>
    </row>
    <row r="84" spans="1:15" ht="18" x14ac:dyDescent="0.3">
      <c r="A84" s="38"/>
      <c r="B84" s="2" t="s">
        <v>128</v>
      </c>
      <c r="C84" s="2">
        <v>6</v>
      </c>
      <c r="D84" s="2">
        <v>2.9</v>
      </c>
      <c r="E84" s="7">
        <f t="shared" si="72"/>
        <v>17.399999999999999</v>
      </c>
      <c r="F84" s="6">
        <f t="shared" si="73"/>
        <v>10.740740740740739</v>
      </c>
      <c r="G84" s="2">
        <f t="shared" si="74"/>
        <v>11</v>
      </c>
    </row>
    <row r="85" spans="1:15" ht="18" x14ac:dyDescent="0.3">
      <c r="A85" s="38"/>
      <c r="B85" s="2" t="s">
        <v>129</v>
      </c>
      <c r="C85" s="2">
        <v>8.6999999999999993</v>
      </c>
      <c r="D85" s="2">
        <v>2.9</v>
      </c>
      <c r="E85" s="7">
        <f t="shared" si="72"/>
        <v>25.229999999999997</v>
      </c>
      <c r="F85" s="6">
        <f t="shared" si="73"/>
        <v>15.574074074074071</v>
      </c>
      <c r="G85" s="2">
        <f t="shared" si="74"/>
        <v>16</v>
      </c>
    </row>
    <row r="86" spans="1:15" ht="18" x14ac:dyDescent="0.3">
      <c r="A86" s="39"/>
      <c r="B86" s="2" t="s">
        <v>130</v>
      </c>
      <c r="C86" s="2">
        <v>6</v>
      </c>
      <c r="D86" s="2">
        <v>2.9</v>
      </c>
      <c r="E86" s="7">
        <f t="shared" si="72"/>
        <v>17.399999999999999</v>
      </c>
      <c r="F86" s="6">
        <f t="shared" si="73"/>
        <v>10.740740740740739</v>
      </c>
      <c r="G86" s="2">
        <f t="shared" si="74"/>
        <v>11</v>
      </c>
    </row>
    <row r="87" spans="1:15" ht="18" x14ac:dyDescent="0.3">
      <c r="A87" s="37" t="s">
        <v>108</v>
      </c>
      <c r="B87" s="2" t="s">
        <v>134</v>
      </c>
      <c r="C87" s="2">
        <v>2.5</v>
      </c>
      <c r="D87" s="2">
        <v>2.9</v>
      </c>
      <c r="E87" s="7">
        <f t="shared" ref="E87:E94" si="78">C87*D87</f>
        <v>7.25</v>
      </c>
      <c r="F87" s="6">
        <f t="shared" ref="F87:F94" si="79">E87/1.62</f>
        <v>4.4753086419753085</v>
      </c>
      <c r="G87" s="2">
        <f t="shared" ref="G87:G94" si="80">ROUNDUP(F87,0)</f>
        <v>5</v>
      </c>
    </row>
    <row r="88" spans="1:15" ht="18" x14ac:dyDescent="0.3">
      <c r="A88" s="38"/>
      <c r="B88" s="2" t="s">
        <v>135</v>
      </c>
      <c r="C88" s="2">
        <v>1.6</v>
      </c>
      <c r="D88" s="2">
        <v>2.9</v>
      </c>
      <c r="E88" s="7">
        <f t="shared" si="78"/>
        <v>4.6399999999999997</v>
      </c>
      <c r="F88" s="6">
        <f t="shared" si="79"/>
        <v>2.8641975308641969</v>
      </c>
      <c r="G88" s="2">
        <f t="shared" si="80"/>
        <v>3</v>
      </c>
    </row>
    <row r="89" spans="1:15" ht="18" x14ac:dyDescent="0.3">
      <c r="A89" s="38"/>
      <c r="B89" s="2" t="s">
        <v>136</v>
      </c>
      <c r="C89" s="2">
        <v>2.9</v>
      </c>
      <c r="D89" s="2">
        <v>2.9</v>
      </c>
      <c r="E89" s="7">
        <f t="shared" si="78"/>
        <v>8.41</v>
      </c>
      <c r="F89" s="6">
        <f t="shared" si="79"/>
        <v>5.1913580246913575</v>
      </c>
      <c r="G89" s="2">
        <f t="shared" si="80"/>
        <v>6</v>
      </c>
    </row>
    <row r="90" spans="1:15" ht="18" x14ac:dyDescent="0.3">
      <c r="A90" s="38"/>
      <c r="B90" s="2" t="s">
        <v>137</v>
      </c>
      <c r="C90" s="2">
        <v>4.4000000000000004</v>
      </c>
      <c r="D90" s="2">
        <v>2.9</v>
      </c>
      <c r="E90" s="7">
        <f t="shared" si="78"/>
        <v>12.76</v>
      </c>
      <c r="F90" s="6">
        <f t="shared" si="79"/>
        <v>7.8765432098765427</v>
      </c>
      <c r="G90" s="2">
        <f t="shared" si="80"/>
        <v>8</v>
      </c>
    </row>
    <row r="91" spans="1:15" ht="18" x14ac:dyDescent="0.3">
      <c r="A91" s="38"/>
      <c r="B91" s="2" t="s">
        <v>138</v>
      </c>
      <c r="C91" s="2">
        <v>5.4</v>
      </c>
      <c r="D91" s="2">
        <v>2.9</v>
      </c>
      <c r="E91" s="7">
        <f t="shared" si="78"/>
        <v>15.66</v>
      </c>
      <c r="F91" s="6">
        <f t="shared" si="79"/>
        <v>9.6666666666666661</v>
      </c>
      <c r="G91" s="2">
        <f t="shared" si="80"/>
        <v>10</v>
      </c>
    </row>
    <row r="92" spans="1:15" ht="18" x14ac:dyDescent="0.3">
      <c r="A92" s="39"/>
      <c r="B92" s="2" t="s">
        <v>139</v>
      </c>
      <c r="C92" s="2">
        <v>6</v>
      </c>
      <c r="D92" s="2">
        <v>2.9</v>
      </c>
      <c r="E92" s="7">
        <f t="shared" si="78"/>
        <v>17.399999999999999</v>
      </c>
      <c r="F92" s="6">
        <f t="shared" si="79"/>
        <v>10.740740740740739</v>
      </c>
      <c r="G92" s="2">
        <f t="shared" si="80"/>
        <v>11</v>
      </c>
    </row>
    <row r="93" spans="1:15" ht="18" x14ac:dyDescent="0.3">
      <c r="A93" s="37" t="s">
        <v>142</v>
      </c>
      <c r="B93" s="2" t="s">
        <v>140</v>
      </c>
      <c r="C93" s="2">
        <v>2.8</v>
      </c>
      <c r="D93" s="2">
        <v>2.9</v>
      </c>
      <c r="E93" s="7">
        <f t="shared" si="78"/>
        <v>8.1199999999999992</v>
      </c>
      <c r="F93" s="6">
        <f t="shared" si="79"/>
        <v>5.0123456790123448</v>
      </c>
      <c r="G93" s="2">
        <f t="shared" si="80"/>
        <v>6</v>
      </c>
    </row>
    <row r="94" spans="1:15" ht="18" x14ac:dyDescent="0.3">
      <c r="A94" s="38"/>
      <c r="B94" s="2" t="s">
        <v>141</v>
      </c>
      <c r="C94" s="2">
        <v>6.7</v>
      </c>
      <c r="D94" s="2">
        <v>2.9</v>
      </c>
      <c r="E94" s="7">
        <f t="shared" si="78"/>
        <v>19.43</v>
      </c>
      <c r="F94" s="6">
        <f t="shared" si="79"/>
        <v>11.993827160493826</v>
      </c>
      <c r="G94" s="2">
        <f t="shared" si="80"/>
        <v>12</v>
      </c>
    </row>
    <row r="95" spans="1:15" ht="18" x14ac:dyDescent="0.3">
      <c r="A95" s="38"/>
      <c r="B95" s="2" t="s">
        <v>96</v>
      </c>
      <c r="C95" s="2">
        <v>2.8</v>
      </c>
      <c r="D95" s="2">
        <v>2.9</v>
      </c>
      <c r="E95" s="7">
        <f t="shared" ref="E95:E102" si="81">C95*D95</f>
        <v>8.1199999999999992</v>
      </c>
      <c r="F95" s="6">
        <f t="shared" ref="F95:F102" si="82">E95/1.62</f>
        <v>5.0123456790123448</v>
      </c>
      <c r="G95" s="2">
        <f t="shared" ref="G95:G102" si="83">ROUNDUP(F95,0)</f>
        <v>6</v>
      </c>
    </row>
    <row r="96" spans="1:15" ht="18" x14ac:dyDescent="0.3">
      <c r="A96" s="39"/>
      <c r="B96" s="2" t="s">
        <v>97</v>
      </c>
      <c r="C96" s="2">
        <v>6.7</v>
      </c>
      <c r="D96" s="2">
        <v>2.9</v>
      </c>
      <c r="E96" s="7">
        <f t="shared" si="81"/>
        <v>19.43</v>
      </c>
      <c r="F96" s="6">
        <f t="shared" si="82"/>
        <v>11.993827160493826</v>
      </c>
      <c r="G96" s="2">
        <f t="shared" si="83"/>
        <v>12</v>
      </c>
    </row>
    <row r="97" spans="1:11" ht="18" x14ac:dyDescent="0.3">
      <c r="A97" s="37" t="s">
        <v>143</v>
      </c>
      <c r="B97" s="2" t="s">
        <v>98</v>
      </c>
      <c r="C97" s="2">
        <v>11</v>
      </c>
      <c r="D97" s="2">
        <v>2.9</v>
      </c>
      <c r="E97" s="7">
        <f t="shared" si="81"/>
        <v>31.9</v>
      </c>
      <c r="F97" s="6">
        <f t="shared" si="82"/>
        <v>19.691358024691358</v>
      </c>
      <c r="G97" s="2">
        <f t="shared" si="83"/>
        <v>20</v>
      </c>
    </row>
    <row r="98" spans="1:11" ht="18" x14ac:dyDescent="0.3">
      <c r="A98" s="38"/>
      <c r="B98" s="2" t="s">
        <v>99</v>
      </c>
      <c r="C98" s="2">
        <v>6.2</v>
      </c>
      <c r="D98" s="2">
        <v>2.9</v>
      </c>
      <c r="E98" s="7">
        <f t="shared" si="81"/>
        <v>17.98</v>
      </c>
      <c r="F98" s="6">
        <f t="shared" si="82"/>
        <v>11.098765432098764</v>
      </c>
      <c r="G98" s="2">
        <f t="shared" si="83"/>
        <v>12</v>
      </c>
    </row>
    <row r="99" spans="1:11" ht="18" x14ac:dyDescent="0.3">
      <c r="A99" s="38"/>
      <c r="B99" s="2" t="s">
        <v>100</v>
      </c>
      <c r="C99" s="2">
        <v>2</v>
      </c>
      <c r="D99" s="2">
        <v>2.9</v>
      </c>
      <c r="E99" s="7">
        <f t="shared" si="81"/>
        <v>5.8</v>
      </c>
      <c r="F99" s="6">
        <f t="shared" si="82"/>
        <v>3.5802469135802464</v>
      </c>
      <c r="G99" s="2">
        <f t="shared" si="83"/>
        <v>4</v>
      </c>
    </row>
    <row r="100" spans="1:11" ht="18" x14ac:dyDescent="0.3">
      <c r="A100" s="38"/>
      <c r="B100" s="2" t="s">
        <v>101</v>
      </c>
      <c r="C100" s="2">
        <v>4.7</v>
      </c>
      <c r="D100" s="2">
        <v>2.9</v>
      </c>
      <c r="E100" s="7">
        <f t="shared" si="81"/>
        <v>13.63</v>
      </c>
      <c r="F100" s="6">
        <f t="shared" si="82"/>
        <v>8.4135802469135808</v>
      </c>
      <c r="G100" s="2">
        <f t="shared" si="83"/>
        <v>9</v>
      </c>
    </row>
    <row r="101" spans="1:11" ht="18" x14ac:dyDescent="0.3">
      <c r="A101" s="38"/>
      <c r="B101" s="2" t="s">
        <v>102</v>
      </c>
      <c r="C101" s="2">
        <v>13.1</v>
      </c>
      <c r="D101" s="2">
        <v>2.9</v>
      </c>
      <c r="E101" s="7">
        <f t="shared" si="81"/>
        <v>37.989999999999995</v>
      </c>
      <c r="F101" s="6">
        <f t="shared" si="82"/>
        <v>23.450617283950614</v>
      </c>
      <c r="G101" s="2">
        <f t="shared" si="83"/>
        <v>24</v>
      </c>
    </row>
    <row r="102" spans="1:11" ht="18" x14ac:dyDescent="0.3">
      <c r="A102" s="39"/>
      <c r="B102" s="2" t="s">
        <v>103</v>
      </c>
      <c r="C102" s="2">
        <v>3.8</v>
      </c>
      <c r="D102" s="2">
        <v>2.9</v>
      </c>
      <c r="E102" s="7">
        <f t="shared" si="81"/>
        <v>11.02</v>
      </c>
      <c r="F102" s="6">
        <f t="shared" si="82"/>
        <v>6.8024691358024683</v>
      </c>
      <c r="G102" s="2">
        <f t="shared" si="83"/>
        <v>7</v>
      </c>
    </row>
    <row r="103" spans="1:11" x14ac:dyDescent="0.3">
      <c r="A103" s="2" t="s">
        <v>23</v>
      </c>
      <c r="B103" s="2"/>
      <c r="C103" s="2"/>
      <c r="D103" s="2"/>
      <c r="E103" s="6"/>
      <c r="F103" s="6"/>
      <c r="G103" s="27">
        <f>SUM(G64:G102)</f>
        <v>460</v>
      </c>
    </row>
    <row r="108" spans="1:11" ht="20.25" x14ac:dyDescent="0.3">
      <c r="A108" s="42" t="s">
        <v>28</v>
      </c>
      <c r="B108" s="42"/>
      <c r="C108" s="42"/>
      <c r="D108" s="42"/>
      <c r="E108" s="42"/>
      <c r="F108" s="42"/>
      <c r="G108" s="5"/>
      <c r="K108" s="1" t="s">
        <v>87</v>
      </c>
    </row>
    <row r="109" spans="1:11" ht="18" x14ac:dyDescent="0.3">
      <c r="A109" s="2" t="s">
        <v>14</v>
      </c>
      <c r="B109" s="2" t="s">
        <v>15</v>
      </c>
      <c r="C109" s="2" t="s">
        <v>24</v>
      </c>
      <c r="D109" s="2" t="s">
        <v>25</v>
      </c>
      <c r="E109" s="6" t="s">
        <v>21</v>
      </c>
      <c r="F109" s="6" t="s">
        <v>26</v>
      </c>
      <c r="H109" s="1" t="s">
        <v>59</v>
      </c>
    </row>
    <row r="110" spans="1:11" x14ac:dyDescent="0.3">
      <c r="A110" s="43"/>
      <c r="B110" s="2" t="s">
        <v>16</v>
      </c>
      <c r="C110" s="2"/>
      <c r="D110" s="2"/>
      <c r="E110" s="6">
        <f>C110*D110</f>
        <v>0</v>
      </c>
      <c r="F110" s="6">
        <f>E110/2.88</f>
        <v>0</v>
      </c>
    </row>
    <row r="111" spans="1:11" x14ac:dyDescent="0.3">
      <c r="A111" s="43"/>
      <c r="B111" s="2" t="s">
        <v>17</v>
      </c>
      <c r="C111" s="2"/>
      <c r="D111" s="2"/>
      <c r="E111" s="6">
        <f>C111*D111</f>
        <v>0</v>
      </c>
      <c r="F111" s="6">
        <f t="shared" ref="F111:F113" si="84">E111/2.88</f>
        <v>0</v>
      </c>
    </row>
    <row r="112" spans="1:11" x14ac:dyDescent="0.3">
      <c r="A112" s="43"/>
      <c r="B112" s="2" t="s">
        <v>18</v>
      </c>
      <c r="C112" s="2"/>
      <c r="D112" s="2"/>
      <c r="E112" s="6">
        <f>C112*D112</f>
        <v>0</v>
      </c>
      <c r="F112" s="6">
        <f t="shared" si="84"/>
        <v>0</v>
      </c>
    </row>
    <row r="113" spans="1:9" x14ac:dyDescent="0.3">
      <c r="A113" s="43"/>
      <c r="B113" s="2" t="s">
        <v>19</v>
      </c>
      <c r="C113" s="2"/>
      <c r="D113" s="2"/>
      <c r="E113" s="6">
        <f>C113*D113</f>
        <v>0</v>
      </c>
      <c r="F113" s="6">
        <f t="shared" si="84"/>
        <v>0</v>
      </c>
    </row>
    <row r="114" spans="1:9" x14ac:dyDescent="0.3">
      <c r="A114" s="2"/>
      <c r="B114" s="2" t="s">
        <v>96</v>
      </c>
      <c r="C114" s="2"/>
      <c r="D114" s="2"/>
      <c r="E114" s="6">
        <f t="shared" ref="E114:E124" si="85">C114*D114</f>
        <v>0</v>
      </c>
      <c r="F114" s="6">
        <f t="shared" ref="F114:F124" si="86">E114/2.88</f>
        <v>0</v>
      </c>
    </row>
    <row r="115" spans="1:9" x14ac:dyDescent="0.3">
      <c r="A115" s="2"/>
      <c r="B115" s="2" t="s">
        <v>97</v>
      </c>
      <c r="C115" s="2"/>
      <c r="D115" s="2"/>
      <c r="E115" s="6">
        <f t="shared" si="85"/>
        <v>0</v>
      </c>
      <c r="F115" s="6">
        <f t="shared" si="86"/>
        <v>0</v>
      </c>
    </row>
    <row r="116" spans="1:9" x14ac:dyDescent="0.3">
      <c r="A116" s="2"/>
      <c r="B116" s="2" t="s">
        <v>98</v>
      </c>
      <c r="C116" s="2"/>
      <c r="D116" s="2"/>
      <c r="E116" s="6">
        <f t="shared" si="85"/>
        <v>0</v>
      </c>
      <c r="F116" s="6">
        <f t="shared" si="86"/>
        <v>0</v>
      </c>
    </row>
    <row r="117" spans="1:9" x14ac:dyDescent="0.3">
      <c r="A117" s="2"/>
      <c r="B117" s="2" t="s">
        <v>99</v>
      </c>
      <c r="C117" s="2"/>
      <c r="D117" s="2"/>
      <c r="E117" s="6">
        <f t="shared" si="85"/>
        <v>0</v>
      </c>
      <c r="F117" s="6">
        <f t="shared" si="86"/>
        <v>0</v>
      </c>
    </row>
    <row r="118" spans="1:9" x14ac:dyDescent="0.3">
      <c r="A118" s="2"/>
      <c r="B118" s="2" t="s">
        <v>100</v>
      </c>
      <c r="C118" s="2"/>
      <c r="D118" s="2"/>
      <c r="E118" s="6">
        <f t="shared" si="85"/>
        <v>0</v>
      </c>
      <c r="F118" s="6">
        <f t="shared" si="86"/>
        <v>0</v>
      </c>
    </row>
    <row r="119" spans="1:9" x14ac:dyDescent="0.3">
      <c r="A119" s="2"/>
      <c r="B119" s="2" t="s">
        <v>101</v>
      </c>
      <c r="C119" s="2"/>
      <c r="D119" s="2"/>
      <c r="E119" s="6">
        <f t="shared" si="85"/>
        <v>0</v>
      </c>
      <c r="F119" s="6">
        <f t="shared" si="86"/>
        <v>0</v>
      </c>
    </row>
    <row r="120" spans="1:9" x14ac:dyDescent="0.3">
      <c r="A120" s="2"/>
      <c r="B120" s="2" t="s">
        <v>102</v>
      </c>
      <c r="C120" s="2"/>
      <c r="D120" s="2"/>
      <c r="E120" s="6">
        <f t="shared" si="85"/>
        <v>0</v>
      </c>
      <c r="F120" s="6">
        <f t="shared" si="86"/>
        <v>0</v>
      </c>
    </row>
    <row r="121" spans="1:9" x14ac:dyDescent="0.3">
      <c r="A121" s="2"/>
      <c r="B121" s="2" t="s">
        <v>103</v>
      </c>
      <c r="C121" s="2"/>
      <c r="D121" s="2"/>
      <c r="E121" s="6">
        <f t="shared" si="85"/>
        <v>0</v>
      </c>
      <c r="F121" s="6">
        <f t="shared" si="86"/>
        <v>0</v>
      </c>
    </row>
    <row r="122" spans="1:9" x14ac:dyDescent="0.3">
      <c r="A122" s="2"/>
      <c r="B122" s="2" t="s">
        <v>104</v>
      </c>
      <c r="C122" s="2"/>
      <c r="D122" s="2"/>
      <c r="E122" s="6">
        <f t="shared" si="85"/>
        <v>0</v>
      </c>
      <c r="F122" s="6">
        <f t="shared" si="86"/>
        <v>0</v>
      </c>
    </row>
    <row r="123" spans="1:9" x14ac:dyDescent="0.3">
      <c r="A123" s="2"/>
      <c r="B123" s="2" t="s">
        <v>122</v>
      </c>
      <c r="C123" s="2"/>
      <c r="D123" s="2"/>
      <c r="E123" s="6">
        <f t="shared" si="85"/>
        <v>0</v>
      </c>
      <c r="F123" s="6">
        <f t="shared" si="86"/>
        <v>0</v>
      </c>
    </row>
    <row r="124" spans="1:9" x14ac:dyDescent="0.3">
      <c r="A124" s="2"/>
      <c r="B124" s="2" t="s">
        <v>123</v>
      </c>
      <c r="C124" s="2"/>
      <c r="D124" s="2"/>
      <c r="E124" s="6">
        <f t="shared" si="85"/>
        <v>0</v>
      </c>
      <c r="F124" s="6">
        <f t="shared" si="86"/>
        <v>0</v>
      </c>
    </row>
    <row r="125" spans="1:9" x14ac:dyDescent="0.3">
      <c r="A125" s="2" t="s">
        <v>13</v>
      </c>
      <c r="B125" s="2"/>
      <c r="C125" s="2"/>
      <c r="D125" s="2"/>
      <c r="E125" s="6"/>
      <c r="F125" s="6">
        <f>SUM(F110:F113)</f>
        <v>0</v>
      </c>
    </row>
    <row r="127" spans="1:9" x14ac:dyDescent="0.3">
      <c r="H127" s="1" t="s">
        <v>29</v>
      </c>
    </row>
    <row r="128" spans="1:9" x14ac:dyDescent="0.3">
      <c r="I128" s="3" t="s">
        <v>44</v>
      </c>
    </row>
    <row r="129" spans="1:14" x14ac:dyDescent="0.3">
      <c r="H129" s="1" t="s">
        <v>58</v>
      </c>
    </row>
    <row r="130" spans="1:14" x14ac:dyDescent="0.3">
      <c r="H130" s="1" t="s">
        <v>88</v>
      </c>
    </row>
    <row r="131" spans="1:14" ht="20.25" x14ac:dyDescent="0.3">
      <c r="A131" s="41" t="s">
        <v>27</v>
      </c>
      <c r="B131" s="41"/>
      <c r="C131" s="41"/>
      <c r="D131" s="41"/>
      <c r="E131" s="41"/>
      <c r="F131" s="41"/>
      <c r="G131" s="5"/>
    </row>
    <row r="132" spans="1:14" x14ac:dyDescent="0.3">
      <c r="A132" s="2" t="s">
        <v>14</v>
      </c>
      <c r="B132" s="2" t="s">
        <v>15</v>
      </c>
      <c r="C132" s="2" t="s">
        <v>30</v>
      </c>
      <c r="D132" s="3" t="s">
        <v>152</v>
      </c>
      <c r="E132" s="2"/>
      <c r="F132" s="6"/>
      <c r="G132" s="6" t="s">
        <v>33</v>
      </c>
      <c r="I132" s="2" t="s">
        <v>14</v>
      </c>
      <c r="J132" s="2" t="s">
        <v>15</v>
      </c>
      <c r="K132" s="2" t="s">
        <v>30</v>
      </c>
      <c r="L132" s="2" t="s">
        <v>31</v>
      </c>
      <c r="M132" s="6" t="s">
        <v>32</v>
      </c>
      <c r="N132" s="6" t="s">
        <v>33</v>
      </c>
    </row>
    <row r="133" spans="1:14" x14ac:dyDescent="0.3">
      <c r="A133" s="43"/>
      <c r="B133" s="2" t="s">
        <v>16</v>
      </c>
      <c r="C133" s="2"/>
      <c r="E133" s="2"/>
      <c r="F133" s="6"/>
      <c r="G133" s="6"/>
      <c r="I133" s="43"/>
      <c r="J133" s="2" t="s">
        <v>16</v>
      </c>
      <c r="K133" s="2">
        <v>6100</v>
      </c>
      <c r="L133" s="2">
        <f t="shared" ref="L133:L144" si="87">K133/450</f>
        <v>13.555555555555555</v>
      </c>
      <c r="M133" s="6">
        <f t="shared" ref="M133:M144" si="88">ROUNDUP(L133,0)</f>
        <v>14</v>
      </c>
      <c r="N133" s="6"/>
    </row>
    <row r="134" spans="1:14" x14ac:dyDescent="0.3">
      <c r="A134" s="43"/>
      <c r="B134" s="2" t="s">
        <v>17</v>
      </c>
      <c r="C134" s="2"/>
      <c r="E134" s="2"/>
      <c r="F134" s="6">
        <f>ROUNDUP(E134,0)</f>
        <v>0</v>
      </c>
      <c r="G134" s="10"/>
      <c r="I134" s="43"/>
      <c r="J134" s="2" t="s">
        <v>17</v>
      </c>
      <c r="K134" s="2">
        <v>6200</v>
      </c>
      <c r="L134" s="2">
        <f t="shared" si="87"/>
        <v>13.777777777777779</v>
      </c>
      <c r="M134" s="6">
        <f t="shared" si="88"/>
        <v>14</v>
      </c>
      <c r="N134" s="10"/>
    </row>
    <row r="135" spans="1:14" x14ac:dyDescent="0.3">
      <c r="A135" s="43"/>
      <c r="B135" s="2" t="s">
        <v>18</v>
      </c>
      <c r="C135" s="2"/>
      <c r="E135" s="2"/>
      <c r="F135" s="6">
        <f>ROUNDUP(E135,0)</f>
        <v>0</v>
      </c>
      <c r="G135" s="6"/>
      <c r="I135" s="43"/>
      <c r="J135" s="2" t="s">
        <v>18</v>
      </c>
      <c r="K135" s="2">
        <v>11000</v>
      </c>
      <c r="L135" s="2">
        <f t="shared" si="87"/>
        <v>24.444444444444443</v>
      </c>
      <c r="M135" s="6">
        <f t="shared" si="88"/>
        <v>25</v>
      </c>
      <c r="N135" s="6"/>
    </row>
    <row r="136" spans="1:14" x14ac:dyDescent="0.3">
      <c r="A136" s="43"/>
      <c r="B136" s="2" t="s">
        <v>19</v>
      </c>
      <c r="C136" s="2"/>
      <c r="E136" s="2"/>
      <c r="F136" s="6">
        <f>ROUNDUP(E136,0)</f>
        <v>0</v>
      </c>
      <c r="G136" s="6"/>
      <c r="I136" s="43"/>
      <c r="J136" s="2" t="s">
        <v>19</v>
      </c>
      <c r="K136" s="2">
        <v>3800</v>
      </c>
      <c r="L136" s="2">
        <f t="shared" si="87"/>
        <v>8.4444444444444446</v>
      </c>
      <c r="M136" s="6">
        <f t="shared" si="88"/>
        <v>9</v>
      </c>
      <c r="N136" s="6"/>
    </row>
    <row r="137" spans="1:14" x14ac:dyDescent="0.3">
      <c r="A137" s="2"/>
      <c r="B137" s="2"/>
      <c r="C137" s="2"/>
      <c r="E137" s="2"/>
      <c r="F137" s="6"/>
      <c r="G137" s="6"/>
      <c r="I137" s="2"/>
      <c r="J137" s="2"/>
      <c r="K137" s="2">
        <v>1400</v>
      </c>
      <c r="L137" s="2">
        <f t="shared" si="87"/>
        <v>3.1111111111111112</v>
      </c>
      <c r="M137" s="6">
        <f t="shared" si="88"/>
        <v>4</v>
      </c>
      <c r="N137" s="6"/>
    </row>
    <row r="138" spans="1:14" x14ac:dyDescent="0.3">
      <c r="A138" s="2"/>
      <c r="B138" s="2"/>
      <c r="C138" s="2"/>
      <c r="E138" s="2"/>
      <c r="F138" s="6"/>
      <c r="G138" s="6"/>
      <c r="I138" s="2"/>
      <c r="J138" s="2"/>
      <c r="K138" s="2">
        <v>6200</v>
      </c>
      <c r="L138" s="2">
        <f t="shared" si="87"/>
        <v>13.777777777777779</v>
      </c>
      <c r="M138" s="6">
        <f t="shared" si="88"/>
        <v>14</v>
      </c>
      <c r="N138" s="6"/>
    </row>
    <row r="139" spans="1:14" x14ac:dyDescent="0.3">
      <c r="A139" s="2"/>
      <c r="B139" s="2"/>
      <c r="C139" s="2"/>
      <c r="E139" s="2"/>
      <c r="F139" s="6"/>
      <c r="G139" s="6"/>
      <c r="I139" s="2"/>
      <c r="J139" s="2"/>
      <c r="K139" s="2">
        <v>6000</v>
      </c>
      <c r="L139" s="2">
        <f t="shared" si="87"/>
        <v>13.333333333333334</v>
      </c>
      <c r="M139" s="6">
        <f t="shared" si="88"/>
        <v>14</v>
      </c>
      <c r="N139" s="6"/>
    </row>
    <row r="140" spans="1:14" x14ac:dyDescent="0.3">
      <c r="A140" s="2"/>
      <c r="B140" s="2"/>
      <c r="C140" s="2"/>
      <c r="E140" s="2"/>
      <c r="F140" s="6"/>
      <c r="G140" s="6"/>
      <c r="I140" s="2"/>
      <c r="J140" s="2"/>
      <c r="K140" s="2">
        <v>6000</v>
      </c>
      <c r="L140" s="2">
        <f t="shared" si="87"/>
        <v>13.333333333333334</v>
      </c>
      <c r="M140" s="6">
        <f t="shared" si="88"/>
        <v>14</v>
      </c>
      <c r="N140" s="6"/>
    </row>
    <row r="141" spans="1:14" x14ac:dyDescent="0.3">
      <c r="A141" s="2"/>
      <c r="B141" s="2"/>
      <c r="C141" s="2"/>
      <c r="E141" s="2"/>
      <c r="F141" s="6"/>
      <c r="G141" s="6"/>
      <c r="I141" s="2"/>
      <c r="J141" s="2"/>
      <c r="K141" s="2">
        <v>2500</v>
      </c>
      <c r="L141" s="2">
        <f t="shared" si="87"/>
        <v>5.5555555555555554</v>
      </c>
      <c r="M141" s="6">
        <f t="shared" si="88"/>
        <v>6</v>
      </c>
      <c r="N141" s="6"/>
    </row>
    <row r="142" spans="1:14" x14ac:dyDescent="0.3">
      <c r="A142" s="2"/>
      <c r="B142" s="2"/>
      <c r="C142" s="2"/>
      <c r="E142" s="2"/>
      <c r="F142" s="6"/>
      <c r="G142" s="6"/>
      <c r="I142" s="2"/>
      <c r="J142" s="2"/>
      <c r="K142" s="2">
        <v>1600</v>
      </c>
      <c r="L142" s="2">
        <f t="shared" si="87"/>
        <v>3.5555555555555554</v>
      </c>
      <c r="M142" s="6">
        <f t="shared" si="88"/>
        <v>4</v>
      </c>
      <c r="N142" s="6"/>
    </row>
    <row r="143" spans="1:14" x14ac:dyDescent="0.3">
      <c r="A143" s="2"/>
      <c r="B143" s="2"/>
      <c r="C143" s="2"/>
      <c r="E143" s="2"/>
      <c r="F143" s="6"/>
      <c r="G143" s="6"/>
      <c r="I143" s="2"/>
      <c r="J143" s="2"/>
      <c r="K143" s="2">
        <v>2900</v>
      </c>
      <c r="L143" s="2">
        <f t="shared" si="87"/>
        <v>6.4444444444444446</v>
      </c>
      <c r="M143" s="6">
        <f t="shared" si="88"/>
        <v>7</v>
      </c>
      <c r="N143" s="6"/>
    </row>
    <row r="144" spans="1:14" x14ac:dyDescent="0.3">
      <c r="A144" s="2"/>
      <c r="B144" s="2"/>
      <c r="C144" s="2"/>
      <c r="E144" s="2"/>
      <c r="F144" s="6"/>
      <c r="G144" s="6"/>
      <c r="I144" s="2"/>
      <c r="J144" s="2"/>
      <c r="K144" s="2">
        <v>5100</v>
      </c>
      <c r="L144" s="2">
        <f t="shared" si="87"/>
        <v>11.333333333333334</v>
      </c>
      <c r="M144" s="6">
        <f t="shared" si="88"/>
        <v>12</v>
      </c>
      <c r="N144" s="6"/>
    </row>
    <row r="145" spans="1:15" x14ac:dyDescent="0.3">
      <c r="A145" s="2" t="s">
        <v>13</v>
      </c>
      <c r="B145" s="2"/>
      <c r="C145" s="2"/>
      <c r="E145" s="2"/>
      <c r="F145" s="6">
        <f>SUM(F133:F136)</f>
        <v>0</v>
      </c>
      <c r="G145" s="6">
        <f>F145/13</f>
        <v>0</v>
      </c>
      <c r="I145" s="2" t="s">
        <v>13</v>
      </c>
      <c r="J145" s="2"/>
      <c r="K145" s="2"/>
      <c r="L145" s="2"/>
      <c r="M145" s="6">
        <f>SUM(M133:M144)</f>
        <v>137</v>
      </c>
      <c r="N145" s="18">
        <f>M145/13</f>
        <v>10.538461538461538</v>
      </c>
    </row>
    <row r="148" spans="1:15" ht="20.25" x14ac:dyDescent="0.3">
      <c r="A148" s="5" t="s">
        <v>73</v>
      </c>
    </row>
    <row r="150" spans="1:15" x14ac:dyDescent="0.3">
      <c r="F150" s="1" t="s">
        <v>34</v>
      </c>
      <c r="K150" s="28" t="s">
        <v>146</v>
      </c>
    </row>
    <row r="151" spans="1:15" ht="20.25" x14ac:dyDescent="0.3">
      <c r="A151" s="41" t="s">
        <v>147</v>
      </c>
      <c r="B151" s="41"/>
      <c r="C151" s="41"/>
      <c r="D151" s="41"/>
      <c r="E151" s="41"/>
      <c r="F151" s="41"/>
      <c r="K151" s="2" t="s">
        <v>14</v>
      </c>
      <c r="L151" s="2" t="s">
        <v>15</v>
      </c>
      <c r="M151" s="2" t="s">
        <v>30</v>
      </c>
      <c r="N151" s="2" t="s">
        <v>35</v>
      </c>
      <c r="O151" s="6" t="s">
        <v>20</v>
      </c>
    </row>
    <row r="152" spans="1:15" x14ac:dyDescent="0.3">
      <c r="A152" s="2" t="s">
        <v>14</v>
      </c>
      <c r="B152" s="2" t="s">
        <v>15</v>
      </c>
      <c r="C152" s="2" t="s">
        <v>30</v>
      </c>
      <c r="D152" s="2" t="s">
        <v>35</v>
      </c>
      <c r="E152" s="6" t="s">
        <v>20</v>
      </c>
      <c r="K152" s="43" t="s">
        <v>105</v>
      </c>
      <c r="L152" s="2" t="s">
        <v>16</v>
      </c>
      <c r="M152" s="2">
        <v>9500</v>
      </c>
      <c r="N152" s="2">
        <f>M152/2400</f>
        <v>3.9583333333333335</v>
      </c>
      <c r="O152" s="6">
        <f>ROUNDUP(N152,0)</f>
        <v>4</v>
      </c>
    </row>
    <row r="153" spans="1:15" x14ac:dyDescent="0.3">
      <c r="A153" s="37" t="s">
        <v>105</v>
      </c>
      <c r="B153" s="2" t="s">
        <v>16</v>
      </c>
      <c r="C153" s="2">
        <v>9500</v>
      </c>
      <c r="D153" s="2">
        <f>C153/2400</f>
        <v>3.9583333333333335</v>
      </c>
      <c r="E153" s="6">
        <f>ROUNDUP(D153,0)</f>
        <v>4</v>
      </c>
      <c r="K153" s="43"/>
      <c r="L153" s="2" t="s">
        <v>17</v>
      </c>
      <c r="M153" s="3">
        <v>6200</v>
      </c>
      <c r="N153" s="2">
        <f t="shared" ref="N153:N190" si="89">M153/2400</f>
        <v>2.5833333333333335</v>
      </c>
      <c r="O153" s="6">
        <f>ROUNDUP(N153,0)</f>
        <v>3</v>
      </c>
    </row>
    <row r="154" spans="1:15" x14ac:dyDescent="0.3">
      <c r="A154" s="38"/>
      <c r="B154" s="2" t="s">
        <v>17</v>
      </c>
      <c r="C154" s="3">
        <v>6200</v>
      </c>
      <c r="D154" s="2">
        <f t="shared" ref="D154:D190" si="90">C154/2400</f>
        <v>2.5833333333333335</v>
      </c>
      <c r="E154" s="6">
        <f>ROUNDUP(D154,0)</f>
        <v>3</v>
      </c>
      <c r="K154" s="43"/>
      <c r="L154" s="2" t="s">
        <v>18</v>
      </c>
      <c r="M154" s="2">
        <v>9500</v>
      </c>
      <c r="N154" s="2">
        <f t="shared" si="89"/>
        <v>3.9583333333333335</v>
      </c>
      <c r="O154" s="6">
        <f>ROUNDUP(N154,0)</f>
        <v>4</v>
      </c>
    </row>
    <row r="155" spans="1:15" x14ac:dyDescent="0.3">
      <c r="A155" s="39"/>
      <c r="B155" s="2" t="s">
        <v>18</v>
      </c>
      <c r="C155" s="2">
        <v>6200</v>
      </c>
      <c r="D155" s="2">
        <f t="shared" si="90"/>
        <v>2.5833333333333335</v>
      </c>
      <c r="E155" s="6">
        <f>ROUNDUP(D155,0)</f>
        <v>3</v>
      </c>
      <c r="K155" s="43"/>
      <c r="L155" s="2" t="s">
        <v>19</v>
      </c>
      <c r="M155" s="2">
        <v>6200</v>
      </c>
      <c r="N155" s="2">
        <f t="shared" si="89"/>
        <v>2.5833333333333335</v>
      </c>
      <c r="O155" s="6">
        <f>ROUNDUP(N155,0)</f>
        <v>3</v>
      </c>
    </row>
    <row r="156" spans="1:15" x14ac:dyDescent="0.3">
      <c r="A156" s="37" t="s">
        <v>131</v>
      </c>
      <c r="B156" s="2" t="s">
        <v>19</v>
      </c>
      <c r="C156" s="2">
        <v>9000</v>
      </c>
      <c r="D156" s="2">
        <f t="shared" si="90"/>
        <v>3.75</v>
      </c>
      <c r="E156" s="6">
        <f>ROUNDUP(D156,0)</f>
        <v>4</v>
      </c>
      <c r="K156" s="43" t="s">
        <v>131</v>
      </c>
      <c r="L156" s="2" t="s">
        <v>96</v>
      </c>
      <c r="M156" s="2">
        <v>9000</v>
      </c>
      <c r="N156" s="2">
        <f t="shared" si="89"/>
        <v>3.75</v>
      </c>
      <c r="O156" s="6">
        <f t="shared" ref="O156:O190" si="91">ROUNDUP(N156,0)</f>
        <v>4</v>
      </c>
    </row>
    <row r="157" spans="1:15" x14ac:dyDescent="0.3">
      <c r="A157" s="38"/>
      <c r="B157" s="2" t="s">
        <v>96</v>
      </c>
      <c r="C157" s="2">
        <v>9800</v>
      </c>
      <c r="D157" s="2">
        <f t="shared" si="90"/>
        <v>4.083333333333333</v>
      </c>
      <c r="E157" s="6">
        <f t="shared" ref="E157:E190" si="92">ROUNDUP(D157,0)</f>
        <v>5</v>
      </c>
      <c r="K157" s="43"/>
      <c r="L157" s="2" t="s">
        <v>97</v>
      </c>
      <c r="M157" s="2">
        <v>9800</v>
      </c>
      <c r="N157" s="2">
        <f t="shared" si="89"/>
        <v>4.083333333333333</v>
      </c>
      <c r="O157" s="6">
        <f t="shared" si="91"/>
        <v>5</v>
      </c>
    </row>
    <row r="158" spans="1:15" x14ac:dyDescent="0.3">
      <c r="A158" s="38"/>
      <c r="B158" s="2" t="s">
        <v>97</v>
      </c>
      <c r="C158" s="2">
        <v>6500</v>
      </c>
      <c r="D158" s="2">
        <f t="shared" si="90"/>
        <v>2.7083333333333335</v>
      </c>
      <c r="E158" s="6">
        <f t="shared" si="92"/>
        <v>3</v>
      </c>
      <c r="K158" s="43"/>
      <c r="L158" s="2" t="s">
        <v>98</v>
      </c>
      <c r="M158" s="2">
        <v>6500</v>
      </c>
      <c r="N158" s="2">
        <f t="shared" si="89"/>
        <v>2.7083333333333335</v>
      </c>
      <c r="O158" s="6">
        <f t="shared" si="91"/>
        <v>3</v>
      </c>
    </row>
    <row r="159" spans="1:15" x14ac:dyDescent="0.3">
      <c r="A159" s="38"/>
      <c r="B159" s="2" t="s">
        <v>98</v>
      </c>
      <c r="C159" s="2">
        <v>3800</v>
      </c>
      <c r="D159" s="2">
        <f t="shared" si="90"/>
        <v>1.5833333333333333</v>
      </c>
      <c r="E159" s="6">
        <f t="shared" si="92"/>
        <v>2</v>
      </c>
      <c r="K159" s="43"/>
      <c r="L159" s="2" t="s">
        <v>99</v>
      </c>
      <c r="M159" s="2">
        <v>3800</v>
      </c>
      <c r="N159" s="2">
        <f t="shared" si="89"/>
        <v>1.5833333333333333</v>
      </c>
      <c r="O159" s="6">
        <f t="shared" si="91"/>
        <v>2</v>
      </c>
    </row>
    <row r="160" spans="1:15" x14ac:dyDescent="0.3">
      <c r="A160" s="38"/>
      <c r="B160" s="2" t="s">
        <v>99</v>
      </c>
      <c r="C160" s="2">
        <v>1400</v>
      </c>
      <c r="D160" s="2">
        <f t="shared" si="90"/>
        <v>0.58333333333333337</v>
      </c>
      <c r="E160" s="6">
        <f t="shared" si="92"/>
        <v>1</v>
      </c>
      <c r="K160" s="43"/>
      <c r="L160" s="2" t="s">
        <v>100</v>
      </c>
      <c r="M160" s="2">
        <v>1400</v>
      </c>
      <c r="N160" s="2">
        <f t="shared" si="89"/>
        <v>0.58333333333333337</v>
      </c>
      <c r="O160" s="6">
        <f t="shared" si="91"/>
        <v>1</v>
      </c>
    </row>
    <row r="161" spans="1:15" x14ac:dyDescent="0.3">
      <c r="A161" s="39"/>
      <c r="B161" s="2" t="s">
        <v>100</v>
      </c>
      <c r="C161" s="2">
        <v>6100</v>
      </c>
      <c r="D161" s="2">
        <f t="shared" si="90"/>
        <v>2.5416666666666665</v>
      </c>
      <c r="E161" s="6">
        <f t="shared" si="92"/>
        <v>3</v>
      </c>
      <c r="K161" s="43"/>
      <c r="L161" s="2" t="s">
        <v>101</v>
      </c>
      <c r="M161" s="2">
        <v>6100</v>
      </c>
      <c r="N161" s="2">
        <f t="shared" si="89"/>
        <v>2.5416666666666665</v>
      </c>
      <c r="O161" s="6">
        <f t="shared" si="91"/>
        <v>3</v>
      </c>
    </row>
    <row r="162" spans="1:15" x14ac:dyDescent="0.3">
      <c r="A162" s="37" t="s">
        <v>144</v>
      </c>
      <c r="B162" s="2" t="s">
        <v>101</v>
      </c>
      <c r="C162" s="2">
        <v>8100</v>
      </c>
      <c r="D162" s="2">
        <f t="shared" si="90"/>
        <v>3.375</v>
      </c>
      <c r="E162" s="6">
        <f t="shared" si="92"/>
        <v>4</v>
      </c>
      <c r="K162" s="43" t="s">
        <v>144</v>
      </c>
      <c r="L162" s="2" t="s">
        <v>102</v>
      </c>
      <c r="M162" s="2">
        <v>8100</v>
      </c>
      <c r="N162" s="2">
        <f t="shared" si="89"/>
        <v>3.375</v>
      </c>
      <c r="O162" s="6">
        <f t="shared" si="91"/>
        <v>4</v>
      </c>
    </row>
    <row r="163" spans="1:15" x14ac:dyDescent="0.3">
      <c r="A163" s="38"/>
      <c r="B163" s="2" t="s">
        <v>102</v>
      </c>
      <c r="C163" s="2">
        <v>6100</v>
      </c>
      <c r="D163" s="2">
        <f t="shared" si="90"/>
        <v>2.5416666666666665</v>
      </c>
      <c r="E163" s="6">
        <f t="shared" si="92"/>
        <v>3</v>
      </c>
      <c r="K163" s="43"/>
      <c r="L163" s="2" t="s">
        <v>103</v>
      </c>
      <c r="M163" s="2">
        <v>6100</v>
      </c>
      <c r="N163" s="2">
        <f t="shared" si="89"/>
        <v>2.5416666666666665</v>
      </c>
      <c r="O163" s="6">
        <f t="shared" si="91"/>
        <v>3</v>
      </c>
    </row>
    <row r="164" spans="1:15" x14ac:dyDescent="0.3">
      <c r="A164" s="38"/>
      <c r="B164" s="2" t="s">
        <v>103</v>
      </c>
      <c r="C164" s="2">
        <v>7500</v>
      </c>
      <c r="D164" s="2">
        <f t="shared" si="90"/>
        <v>3.125</v>
      </c>
      <c r="E164" s="6">
        <f t="shared" si="92"/>
        <v>4</v>
      </c>
      <c r="K164" s="43"/>
      <c r="L164" s="2" t="s">
        <v>104</v>
      </c>
      <c r="M164" s="2">
        <v>7400</v>
      </c>
      <c r="N164" s="2">
        <f t="shared" si="89"/>
        <v>3.0833333333333335</v>
      </c>
      <c r="O164" s="6">
        <f t="shared" si="91"/>
        <v>4</v>
      </c>
    </row>
    <row r="165" spans="1:15" x14ac:dyDescent="0.3">
      <c r="A165" s="39"/>
      <c r="B165" s="2" t="s">
        <v>104</v>
      </c>
      <c r="C165" s="2">
        <v>6000</v>
      </c>
      <c r="D165" s="2">
        <f t="shared" si="90"/>
        <v>2.5</v>
      </c>
      <c r="E165" s="6">
        <f t="shared" si="92"/>
        <v>3</v>
      </c>
      <c r="K165" s="43"/>
      <c r="L165" s="2" t="s">
        <v>122</v>
      </c>
      <c r="M165" s="2">
        <v>1400</v>
      </c>
      <c r="N165" s="2">
        <f t="shared" si="89"/>
        <v>0.58333333333333337</v>
      </c>
      <c r="O165" s="6">
        <f t="shared" si="91"/>
        <v>1</v>
      </c>
    </row>
    <row r="166" spans="1:15" x14ac:dyDescent="0.3">
      <c r="A166" s="37" t="s">
        <v>108</v>
      </c>
      <c r="B166" s="2" t="s">
        <v>122</v>
      </c>
      <c r="C166" s="2">
        <v>8700</v>
      </c>
      <c r="D166" s="2">
        <f t="shared" si="90"/>
        <v>3.625</v>
      </c>
      <c r="E166" s="6">
        <f t="shared" si="92"/>
        <v>4</v>
      </c>
      <c r="K166" s="43"/>
      <c r="L166" s="2" t="s">
        <v>123</v>
      </c>
      <c r="M166" s="2">
        <v>2600</v>
      </c>
      <c r="N166" s="2">
        <f t="shared" si="89"/>
        <v>1.0833333333333333</v>
      </c>
      <c r="O166" s="6">
        <f t="shared" si="91"/>
        <v>2</v>
      </c>
    </row>
    <row r="167" spans="1:15" x14ac:dyDescent="0.3">
      <c r="A167" s="38"/>
      <c r="B167" s="2" t="s">
        <v>123</v>
      </c>
      <c r="C167" s="2">
        <v>6000</v>
      </c>
      <c r="D167" s="2">
        <f t="shared" si="90"/>
        <v>2.5</v>
      </c>
      <c r="E167" s="6">
        <f t="shared" si="92"/>
        <v>3</v>
      </c>
      <c r="K167" s="43"/>
      <c r="L167" s="2" t="s">
        <v>124</v>
      </c>
      <c r="M167" s="2">
        <v>1800</v>
      </c>
      <c r="N167" s="2">
        <f t="shared" si="89"/>
        <v>0.75</v>
      </c>
      <c r="O167" s="6">
        <f t="shared" si="91"/>
        <v>1</v>
      </c>
    </row>
    <row r="168" spans="1:15" x14ac:dyDescent="0.3">
      <c r="A168" s="38"/>
      <c r="B168" s="2" t="s">
        <v>124</v>
      </c>
      <c r="C168" s="2">
        <v>8700</v>
      </c>
      <c r="D168" s="2">
        <f t="shared" si="90"/>
        <v>3.625</v>
      </c>
      <c r="E168" s="6">
        <f t="shared" si="92"/>
        <v>4</v>
      </c>
      <c r="K168" s="37" t="s">
        <v>108</v>
      </c>
      <c r="L168" s="2" t="s">
        <v>125</v>
      </c>
      <c r="M168" s="2">
        <v>8700</v>
      </c>
      <c r="N168" s="2">
        <f t="shared" si="89"/>
        <v>3.625</v>
      </c>
      <c r="O168" s="6">
        <f t="shared" si="91"/>
        <v>4</v>
      </c>
    </row>
    <row r="169" spans="1:15" x14ac:dyDescent="0.3">
      <c r="A169" s="39"/>
      <c r="B169" s="2" t="s">
        <v>125</v>
      </c>
      <c r="C169" s="2">
        <v>6000</v>
      </c>
      <c r="D169" s="2">
        <f t="shared" si="90"/>
        <v>2.5</v>
      </c>
      <c r="E169" s="6">
        <f t="shared" si="92"/>
        <v>3</v>
      </c>
      <c r="K169" s="38"/>
      <c r="L169" s="2" t="s">
        <v>126</v>
      </c>
      <c r="M169" s="2">
        <v>6000</v>
      </c>
      <c r="N169" s="2">
        <f t="shared" si="89"/>
        <v>2.5</v>
      </c>
      <c r="O169" s="6">
        <f t="shared" si="91"/>
        <v>3</v>
      </c>
    </row>
    <row r="170" spans="1:15" x14ac:dyDescent="0.3">
      <c r="A170" s="45" t="s">
        <v>109</v>
      </c>
      <c r="B170" s="2" t="s">
        <v>126</v>
      </c>
      <c r="C170" s="2">
        <v>2500</v>
      </c>
      <c r="D170" s="2">
        <f t="shared" si="90"/>
        <v>1.0416666666666667</v>
      </c>
      <c r="E170" s="6">
        <f t="shared" si="92"/>
        <v>2</v>
      </c>
      <c r="K170" s="38"/>
      <c r="L170" s="2" t="s">
        <v>127</v>
      </c>
      <c r="M170" s="2">
        <v>8700</v>
      </c>
      <c r="N170" s="2">
        <f t="shared" si="89"/>
        <v>3.625</v>
      </c>
      <c r="O170" s="6">
        <f t="shared" si="91"/>
        <v>4</v>
      </c>
    </row>
    <row r="171" spans="1:15" x14ac:dyDescent="0.3">
      <c r="A171" s="46"/>
      <c r="B171" s="2" t="s">
        <v>127</v>
      </c>
      <c r="C171" s="2">
        <v>1600</v>
      </c>
      <c r="D171" s="2">
        <f t="shared" si="90"/>
        <v>0.66666666666666663</v>
      </c>
      <c r="E171" s="6">
        <f t="shared" si="92"/>
        <v>1</v>
      </c>
      <c r="K171" s="39"/>
      <c r="L171" s="2" t="s">
        <v>128</v>
      </c>
      <c r="M171" s="2">
        <v>6000</v>
      </c>
      <c r="N171" s="2">
        <f t="shared" si="89"/>
        <v>2.5</v>
      </c>
      <c r="O171" s="6">
        <f t="shared" si="91"/>
        <v>3</v>
      </c>
    </row>
    <row r="172" spans="1:15" x14ac:dyDescent="0.3">
      <c r="A172" s="46"/>
      <c r="B172" s="2" t="s">
        <v>128</v>
      </c>
      <c r="C172" s="2">
        <v>2400</v>
      </c>
      <c r="D172" s="2">
        <f t="shared" si="90"/>
        <v>1</v>
      </c>
      <c r="E172" s="6">
        <f t="shared" si="92"/>
        <v>1</v>
      </c>
      <c r="K172" s="48" t="s">
        <v>109</v>
      </c>
      <c r="L172" s="2" t="s">
        <v>129</v>
      </c>
      <c r="M172" s="2">
        <v>2500</v>
      </c>
      <c r="N172" s="2">
        <f t="shared" si="89"/>
        <v>1.0416666666666667</v>
      </c>
      <c r="O172" s="6">
        <f t="shared" si="91"/>
        <v>2</v>
      </c>
    </row>
    <row r="173" spans="1:15" x14ac:dyDescent="0.3">
      <c r="A173" s="46"/>
      <c r="B173" s="2" t="s">
        <v>129</v>
      </c>
      <c r="C173" s="2">
        <v>4500</v>
      </c>
      <c r="D173" s="2">
        <f t="shared" si="90"/>
        <v>1.875</v>
      </c>
      <c r="E173" s="6">
        <f t="shared" si="92"/>
        <v>2</v>
      </c>
      <c r="K173" s="48"/>
      <c r="L173" s="2" t="s">
        <v>130</v>
      </c>
      <c r="M173" s="2">
        <v>1600</v>
      </c>
      <c r="N173" s="2">
        <f t="shared" si="89"/>
        <v>0.66666666666666663</v>
      </c>
      <c r="O173" s="6">
        <f t="shared" si="91"/>
        <v>1</v>
      </c>
    </row>
    <row r="174" spans="1:15" x14ac:dyDescent="0.3">
      <c r="A174" s="46"/>
      <c r="B174" s="2" t="s">
        <v>130</v>
      </c>
      <c r="C174" s="2">
        <v>5400</v>
      </c>
      <c r="D174" s="2">
        <f t="shared" si="90"/>
        <v>2.25</v>
      </c>
      <c r="E174" s="6">
        <f t="shared" si="92"/>
        <v>3</v>
      </c>
      <c r="K174" s="48"/>
      <c r="L174" s="2" t="s">
        <v>134</v>
      </c>
      <c r="M174" s="2">
        <v>2900</v>
      </c>
      <c r="N174" s="2">
        <f t="shared" si="89"/>
        <v>1.2083333333333333</v>
      </c>
      <c r="O174" s="6">
        <f t="shared" si="91"/>
        <v>2</v>
      </c>
    </row>
    <row r="175" spans="1:15" x14ac:dyDescent="0.3">
      <c r="A175" s="47"/>
      <c r="B175" s="2" t="s">
        <v>134</v>
      </c>
      <c r="C175" s="2">
        <v>6000</v>
      </c>
      <c r="D175" s="2">
        <f t="shared" si="90"/>
        <v>2.5</v>
      </c>
      <c r="E175" s="6">
        <f t="shared" si="92"/>
        <v>3</v>
      </c>
      <c r="K175" s="48"/>
      <c r="L175" s="2" t="s">
        <v>135</v>
      </c>
      <c r="M175" s="2">
        <v>4500</v>
      </c>
      <c r="N175" s="2">
        <f t="shared" si="89"/>
        <v>1.875</v>
      </c>
      <c r="O175" s="6">
        <f t="shared" si="91"/>
        <v>2</v>
      </c>
    </row>
    <row r="176" spans="1:15" x14ac:dyDescent="0.3">
      <c r="A176" s="37" t="s">
        <v>142</v>
      </c>
      <c r="B176" s="2" t="s">
        <v>135</v>
      </c>
      <c r="C176" s="2">
        <v>2800</v>
      </c>
      <c r="D176" s="2">
        <f t="shared" si="90"/>
        <v>1.1666666666666667</v>
      </c>
      <c r="E176" s="6">
        <f t="shared" si="92"/>
        <v>2</v>
      </c>
      <c r="K176" s="48"/>
      <c r="L176" s="2" t="s">
        <v>136</v>
      </c>
      <c r="M176" s="2">
        <v>5400</v>
      </c>
      <c r="N176" s="2">
        <f t="shared" si="89"/>
        <v>2.25</v>
      </c>
      <c r="O176" s="6">
        <f t="shared" si="91"/>
        <v>3</v>
      </c>
    </row>
    <row r="177" spans="1:18" x14ac:dyDescent="0.3">
      <c r="A177" s="38"/>
      <c r="B177" s="2" t="s">
        <v>136</v>
      </c>
      <c r="C177" s="2">
        <v>6700</v>
      </c>
      <c r="D177" s="2">
        <f t="shared" si="90"/>
        <v>2.7916666666666665</v>
      </c>
      <c r="E177" s="6">
        <f t="shared" si="92"/>
        <v>3</v>
      </c>
      <c r="K177" s="48"/>
      <c r="L177" s="2" t="s">
        <v>137</v>
      </c>
      <c r="M177" s="2">
        <v>6000</v>
      </c>
      <c r="N177" s="2">
        <f t="shared" si="89"/>
        <v>2.5</v>
      </c>
      <c r="O177" s="6">
        <f t="shared" si="91"/>
        <v>3</v>
      </c>
    </row>
    <row r="178" spans="1:18" x14ac:dyDescent="0.3">
      <c r="A178" s="38"/>
      <c r="B178" s="2" t="s">
        <v>137</v>
      </c>
      <c r="C178" s="2">
        <v>2800</v>
      </c>
      <c r="D178" s="2">
        <f t="shared" si="90"/>
        <v>1.1666666666666667</v>
      </c>
      <c r="E178" s="6">
        <f t="shared" si="92"/>
        <v>2</v>
      </c>
      <c r="K178" s="43" t="s">
        <v>142</v>
      </c>
      <c r="L178" s="2" t="s">
        <v>138</v>
      </c>
      <c r="M178" s="2">
        <v>2800</v>
      </c>
      <c r="N178" s="2">
        <f t="shared" si="89"/>
        <v>1.1666666666666667</v>
      </c>
      <c r="O178" s="6">
        <f t="shared" si="91"/>
        <v>2</v>
      </c>
    </row>
    <row r="179" spans="1:18" x14ac:dyDescent="0.3">
      <c r="A179" s="39"/>
      <c r="B179" s="2" t="s">
        <v>138</v>
      </c>
      <c r="C179" s="2">
        <v>6700</v>
      </c>
      <c r="D179" s="2">
        <f t="shared" si="90"/>
        <v>2.7916666666666665</v>
      </c>
      <c r="E179" s="6">
        <f t="shared" si="92"/>
        <v>3</v>
      </c>
      <c r="K179" s="43"/>
      <c r="L179" s="2" t="s">
        <v>139</v>
      </c>
      <c r="M179" s="2">
        <v>6700</v>
      </c>
      <c r="N179" s="2">
        <f t="shared" si="89"/>
        <v>2.7916666666666665</v>
      </c>
      <c r="O179" s="6">
        <f t="shared" si="91"/>
        <v>3</v>
      </c>
      <c r="Q179" s="1">
        <v>6000</v>
      </c>
      <c r="R179" s="1">
        <f>Q179/2400</f>
        <v>2.5</v>
      </c>
    </row>
    <row r="180" spans="1:18" x14ac:dyDescent="0.3">
      <c r="A180" s="37" t="s">
        <v>143</v>
      </c>
      <c r="B180" s="2" t="s">
        <v>139</v>
      </c>
      <c r="C180" s="2">
        <v>2000</v>
      </c>
      <c r="D180" s="2">
        <f t="shared" si="90"/>
        <v>0.83333333333333337</v>
      </c>
      <c r="E180" s="6">
        <f t="shared" si="92"/>
        <v>1</v>
      </c>
      <c r="K180" s="43"/>
      <c r="L180" s="2" t="s">
        <v>140</v>
      </c>
      <c r="M180" s="2">
        <v>2800</v>
      </c>
      <c r="N180" s="2">
        <f t="shared" si="89"/>
        <v>1.1666666666666667</v>
      </c>
      <c r="O180" s="6">
        <f t="shared" si="91"/>
        <v>2</v>
      </c>
    </row>
    <row r="181" spans="1:18" x14ac:dyDescent="0.3">
      <c r="A181" s="38"/>
      <c r="B181" s="2" t="s">
        <v>140</v>
      </c>
      <c r="C181" s="2">
        <v>1700</v>
      </c>
      <c r="D181" s="2">
        <f t="shared" si="90"/>
        <v>0.70833333333333337</v>
      </c>
      <c r="E181" s="6">
        <f t="shared" si="92"/>
        <v>1</v>
      </c>
      <c r="K181" s="43"/>
      <c r="L181" s="2" t="s">
        <v>141</v>
      </c>
      <c r="M181" s="2">
        <v>6700</v>
      </c>
      <c r="N181" s="2">
        <f t="shared" si="89"/>
        <v>2.7916666666666665</v>
      </c>
      <c r="O181" s="6">
        <f t="shared" si="91"/>
        <v>3</v>
      </c>
    </row>
    <row r="182" spans="1:18" x14ac:dyDescent="0.3">
      <c r="A182" s="38"/>
      <c r="B182" s="2" t="s">
        <v>141</v>
      </c>
      <c r="C182" s="2">
        <v>13100</v>
      </c>
      <c r="D182" s="2">
        <f t="shared" si="90"/>
        <v>5.458333333333333</v>
      </c>
      <c r="E182" s="6">
        <f t="shared" si="92"/>
        <v>6</v>
      </c>
      <c r="K182" s="25" t="s">
        <v>143</v>
      </c>
      <c r="L182" s="2" t="s">
        <v>96</v>
      </c>
      <c r="M182" s="2">
        <v>2000</v>
      </c>
      <c r="N182" s="2">
        <f t="shared" si="89"/>
        <v>0.83333333333333337</v>
      </c>
      <c r="O182" s="6">
        <f t="shared" si="91"/>
        <v>1</v>
      </c>
    </row>
    <row r="183" spans="1:18" x14ac:dyDescent="0.3">
      <c r="A183" s="38"/>
      <c r="B183" s="2" t="s">
        <v>96</v>
      </c>
      <c r="C183" s="2">
        <v>3600</v>
      </c>
      <c r="D183" s="2">
        <f t="shared" si="90"/>
        <v>1.5</v>
      </c>
      <c r="E183" s="6">
        <f t="shared" si="92"/>
        <v>2</v>
      </c>
      <c r="K183" s="25"/>
      <c r="L183" s="2" t="s">
        <v>97</v>
      </c>
      <c r="M183" s="2">
        <v>4700</v>
      </c>
      <c r="N183" s="2">
        <f t="shared" si="89"/>
        <v>1.9583333333333333</v>
      </c>
      <c r="O183" s="6">
        <f t="shared" si="91"/>
        <v>2</v>
      </c>
    </row>
    <row r="184" spans="1:18" x14ac:dyDescent="0.3">
      <c r="A184" s="38"/>
      <c r="B184" s="2" t="s">
        <v>97</v>
      </c>
      <c r="C184" s="2">
        <v>1700</v>
      </c>
      <c r="D184" s="2">
        <f t="shared" si="90"/>
        <v>0.70833333333333337</v>
      </c>
      <c r="E184" s="6">
        <f t="shared" si="92"/>
        <v>1</v>
      </c>
      <c r="K184" s="26"/>
      <c r="L184" s="2" t="s">
        <v>98</v>
      </c>
      <c r="M184" s="2">
        <v>13100</v>
      </c>
      <c r="N184" s="2">
        <f t="shared" si="89"/>
        <v>5.458333333333333</v>
      </c>
      <c r="O184" s="6">
        <f t="shared" si="91"/>
        <v>6</v>
      </c>
    </row>
    <row r="185" spans="1:18" x14ac:dyDescent="0.3">
      <c r="A185" s="39"/>
      <c r="B185" s="2" t="s">
        <v>98</v>
      </c>
      <c r="C185" s="2">
        <v>6500</v>
      </c>
      <c r="D185" s="2">
        <f t="shared" si="90"/>
        <v>2.7083333333333335</v>
      </c>
      <c r="E185" s="6">
        <f t="shared" si="92"/>
        <v>3</v>
      </c>
      <c r="K185" s="24"/>
      <c r="L185" s="2" t="s">
        <v>99</v>
      </c>
      <c r="M185" s="2">
        <v>3800</v>
      </c>
      <c r="N185" s="2">
        <f t="shared" si="89"/>
        <v>1.5833333333333333</v>
      </c>
      <c r="O185" s="6">
        <f t="shared" si="91"/>
        <v>2</v>
      </c>
    </row>
    <row r="186" spans="1:18" x14ac:dyDescent="0.3">
      <c r="A186" s="37" t="s">
        <v>145</v>
      </c>
      <c r="B186" s="2" t="s">
        <v>99</v>
      </c>
      <c r="C186" s="2">
        <v>680</v>
      </c>
      <c r="D186" s="2">
        <f t="shared" si="90"/>
        <v>0.28333333333333333</v>
      </c>
      <c r="E186" s="6">
        <f t="shared" si="92"/>
        <v>1</v>
      </c>
      <c r="K186" s="25"/>
      <c r="L186" s="2" t="s">
        <v>100</v>
      </c>
      <c r="M186" s="2">
        <v>11004</v>
      </c>
      <c r="N186" s="2">
        <f t="shared" si="89"/>
        <v>4.585</v>
      </c>
      <c r="O186" s="6">
        <f t="shared" si="91"/>
        <v>5</v>
      </c>
    </row>
    <row r="187" spans="1:18" x14ac:dyDescent="0.3">
      <c r="A187" s="38"/>
      <c r="B187" s="2" t="s">
        <v>100</v>
      </c>
      <c r="C187" s="2">
        <v>640</v>
      </c>
      <c r="D187" s="2">
        <f t="shared" si="90"/>
        <v>0.26666666666666666</v>
      </c>
      <c r="E187" s="6">
        <f t="shared" si="92"/>
        <v>1</v>
      </c>
      <c r="K187" s="25"/>
      <c r="L187" s="2" t="s">
        <v>101</v>
      </c>
      <c r="M187" s="2">
        <v>6200</v>
      </c>
      <c r="N187" s="2">
        <f t="shared" si="89"/>
        <v>2.5833333333333335</v>
      </c>
      <c r="O187" s="6">
        <f t="shared" si="91"/>
        <v>3</v>
      </c>
    </row>
    <row r="188" spans="1:18" x14ac:dyDescent="0.3">
      <c r="A188" s="38"/>
      <c r="B188" s="2" t="s">
        <v>101</v>
      </c>
      <c r="C188" s="2">
        <v>680</v>
      </c>
      <c r="D188" s="2">
        <f t="shared" si="90"/>
        <v>0.28333333333333333</v>
      </c>
      <c r="E188" s="6">
        <f t="shared" si="92"/>
        <v>1</v>
      </c>
      <c r="K188" s="25"/>
      <c r="L188" s="2"/>
      <c r="M188" s="2">
        <v>680</v>
      </c>
      <c r="N188" s="2">
        <f t="shared" si="89"/>
        <v>0.28333333333333333</v>
      </c>
      <c r="O188" s="6">
        <f t="shared" si="91"/>
        <v>1</v>
      </c>
    </row>
    <row r="189" spans="1:18" x14ac:dyDescent="0.3">
      <c r="A189" s="38"/>
      <c r="B189" s="2"/>
      <c r="C189" s="2">
        <v>640</v>
      </c>
      <c r="D189" s="2">
        <f t="shared" si="90"/>
        <v>0.26666666666666666</v>
      </c>
      <c r="E189" s="6">
        <f t="shared" si="92"/>
        <v>1</v>
      </c>
      <c r="K189" s="26"/>
      <c r="L189" s="2"/>
      <c r="M189" s="2">
        <v>640</v>
      </c>
      <c r="N189" s="2">
        <f t="shared" si="89"/>
        <v>0.26666666666666666</v>
      </c>
      <c r="O189" s="6">
        <f t="shared" si="91"/>
        <v>1</v>
      </c>
    </row>
    <row r="190" spans="1:18" x14ac:dyDescent="0.3">
      <c r="A190" s="39"/>
      <c r="B190" s="2"/>
      <c r="C190" s="2">
        <v>640</v>
      </c>
      <c r="D190" s="2">
        <f t="shared" si="90"/>
        <v>0.26666666666666666</v>
      </c>
      <c r="E190" s="6">
        <f t="shared" si="92"/>
        <v>1</v>
      </c>
      <c r="M190" s="1">
        <v>640</v>
      </c>
      <c r="N190" s="1">
        <f t="shared" si="89"/>
        <v>0.26666666666666666</v>
      </c>
      <c r="O190" s="1">
        <f t="shared" si="91"/>
        <v>1</v>
      </c>
    </row>
    <row r="191" spans="1:18" x14ac:dyDescent="0.3">
      <c r="A191" s="2" t="s">
        <v>23</v>
      </c>
      <c r="B191" s="2"/>
      <c r="C191" s="2"/>
      <c r="D191" s="2"/>
      <c r="E191" s="18">
        <f>SUM(E153:E190)</f>
        <v>97</v>
      </c>
      <c r="K191" s="2" t="s">
        <v>23</v>
      </c>
      <c r="L191" s="2"/>
      <c r="M191" s="2"/>
      <c r="N191" s="2"/>
      <c r="O191" s="18">
        <f>SUM(O152:O190)</f>
        <v>106</v>
      </c>
    </row>
    <row r="196" spans="1:8" ht="20.25" x14ac:dyDescent="0.3">
      <c r="A196" s="41" t="s">
        <v>36</v>
      </c>
      <c r="B196" s="41"/>
      <c r="C196" s="41"/>
      <c r="D196" s="41"/>
      <c r="E196" s="41"/>
      <c r="F196" s="41"/>
      <c r="H196" s="1" t="s">
        <v>37</v>
      </c>
    </row>
    <row r="197" spans="1:8" x14ac:dyDescent="0.3">
      <c r="A197" s="2" t="s">
        <v>14</v>
      </c>
      <c r="B197" s="2" t="s">
        <v>15</v>
      </c>
      <c r="C197" s="14" t="s">
        <v>112</v>
      </c>
      <c r="D197" s="14" t="s">
        <v>67</v>
      </c>
      <c r="E197" s="2" t="s">
        <v>113</v>
      </c>
      <c r="F197" s="2" t="s">
        <v>38</v>
      </c>
      <c r="G197" s="6" t="s">
        <v>50</v>
      </c>
      <c r="H197" s="10"/>
    </row>
    <row r="198" spans="1:8" x14ac:dyDescent="0.3">
      <c r="A198" s="37" t="s">
        <v>106</v>
      </c>
      <c r="B198" s="2" t="s">
        <v>16</v>
      </c>
      <c r="C198" s="14">
        <v>9</v>
      </c>
      <c r="D198" s="14">
        <v>2.9</v>
      </c>
      <c r="E198" s="2">
        <f>C198*D198</f>
        <v>26.099999999999998</v>
      </c>
      <c r="F198" s="2">
        <f t="shared" ref="F198:F201" si="93">E198*0.3025</f>
        <v>7.895249999999999</v>
      </c>
      <c r="G198" s="6"/>
      <c r="H198" s="10"/>
    </row>
    <row r="199" spans="1:8" x14ac:dyDescent="0.3">
      <c r="A199" s="38"/>
      <c r="B199" s="2" t="s">
        <v>17</v>
      </c>
      <c r="C199" s="14">
        <v>9.8000000000000007</v>
      </c>
      <c r="D199" s="14">
        <v>2.9</v>
      </c>
      <c r="E199" s="2">
        <f t="shared" ref="E199:E201" si="94">C199*D199</f>
        <v>28.42</v>
      </c>
      <c r="F199" s="2">
        <f t="shared" si="93"/>
        <v>8.5970499999999994</v>
      </c>
      <c r="G199" s="6"/>
      <c r="H199" s="10"/>
    </row>
    <row r="200" spans="1:8" x14ac:dyDescent="0.3">
      <c r="A200" s="38"/>
      <c r="B200" s="2" t="s">
        <v>18</v>
      </c>
      <c r="C200" s="14">
        <v>6.5</v>
      </c>
      <c r="D200" s="14">
        <v>2.9</v>
      </c>
      <c r="E200" s="2">
        <f t="shared" si="94"/>
        <v>18.849999999999998</v>
      </c>
      <c r="F200" s="2">
        <f t="shared" si="93"/>
        <v>5.7021249999999988</v>
      </c>
      <c r="G200" s="6"/>
      <c r="H200" s="10"/>
    </row>
    <row r="201" spans="1:8" x14ac:dyDescent="0.3">
      <c r="A201" s="38"/>
      <c r="B201" s="2" t="s">
        <v>19</v>
      </c>
      <c r="C201" s="14">
        <v>3.8</v>
      </c>
      <c r="D201" s="14">
        <v>2.9</v>
      </c>
      <c r="E201" s="2">
        <f t="shared" si="94"/>
        <v>11.02</v>
      </c>
      <c r="F201" s="2">
        <f t="shared" si="93"/>
        <v>3.3335499999999998</v>
      </c>
      <c r="G201" s="6"/>
      <c r="H201" s="10"/>
    </row>
    <row r="202" spans="1:8" x14ac:dyDescent="0.3">
      <c r="A202" s="38"/>
      <c r="B202" s="2" t="s">
        <v>96</v>
      </c>
      <c r="C202" s="14">
        <v>1.4</v>
      </c>
      <c r="D202" s="14">
        <v>2.9</v>
      </c>
      <c r="E202" s="2">
        <f t="shared" ref="E202:E216" si="95">C202*D202</f>
        <v>4.0599999999999996</v>
      </c>
      <c r="F202" s="2">
        <f t="shared" ref="F202:F216" si="96">E202*0.3025</f>
        <v>1.2281499999999999</v>
      </c>
      <c r="G202" s="6"/>
      <c r="H202" s="10"/>
    </row>
    <row r="203" spans="1:8" x14ac:dyDescent="0.3">
      <c r="A203" s="39"/>
      <c r="B203" s="2" t="s">
        <v>97</v>
      </c>
      <c r="C203" s="14">
        <v>6.1</v>
      </c>
      <c r="D203" s="14">
        <v>2.9</v>
      </c>
      <c r="E203" s="2">
        <f t="shared" si="95"/>
        <v>17.689999999999998</v>
      </c>
      <c r="F203" s="2">
        <f t="shared" si="96"/>
        <v>5.3512249999999995</v>
      </c>
      <c r="G203" s="6"/>
      <c r="H203" s="10"/>
    </row>
    <row r="204" spans="1:8" x14ac:dyDescent="0.3">
      <c r="A204" s="37" t="s">
        <v>108</v>
      </c>
      <c r="B204" s="2" t="s">
        <v>98</v>
      </c>
      <c r="C204" s="14">
        <v>8.6999999999999993</v>
      </c>
      <c r="D204" s="14">
        <v>2.9</v>
      </c>
      <c r="E204" s="2">
        <f t="shared" si="95"/>
        <v>25.229999999999997</v>
      </c>
      <c r="F204" s="2">
        <f t="shared" si="96"/>
        <v>7.6320749999999986</v>
      </c>
      <c r="G204" s="6"/>
      <c r="H204" s="10"/>
    </row>
    <row r="205" spans="1:8" x14ac:dyDescent="0.3">
      <c r="A205" s="38"/>
      <c r="B205" s="2" t="s">
        <v>99</v>
      </c>
      <c r="C205" s="14">
        <v>6</v>
      </c>
      <c r="D205" s="14">
        <v>2.9</v>
      </c>
      <c r="E205" s="2">
        <f t="shared" si="95"/>
        <v>17.399999999999999</v>
      </c>
      <c r="F205" s="2">
        <f t="shared" si="96"/>
        <v>5.2634999999999996</v>
      </c>
      <c r="G205" s="6"/>
      <c r="H205" s="10"/>
    </row>
    <row r="206" spans="1:8" x14ac:dyDescent="0.3">
      <c r="A206" s="38"/>
      <c r="B206" s="2" t="s">
        <v>100</v>
      </c>
      <c r="C206" s="14">
        <v>8.6999999999999993</v>
      </c>
      <c r="D206" s="14">
        <v>2.9</v>
      </c>
      <c r="E206" s="2">
        <f t="shared" si="95"/>
        <v>25.229999999999997</v>
      </c>
      <c r="F206" s="2">
        <f t="shared" si="96"/>
        <v>7.6320749999999986</v>
      </c>
      <c r="G206" s="6"/>
      <c r="H206" s="10"/>
    </row>
    <row r="207" spans="1:8" x14ac:dyDescent="0.3">
      <c r="A207" s="39"/>
      <c r="B207" s="2" t="s">
        <v>101</v>
      </c>
      <c r="C207" s="14">
        <v>6</v>
      </c>
      <c r="D207" s="14">
        <v>2.9</v>
      </c>
      <c r="E207" s="2">
        <f t="shared" si="95"/>
        <v>17.399999999999999</v>
      </c>
      <c r="F207" s="2">
        <f t="shared" si="96"/>
        <v>5.2634999999999996</v>
      </c>
      <c r="G207" s="6"/>
      <c r="H207" s="10"/>
    </row>
    <row r="208" spans="1:8" x14ac:dyDescent="0.3">
      <c r="A208" s="37" t="s">
        <v>109</v>
      </c>
      <c r="B208" s="2" t="s">
        <v>102</v>
      </c>
      <c r="C208" s="14">
        <v>2.5</v>
      </c>
      <c r="D208" s="14">
        <v>2.9</v>
      </c>
      <c r="E208" s="2">
        <f t="shared" si="95"/>
        <v>7.25</v>
      </c>
      <c r="F208" s="2">
        <f t="shared" si="96"/>
        <v>2.1931249999999998</v>
      </c>
      <c r="G208" s="6"/>
      <c r="H208" s="10"/>
    </row>
    <row r="209" spans="1:8" x14ac:dyDescent="0.3">
      <c r="A209" s="38"/>
      <c r="B209" s="2" t="s">
        <v>103</v>
      </c>
      <c r="C209" s="14">
        <v>6</v>
      </c>
      <c r="D209" s="14">
        <v>2.9</v>
      </c>
      <c r="E209" s="2">
        <f t="shared" si="95"/>
        <v>17.399999999999999</v>
      </c>
      <c r="F209" s="2">
        <f t="shared" si="96"/>
        <v>5.2634999999999996</v>
      </c>
      <c r="G209" s="6"/>
      <c r="H209" s="10"/>
    </row>
    <row r="210" spans="1:8" x14ac:dyDescent="0.3">
      <c r="A210" s="38"/>
      <c r="B210" s="2" t="s">
        <v>104</v>
      </c>
      <c r="C210" s="14">
        <v>5.4</v>
      </c>
      <c r="D210" s="14">
        <v>2.9</v>
      </c>
      <c r="E210" s="2">
        <f t="shared" si="95"/>
        <v>15.66</v>
      </c>
      <c r="F210" s="2">
        <f t="shared" si="96"/>
        <v>4.7371499999999997</v>
      </c>
      <c r="G210" s="6"/>
      <c r="H210" s="10"/>
    </row>
    <row r="211" spans="1:8" x14ac:dyDescent="0.3">
      <c r="A211" s="38"/>
      <c r="B211" s="2" t="s">
        <v>122</v>
      </c>
      <c r="C211" s="14">
        <v>4.5</v>
      </c>
      <c r="D211" s="14">
        <v>2.9</v>
      </c>
      <c r="E211" s="2">
        <f t="shared" si="95"/>
        <v>13.049999999999999</v>
      </c>
      <c r="F211" s="2">
        <f t="shared" si="96"/>
        <v>3.9476249999999995</v>
      </c>
      <c r="G211" s="6"/>
      <c r="H211" s="10"/>
    </row>
    <row r="212" spans="1:8" x14ac:dyDescent="0.3">
      <c r="A212" s="39"/>
      <c r="B212" s="2" t="s">
        <v>123</v>
      </c>
      <c r="C212" s="14">
        <v>3</v>
      </c>
      <c r="D212" s="14">
        <v>0.5</v>
      </c>
      <c r="E212" s="2">
        <f t="shared" si="95"/>
        <v>1.5</v>
      </c>
      <c r="F212" s="2">
        <f t="shared" si="96"/>
        <v>0.45374999999999999</v>
      </c>
      <c r="G212" s="6"/>
      <c r="H212" s="10"/>
    </row>
    <row r="213" spans="1:8" x14ac:dyDescent="0.3">
      <c r="A213" s="37" t="s">
        <v>153</v>
      </c>
      <c r="B213" s="2" t="s">
        <v>124</v>
      </c>
      <c r="C213" s="14">
        <v>2.8</v>
      </c>
      <c r="D213" s="14">
        <v>2.9</v>
      </c>
      <c r="E213" s="2">
        <f t="shared" si="95"/>
        <v>8.1199999999999992</v>
      </c>
      <c r="F213" s="2">
        <f t="shared" si="96"/>
        <v>2.4562999999999997</v>
      </c>
      <c r="G213" s="6"/>
      <c r="H213" s="10"/>
    </row>
    <row r="214" spans="1:8" x14ac:dyDescent="0.3">
      <c r="A214" s="38"/>
      <c r="B214" s="2" t="s">
        <v>125</v>
      </c>
      <c r="C214" s="14">
        <v>6.7</v>
      </c>
      <c r="D214" s="14">
        <v>2.9</v>
      </c>
      <c r="E214" s="2">
        <f t="shared" si="95"/>
        <v>19.43</v>
      </c>
      <c r="F214" s="2">
        <f t="shared" si="96"/>
        <v>5.8775749999999993</v>
      </c>
      <c r="G214" s="6"/>
      <c r="H214" s="10"/>
    </row>
    <row r="215" spans="1:8" x14ac:dyDescent="0.3">
      <c r="A215" s="38"/>
      <c r="B215" s="2" t="s">
        <v>126</v>
      </c>
      <c r="C215" s="14">
        <v>2.8</v>
      </c>
      <c r="D215" s="14">
        <v>2.9</v>
      </c>
      <c r="E215" s="2">
        <f t="shared" si="95"/>
        <v>8.1199999999999992</v>
      </c>
      <c r="F215" s="2">
        <f t="shared" si="96"/>
        <v>2.4562999999999997</v>
      </c>
      <c r="G215" s="6"/>
      <c r="H215" s="10"/>
    </row>
    <row r="216" spans="1:8" x14ac:dyDescent="0.3">
      <c r="A216" s="39"/>
      <c r="B216" s="2" t="s">
        <v>127</v>
      </c>
      <c r="C216" s="14">
        <v>6.7</v>
      </c>
      <c r="D216" s="14">
        <v>2.9</v>
      </c>
      <c r="E216" s="2">
        <f t="shared" si="95"/>
        <v>19.43</v>
      </c>
      <c r="F216" s="2">
        <f t="shared" si="96"/>
        <v>5.8775749999999993</v>
      </c>
      <c r="G216" s="6"/>
      <c r="H216" s="10"/>
    </row>
    <row r="217" spans="1:8" x14ac:dyDescent="0.3">
      <c r="A217" s="37" t="s">
        <v>143</v>
      </c>
      <c r="B217" s="2" t="s">
        <v>128</v>
      </c>
      <c r="C217" s="14">
        <v>2</v>
      </c>
      <c r="D217" s="14">
        <v>2.9</v>
      </c>
      <c r="E217" s="2">
        <f t="shared" ref="E217:E228" si="97">C217*D217</f>
        <v>5.8</v>
      </c>
      <c r="F217" s="2">
        <f t="shared" ref="F217:F228" si="98">E217*0.3025</f>
        <v>1.7544999999999999</v>
      </c>
      <c r="G217" s="6"/>
      <c r="H217" s="10"/>
    </row>
    <row r="218" spans="1:8" x14ac:dyDescent="0.3">
      <c r="A218" s="38"/>
      <c r="B218" s="2" t="s">
        <v>129</v>
      </c>
      <c r="C218" s="14">
        <v>6.2</v>
      </c>
      <c r="D218" s="14">
        <v>2.9</v>
      </c>
      <c r="E218" s="2">
        <f t="shared" si="97"/>
        <v>17.98</v>
      </c>
      <c r="F218" s="2">
        <f t="shared" si="98"/>
        <v>5.4389500000000002</v>
      </c>
      <c r="G218" s="6"/>
      <c r="H218" s="10"/>
    </row>
    <row r="219" spans="1:8" x14ac:dyDescent="0.3">
      <c r="A219" s="38"/>
      <c r="B219" s="2"/>
      <c r="C219" s="14">
        <v>11</v>
      </c>
      <c r="D219" s="14">
        <v>2.9</v>
      </c>
      <c r="E219" s="2">
        <f t="shared" si="97"/>
        <v>31.9</v>
      </c>
      <c r="F219" s="2">
        <f t="shared" si="98"/>
        <v>9.6497499999999992</v>
      </c>
      <c r="G219" s="6"/>
      <c r="H219" s="10"/>
    </row>
    <row r="220" spans="1:8" x14ac:dyDescent="0.3">
      <c r="A220" s="38"/>
      <c r="B220" s="2"/>
      <c r="C220" s="14">
        <v>3.8</v>
      </c>
      <c r="D220" s="14">
        <v>2.9</v>
      </c>
      <c r="E220" s="2">
        <f t="shared" si="97"/>
        <v>11.02</v>
      </c>
      <c r="F220" s="2">
        <f t="shared" si="98"/>
        <v>3.3335499999999998</v>
      </c>
      <c r="G220" s="6"/>
      <c r="H220" s="10"/>
    </row>
    <row r="221" spans="1:8" x14ac:dyDescent="0.3">
      <c r="A221" s="38"/>
      <c r="B221" s="2"/>
      <c r="C221" s="14">
        <v>13.1</v>
      </c>
      <c r="D221" s="14">
        <v>2.9</v>
      </c>
      <c r="E221" s="2">
        <f t="shared" si="97"/>
        <v>37.989999999999995</v>
      </c>
      <c r="F221" s="2">
        <f t="shared" si="98"/>
        <v>11.491974999999998</v>
      </c>
      <c r="G221" s="6"/>
      <c r="H221" s="10"/>
    </row>
    <row r="222" spans="1:8" x14ac:dyDescent="0.3">
      <c r="A222" s="39"/>
      <c r="B222" s="2"/>
      <c r="C222" s="14">
        <v>4.7</v>
      </c>
      <c r="D222" s="14">
        <v>2.9</v>
      </c>
      <c r="E222" s="2">
        <f t="shared" si="97"/>
        <v>13.63</v>
      </c>
      <c r="F222" s="2">
        <f t="shared" si="98"/>
        <v>4.123075</v>
      </c>
      <c r="G222" s="6"/>
      <c r="H222" s="10"/>
    </row>
    <row r="223" spans="1:8" x14ac:dyDescent="0.3">
      <c r="A223" s="37" t="s">
        <v>154</v>
      </c>
      <c r="B223" s="2"/>
      <c r="C223" s="14">
        <v>2.8</v>
      </c>
      <c r="D223" s="14">
        <v>2.9</v>
      </c>
      <c r="E223" s="2">
        <f t="shared" si="97"/>
        <v>8.1199999999999992</v>
      </c>
      <c r="F223" s="2">
        <f t="shared" si="98"/>
        <v>2.4562999999999997</v>
      </c>
      <c r="G223" s="6"/>
      <c r="H223" s="10"/>
    </row>
    <row r="224" spans="1:8" x14ac:dyDescent="0.3">
      <c r="A224" s="38"/>
      <c r="B224" s="2"/>
      <c r="C224" s="14">
        <v>1.6</v>
      </c>
      <c r="D224" s="14">
        <v>2.9</v>
      </c>
      <c r="E224" s="2">
        <f t="shared" si="97"/>
        <v>4.6399999999999997</v>
      </c>
      <c r="F224" s="2">
        <f t="shared" si="98"/>
        <v>1.4036</v>
      </c>
      <c r="G224" s="6"/>
      <c r="H224" s="10"/>
    </row>
    <row r="225" spans="1:13" x14ac:dyDescent="0.3">
      <c r="A225" s="38"/>
      <c r="B225" s="2"/>
      <c r="C225" s="14">
        <v>2.8</v>
      </c>
      <c r="D225" s="14">
        <v>2.9</v>
      </c>
      <c r="E225" s="2">
        <f t="shared" si="97"/>
        <v>8.1199999999999992</v>
      </c>
      <c r="F225" s="2">
        <f t="shared" si="98"/>
        <v>2.4562999999999997</v>
      </c>
      <c r="G225" s="6"/>
      <c r="H225" s="10"/>
    </row>
    <row r="226" spans="1:13" x14ac:dyDescent="0.3">
      <c r="A226" s="39"/>
      <c r="B226" s="2"/>
      <c r="C226" s="14">
        <v>1.6</v>
      </c>
      <c r="D226" s="14">
        <v>2.9</v>
      </c>
      <c r="E226" s="2">
        <f t="shared" si="97"/>
        <v>4.6399999999999997</v>
      </c>
      <c r="F226" s="2">
        <f t="shared" si="98"/>
        <v>1.4036</v>
      </c>
      <c r="G226" s="6"/>
      <c r="H226" s="10"/>
    </row>
    <row r="227" spans="1:13" x14ac:dyDescent="0.3">
      <c r="A227" s="23" t="s">
        <v>110</v>
      </c>
      <c r="B227" s="2"/>
      <c r="C227" s="14">
        <v>9.5</v>
      </c>
      <c r="D227" s="14">
        <v>6.1</v>
      </c>
      <c r="E227" s="2">
        <f t="shared" si="97"/>
        <v>57.949999999999996</v>
      </c>
      <c r="F227" s="2">
        <f t="shared" si="98"/>
        <v>17.529874999999997</v>
      </c>
      <c r="G227" s="6"/>
      <c r="H227" s="10"/>
    </row>
    <row r="228" spans="1:13" x14ac:dyDescent="0.3">
      <c r="A228" s="23" t="s">
        <v>111</v>
      </c>
      <c r="B228" s="2"/>
      <c r="C228" s="14">
        <v>8.1</v>
      </c>
      <c r="D228" s="14">
        <v>6</v>
      </c>
      <c r="E228" s="2">
        <f t="shared" si="97"/>
        <v>48.599999999999994</v>
      </c>
      <c r="F228" s="2">
        <f t="shared" si="98"/>
        <v>14.701499999999998</v>
      </c>
      <c r="G228" s="6"/>
      <c r="H228" s="10"/>
    </row>
    <row r="229" spans="1:13" x14ac:dyDescent="0.3">
      <c r="A229" s="2" t="s">
        <v>23</v>
      </c>
      <c r="B229" s="2"/>
      <c r="C229" s="14"/>
      <c r="D229" s="14"/>
      <c r="E229" s="2"/>
      <c r="F229" s="2">
        <f>SUM(F198:F228)</f>
        <v>166.90437500000002</v>
      </c>
      <c r="G229" s="18">
        <f>F229/5</f>
        <v>33.380875000000003</v>
      </c>
      <c r="H229" s="10"/>
    </row>
    <row r="232" spans="1:13" ht="20.25" x14ac:dyDescent="0.3">
      <c r="A232" s="5" t="s">
        <v>74</v>
      </c>
    </row>
    <row r="235" spans="1:13" ht="20.25" x14ac:dyDescent="0.3">
      <c r="A235" s="41" t="s">
        <v>39</v>
      </c>
      <c r="B235" s="41"/>
      <c r="C235" s="41"/>
      <c r="D235" s="41"/>
      <c r="E235" s="41"/>
      <c r="H235" s="1" t="s">
        <v>40</v>
      </c>
    </row>
    <row r="236" spans="1:13" s="11" customFormat="1" x14ac:dyDescent="0.3">
      <c r="A236" s="1" t="s">
        <v>39</v>
      </c>
      <c r="B236" s="1" t="s">
        <v>41</v>
      </c>
      <c r="C236" s="1"/>
      <c r="D236" s="1"/>
      <c r="E236" s="8"/>
      <c r="G236" s="1"/>
      <c r="H236" s="1"/>
      <c r="I236" s="1"/>
      <c r="J236" s="1"/>
      <c r="K236" s="1"/>
      <c r="L236" s="1"/>
      <c r="M236" s="1"/>
    </row>
    <row r="237" spans="1:13" s="11" customFormat="1" x14ac:dyDescent="0.3">
      <c r="A237" s="2" t="s">
        <v>14</v>
      </c>
      <c r="B237" s="2" t="s">
        <v>3</v>
      </c>
      <c r="C237" s="2" t="s">
        <v>66</v>
      </c>
      <c r="D237" s="2" t="s">
        <v>67</v>
      </c>
      <c r="E237" s="6" t="s">
        <v>68</v>
      </c>
      <c r="G237" s="1"/>
      <c r="H237" s="1"/>
      <c r="I237" s="1"/>
      <c r="J237" s="1"/>
      <c r="K237" s="1"/>
      <c r="L237" s="1"/>
      <c r="M237" s="1"/>
    </row>
    <row r="238" spans="1:13" s="11" customFormat="1" x14ac:dyDescent="0.3">
      <c r="A238" s="2"/>
      <c r="B238" s="2"/>
      <c r="C238" s="2">
        <v>4.7</v>
      </c>
      <c r="D238" s="2">
        <v>0.2</v>
      </c>
      <c r="E238" s="6">
        <f>C238*D238</f>
        <v>0.94000000000000006</v>
      </c>
      <c r="G238" s="1"/>
      <c r="H238" s="1"/>
      <c r="I238" s="1"/>
      <c r="J238" s="1"/>
      <c r="K238" s="1"/>
      <c r="L238" s="1"/>
      <c r="M238" s="1"/>
    </row>
    <row r="239" spans="1:13" s="11" customFormat="1" x14ac:dyDescent="0.3">
      <c r="A239" s="2"/>
      <c r="B239" s="2"/>
      <c r="C239" s="2">
        <v>4.8</v>
      </c>
      <c r="D239" s="2">
        <v>0.2</v>
      </c>
      <c r="E239" s="6">
        <f t="shared" ref="E239:E241" si="99">C239*D239</f>
        <v>0.96</v>
      </c>
      <c r="G239" s="1"/>
      <c r="H239" s="1"/>
      <c r="I239" s="1"/>
      <c r="J239" s="1"/>
      <c r="K239" s="1"/>
      <c r="L239" s="1"/>
      <c r="M239" s="1"/>
    </row>
    <row r="240" spans="1:13" s="11" customFormat="1" x14ac:dyDescent="0.3">
      <c r="A240" s="2"/>
      <c r="B240" s="2"/>
      <c r="C240" s="2">
        <v>14.4</v>
      </c>
      <c r="D240" s="2">
        <v>0.2</v>
      </c>
      <c r="E240" s="6">
        <f t="shared" si="99"/>
        <v>2.8800000000000003</v>
      </c>
      <c r="G240" s="1"/>
      <c r="H240" s="1"/>
      <c r="I240" s="1"/>
      <c r="J240" s="1"/>
      <c r="K240" s="1"/>
      <c r="L240" s="1"/>
      <c r="M240" s="1"/>
    </row>
    <row r="241" spans="1:13" s="11" customFormat="1" x14ac:dyDescent="0.3">
      <c r="A241" s="2"/>
      <c r="B241" s="2"/>
      <c r="C241" s="2">
        <v>20</v>
      </c>
      <c r="D241" s="2">
        <v>0.2</v>
      </c>
      <c r="E241" s="6">
        <f t="shared" si="99"/>
        <v>4</v>
      </c>
      <c r="G241" s="1"/>
      <c r="H241" s="1"/>
      <c r="I241" s="1"/>
      <c r="J241" s="1"/>
      <c r="K241" s="1"/>
      <c r="L241" s="1"/>
      <c r="M241" s="1"/>
    </row>
    <row r="242" spans="1:13" x14ac:dyDescent="0.3">
      <c r="A242" s="2"/>
      <c r="B242" s="2"/>
      <c r="C242" s="2">
        <v>4.8</v>
      </c>
      <c r="D242" s="2">
        <v>0.2</v>
      </c>
      <c r="E242" s="6">
        <f t="shared" ref="E242:E245" si="100">C242*D242</f>
        <v>0.96</v>
      </c>
    </row>
    <row r="243" spans="1:13" x14ac:dyDescent="0.3">
      <c r="A243" s="2"/>
      <c r="B243" s="2"/>
      <c r="C243" s="2"/>
      <c r="D243" s="2"/>
      <c r="E243" s="6">
        <f t="shared" si="100"/>
        <v>0</v>
      </c>
    </row>
    <row r="244" spans="1:13" x14ac:dyDescent="0.3">
      <c r="A244" s="2"/>
      <c r="B244" s="2"/>
      <c r="C244" s="2"/>
      <c r="D244" s="2"/>
      <c r="E244" s="6">
        <f t="shared" si="100"/>
        <v>0</v>
      </c>
    </row>
    <row r="245" spans="1:13" x14ac:dyDescent="0.3">
      <c r="A245" s="2"/>
      <c r="B245" s="2"/>
      <c r="C245" s="2"/>
      <c r="D245" s="2"/>
      <c r="E245" s="6">
        <f t="shared" si="100"/>
        <v>0</v>
      </c>
    </row>
    <row r="248" spans="1:13" s="11" customFormat="1" ht="16.5" customHeight="1" x14ac:dyDescent="0.3">
      <c r="A248" s="41" t="s">
        <v>53</v>
      </c>
      <c r="B248" s="41"/>
      <c r="C248" s="41"/>
      <c r="D248" s="41"/>
      <c r="E248" s="41"/>
      <c r="G248" s="1"/>
      <c r="H248" s="1"/>
      <c r="I248" s="1"/>
      <c r="J248" s="1"/>
      <c r="K248" s="1"/>
      <c r="L248" s="1"/>
      <c r="M248" s="1"/>
    </row>
    <row r="249" spans="1:13" s="11" customFormat="1" ht="33" x14ac:dyDescent="0.3">
      <c r="A249" s="1"/>
      <c r="B249" s="2" t="s">
        <v>14</v>
      </c>
      <c r="C249" s="2" t="s">
        <v>54</v>
      </c>
      <c r="D249" s="9" t="s">
        <v>55</v>
      </c>
      <c r="E249" s="6" t="s">
        <v>62</v>
      </c>
      <c r="G249" s="1"/>
      <c r="H249" s="1"/>
      <c r="I249" s="1"/>
      <c r="J249" s="1"/>
      <c r="K249" s="1"/>
      <c r="L249" s="1"/>
      <c r="M249" s="1"/>
    </row>
    <row r="250" spans="1:13" s="11" customFormat="1" x14ac:dyDescent="0.3">
      <c r="A250" s="1"/>
      <c r="B250" s="43" t="s">
        <v>60</v>
      </c>
      <c r="C250" s="2"/>
      <c r="D250" s="2">
        <f>C250/1.44</f>
        <v>0</v>
      </c>
      <c r="E250" s="40">
        <f>SUM(D250:D259)</f>
        <v>0</v>
      </c>
      <c r="G250" s="1"/>
      <c r="H250" s="1"/>
      <c r="I250" s="1"/>
      <c r="J250" s="1"/>
      <c r="K250" s="1"/>
      <c r="L250" s="1"/>
      <c r="M250" s="1"/>
    </row>
    <row r="251" spans="1:13" s="11" customFormat="1" x14ac:dyDescent="0.3">
      <c r="A251" s="1"/>
      <c r="B251" s="43"/>
      <c r="C251" s="2"/>
      <c r="D251" s="2">
        <f t="shared" ref="D251:D260" si="101">C251/1.44</f>
        <v>0</v>
      </c>
      <c r="E251" s="40"/>
      <c r="G251" s="1"/>
      <c r="H251" s="1"/>
      <c r="I251" s="1"/>
      <c r="J251" s="1"/>
      <c r="K251" s="1"/>
      <c r="L251" s="1"/>
      <c r="M251" s="1"/>
    </row>
    <row r="252" spans="1:13" x14ac:dyDescent="0.3">
      <c r="B252" s="43"/>
      <c r="C252" s="2"/>
      <c r="D252" s="2">
        <f t="shared" si="101"/>
        <v>0</v>
      </c>
      <c r="E252" s="40"/>
    </row>
    <row r="253" spans="1:13" x14ac:dyDescent="0.3">
      <c r="B253" s="43"/>
      <c r="C253" s="2"/>
      <c r="D253" s="2">
        <f t="shared" si="101"/>
        <v>0</v>
      </c>
      <c r="E253" s="40"/>
    </row>
    <row r="254" spans="1:13" x14ac:dyDescent="0.3">
      <c r="B254" s="43"/>
      <c r="C254" s="2"/>
      <c r="D254" s="2">
        <f t="shared" si="101"/>
        <v>0</v>
      </c>
      <c r="E254" s="40"/>
    </row>
    <row r="255" spans="1:13" x14ac:dyDescent="0.3">
      <c r="B255" s="43"/>
      <c r="C255" s="2"/>
      <c r="D255" s="2">
        <f t="shared" si="101"/>
        <v>0</v>
      </c>
      <c r="E255" s="40"/>
    </row>
    <row r="256" spans="1:13" x14ac:dyDescent="0.3">
      <c r="B256" s="43"/>
      <c r="C256" s="2"/>
      <c r="D256" s="2">
        <f t="shared" si="101"/>
        <v>0</v>
      </c>
      <c r="E256" s="40"/>
    </row>
    <row r="257" spans="1:17" x14ac:dyDescent="0.3">
      <c r="B257" s="43"/>
      <c r="C257" s="2"/>
      <c r="D257" s="2">
        <f t="shared" si="101"/>
        <v>0</v>
      </c>
      <c r="E257" s="40"/>
    </row>
    <row r="258" spans="1:17" x14ac:dyDescent="0.3">
      <c r="B258" s="43"/>
      <c r="C258" s="2"/>
      <c r="D258" s="2">
        <f t="shared" si="101"/>
        <v>0</v>
      </c>
      <c r="E258" s="40"/>
    </row>
    <row r="259" spans="1:17" x14ac:dyDescent="0.3">
      <c r="B259" s="43"/>
      <c r="C259" s="2"/>
      <c r="D259" s="2">
        <f t="shared" si="101"/>
        <v>0</v>
      </c>
      <c r="E259" s="40"/>
    </row>
    <row r="260" spans="1:17" x14ac:dyDescent="0.3">
      <c r="B260" s="2" t="s">
        <v>61</v>
      </c>
      <c r="C260" s="2"/>
      <c r="D260" s="2">
        <f t="shared" si="101"/>
        <v>0</v>
      </c>
      <c r="E260" s="6">
        <v>8</v>
      </c>
    </row>
    <row r="261" spans="1:17" x14ac:dyDescent="0.3">
      <c r="B261" s="2" t="s">
        <v>13</v>
      </c>
      <c r="C261" s="2"/>
      <c r="D261" s="2">
        <f>SUM(D250:D260)</f>
        <v>0</v>
      </c>
      <c r="E261" s="6"/>
    </row>
    <row r="266" spans="1:17" ht="20.25" x14ac:dyDescent="0.3">
      <c r="A266" s="41" t="s">
        <v>56</v>
      </c>
      <c r="B266" s="41"/>
      <c r="C266" s="41"/>
      <c r="D266" s="41"/>
      <c r="G266" s="1" t="s">
        <v>89</v>
      </c>
    </row>
    <row r="267" spans="1:17" ht="33" x14ac:dyDescent="0.3">
      <c r="A267" s="19"/>
      <c r="B267" s="21" t="s">
        <v>14</v>
      </c>
      <c r="C267" s="21" t="s">
        <v>54</v>
      </c>
      <c r="D267" s="22" t="s">
        <v>57</v>
      </c>
      <c r="E267" s="20"/>
      <c r="G267" s="1" t="s">
        <v>90</v>
      </c>
      <c r="I267" s="2" t="s">
        <v>14</v>
      </c>
      <c r="J267" s="2" t="s">
        <v>92</v>
      </c>
      <c r="K267" s="14" t="s">
        <v>93</v>
      </c>
      <c r="L267" s="9" t="s">
        <v>13</v>
      </c>
      <c r="M267" s="14" t="s">
        <v>94</v>
      </c>
      <c r="O267" s="29">
        <v>6</v>
      </c>
      <c r="P267" s="1">
        <v>33000</v>
      </c>
      <c r="Q267" s="1">
        <v>2400</v>
      </c>
    </row>
    <row r="268" spans="1:17" x14ac:dyDescent="0.3">
      <c r="A268" s="19"/>
      <c r="B268" s="21"/>
      <c r="C268" s="21">
        <v>346.86</v>
      </c>
      <c r="D268" s="21">
        <f>C268/3.24</f>
        <v>107.05555555555556</v>
      </c>
      <c r="E268" s="20"/>
      <c r="G268" s="1" t="s">
        <v>91</v>
      </c>
      <c r="I268" s="2"/>
      <c r="J268" s="2"/>
      <c r="K268" s="14"/>
      <c r="L268" s="2">
        <f>J268*K268</f>
        <v>0</v>
      </c>
      <c r="M268" s="14">
        <f>L268/16</f>
        <v>0</v>
      </c>
      <c r="O268" s="29"/>
      <c r="P268" s="1">
        <v>33600</v>
      </c>
      <c r="Q268" s="1">
        <v>2400</v>
      </c>
    </row>
    <row r="269" spans="1:17" x14ac:dyDescent="0.3">
      <c r="A269" s="19"/>
      <c r="B269" s="21"/>
      <c r="C269" s="21"/>
      <c r="D269" s="21">
        <f t="shared" ref="D269:D271" si="102">C269/3.24</f>
        <v>0</v>
      </c>
      <c r="E269" s="20"/>
      <c r="I269" s="2"/>
      <c r="J269" s="2"/>
      <c r="K269" s="14"/>
      <c r="L269" s="2">
        <f t="shared" ref="L269:L271" si="103">J269*K269</f>
        <v>0</v>
      </c>
      <c r="M269" s="14">
        <f t="shared" ref="M269:M271" si="104">L269/16</f>
        <v>0</v>
      </c>
      <c r="O269" s="29"/>
      <c r="P269" s="1">
        <v>12000</v>
      </c>
    </row>
    <row r="270" spans="1:17" x14ac:dyDescent="0.3">
      <c r="A270" s="19"/>
      <c r="B270" s="21"/>
      <c r="C270" s="21"/>
      <c r="D270" s="21">
        <f t="shared" si="102"/>
        <v>0</v>
      </c>
      <c r="E270" s="20"/>
      <c r="I270" s="2"/>
      <c r="J270" s="2"/>
      <c r="K270" s="14"/>
      <c r="L270" s="2">
        <f t="shared" si="103"/>
        <v>0</v>
      </c>
      <c r="M270" s="14">
        <f t="shared" si="104"/>
        <v>0</v>
      </c>
      <c r="O270" s="29"/>
      <c r="P270" s="1">
        <v>5400</v>
      </c>
    </row>
    <row r="271" spans="1:17" x14ac:dyDescent="0.3">
      <c r="A271" s="19"/>
      <c r="B271" s="21"/>
      <c r="C271" s="21"/>
      <c r="D271" s="21">
        <f t="shared" si="102"/>
        <v>0</v>
      </c>
      <c r="E271" s="20"/>
      <c r="I271" s="2"/>
      <c r="J271" s="2"/>
      <c r="K271" s="14"/>
      <c r="L271" s="2">
        <f t="shared" si="103"/>
        <v>0</v>
      </c>
      <c r="M271" s="14">
        <f t="shared" si="104"/>
        <v>0</v>
      </c>
      <c r="O271" s="29"/>
      <c r="P271" s="1">
        <v>2700</v>
      </c>
    </row>
    <row r="272" spans="1:17" x14ac:dyDescent="0.3">
      <c r="A272" s="19"/>
      <c r="B272" s="21" t="s">
        <v>13</v>
      </c>
      <c r="C272" s="21"/>
      <c r="D272" s="21">
        <f>SUM(D268:D271)</f>
        <v>107.05555555555556</v>
      </c>
      <c r="E272" s="20"/>
      <c r="I272" s="2" t="s">
        <v>13</v>
      </c>
      <c r="J272" s="2"/>
      <c r="K272" s="14"/>
      <c r="L272" s="2">
        <f>SUM(L268:L271)</f>
        <v>0</v>
      </c>
      <c r="M272" s="14">
        <f>SUM(M268:M271)</f>
        <v>0</v>
      </c>
      <c r="O272" s="29"/>
      <c r="P272" s="1">
        <v>5400</v>
      </c>
    </row>
    <row r="273" spans="1:16" x14ac:dyDescent="0.3">
      <c r="A273" s="19"/>
      <c r="B273" s="19"/>
      <c r="C273" s="19"/>
      <c r="D273" s="19"/>
      <c r="E273" s="20"/>
      <c r="O273" s="29"/>
      <c r="P273" s="1">
        <v>5400</v>
      </c>
    </row>
    <row r="274" spans="1:16" x14ac:dyDescent="0.3">
      <c r="P274" s="1">
        <f>SUM(P267:P273)</f>
        <v>97500</v>
      </c>
    </row>
    <row r="275" spans="1:16" ht="20.25" x14ac:dyDescent="0.3">
      <c r="B275" s="5" t="s">
        <v>75</v>
      </c>
    </row>
    <row r="276" spans="1:16" x14ac:dyDescent="0.3">
      <c r="B276" s="2" t="s">
        <v>2</v>
      </c>
      <c r="C276" s="2" t="s">
        <v>77</v>
      </c>
      <c r="D276" s="2" t="s">
        <v>78</v>
      </c>
      <c r="E276" s="6" t="s">
        <v>13</v>
      </c>
    </row>
    <row r="277" spans="1:16" x14ac:dyDescent="0.3">
      <c r="B277" s="2"/>
      <c r="C277" s="2" t="s">
        <v>148</v>
      </c>
      <c r="D277" s="2"/>
      <c r="E277" s="6" t="s">
        <v>149</v>
      </c>
    </row>
    <row r="278" spans="1:16" x14ac:dyDescent="0.3">
      <c r="B278" s="2"/>
      <c r="C278" s="2" t="s">
        <v>150</v>
      </c>
      <c r="D278" s="2"/>
      <c r="E278" s="6">
        <v>80</v>
      </c>
    </row>
    <row r="279" spans="1:16" x14ac:dyDescent="0.3">
      <c r="B279" s="2"/>
      <c r="C279" s="2" t="s">
        <v>151</v>
      </c>
      <c r="D279" s="2"/>
      <c r="E279" s="6">
        <v>4800</v>
      </c>
    </row>
    <row r="282" spans="1:16" ht="20.25" x14ac:dyDescent="0.3">
      <c r="B282" s="5" t="s">
        <v>74</v>
      </c>
      <c r="D282" s="1" t="s">
        <v>81</v>
      </c>
    </row>
    <row r="288" spans="1:16" x14ac:dyDescent="0.3">
      <c r="B288" s="1" t="s">
        <v>155</v>
      </c>
    </row>
    <row r="289" spans="2:6" x14ac:dyDescent="0.3">
      <c r="B289" s="1" t="s">
        <v>156</v>
      </c>
      <c r="C289" s="1" t="s">
        <v>157</v>
      </c>
    </row>
    <row r="291" spans="2:6" x14ac:dyDescent="0.3">
      <c r="C291" s="1" t="s">
        <v>165</v>
      </c>
      <c r="E291" s="1"/>
      <c r="F291" s="8"/>
    </row>
    <row r="292" spans="2:6" x14ac:dyDescent="0.3">
      <c r="B292" s="14" t="s">
        <v>14</v>
      </c>
      <c r="C292" s="14" t="s">
        <v>3</v>
      </c>
      <c r="D292" s="14" t="s">
        <v>167</v>
      </c>
      <c r="E292" s="14" t="s">
        <v>152</v>
      </c>
      <c r="F292" s="6" t="s">
        <v>166</v>
      </c>
    </row>
    <row r="293" spans="2:6" x14ac:dyDescent="0.3">
      <c r="B293" s="43" t="s">
        <v>105</v>
      </c>
      <c r="C293" s="14"/>
      <c r="D293" s="14">
        <v>6.2</v>
      </c>
      <c r="E293" s="14">
        <v>2.9</v>
      </c>
      <c r="F293" s="6">
        <f t="shared" ref="F293:F301" si="105">D293*E293</f>
        <v>17.98</v>
      </c>
    </row>
    <row r="294" spans="2:6" x14ac:dyDescent="0.3">
      <c r="B294" s="43"/>
      <c r="C294" s="14"/>
      <c r="D294" s="14">
        <v>6.2</v>
      </c>
      <c r="E294" s="14">
        <v>2.9</v>
      </c>
      <c r="F294" s="6">
        <f t="shared" si="105"/>
        <v>17.98</v>
      </c>
    </row>
    <row r="295" spans="2:6" x14ac:dyDescent="0.3">
      <c r="B295" s="14" t="s">
        <v>131</v>
      </c>
      <c r="C295" s="14"/>
      <c r="D295" s="14">
        <v>1.4</v>
      </c>
      <c r="E295" s="14">
        <v>2.9</v>
      </c>
      <c r="F295" s="6">
        <f t="shared" si="105"/>
        <v>4.0599999999999996</v>
      </c>
    </row>
    <row r="296" spans="2:6" x14ac:dyDescent="0.3">
      <c r="B296" s="14"/>
      <c r="C296" s="14"/>
      <c r="D296" s="14">
        <v>3.8</v>
      </c>
      <c r="E296" s="14">
        <v>2.9</v>
      </c>
      <c r="F296" s="6">
        <f t="shared" si="105"/>
        <v>11.02</v>
      </c>
    </row>
    <row r="297" spans="2:6" x14ac:dyDescent="0.3">
      <c r="B297" s="14"/>
      <c r="C297" s="14"/>
      <c r="D297" s="14">
        <v>6</v>
      </c>
      <c r="E297" s="14">
        <v>2.9</v>
      </c>
      <c r="F297" s="6">
        <f t="shared" si="105"/>
        <v>17.399999999999999</v>
      </c>
    </row>
    <row r="298" spans="2:6" x14ac:dyDescent="0.3">
      <c r="B298" s="14"/>
      <c r="C298" s="14"/>
      <c r="D298" s="14">
        <v>13.1</v>
      </c>
      <c r="E298" s="14">
        <v>2.9</v>
      </c>
      <c r="F298" s="6">
        <f t="shared" si="105"/>
        <v>37.989999999999995</v>
      </c>
    </row>
    <row r="299" spans="2:6" x14ac:dyDescent="0.3">
      <c r="B299" s="14"/>
      <c r="C299" s="14"/>
      <c r="D299" s="14">
        <v>6</v>
      </c>
      <c r="E299" s="14">
        <v>2.9</v>
      </c>
      <c r="F299" s="6">
        <f t="shared" si="105"/>
        <v>17.399999999999999</v>
      </c>
    </row>
    <row r="300" spans="2:6" x14ac:dyDescent="0.3">
      <c r="B300" s="14"/>
      <c r="C300" s="14"/>
      <c r="D300" s="14">
        <v>1.6</v>
      </c>
      <c r="E300" s="14">
        <v>2.9</v>
      </c>
      <c r="F300" s="6">
        <f t="shared" si="105"/>
        <v>4.6399999999999997</v>
      </c>
    </row>
    <row r="301" spans="2:6" x14ac:dyDescent="0.3">
      <c r="B301" s="14"/>
      <c r="C301" s="14"/>
      <c r="D301" s="14">
        <v>2.9</v>
      </c>
      <c r="E301" s="14">
        <v>2.9</v>
      </c>
      <c r="F301" s="6">
        <f t="shared" si="105"/>
        <v>8.41</v>
      </c>
    </row>
    <row r="302" spans="2:6" x14ac:dyDescent="0.3">
      <c r="B302" s="14"/>
      <c r="C302" s="14"/>
      <c r="D302" s="14"/>
      <c r="E302" s="14"/>
      <c r="F302" s="18">
        <f>SUM(F293:F301)</f>
        <v>136.87999999999997</v>
      </c>
    </row>
    <row r="303" spans="2:6" x14ac:dyDescent="0.3">
      <c r="B303" s="14"/>
      <c r="C303" s="14"/>
      <c r="D303" s="14"/>
      <c r="E303" s="14"/>
      <c r="F303" s="6">
        <f>D303*E303</f>
        <v>0</v>
      </c>
    </row>
    <row r="304" spans="2:6" x14ac:dyDescent="0.3">
      <c r="B304" s="14"/>
      <c r="C304" s="14"/>
      <c r="D304" s="14"/>
      <c r="E304" s="14"/>
      <c r="F304" s="6"/>
    </row>
    <row r="305" spans="2:6" x14ac:dyDescent="0.3">
      <c r="B305" s="14"/>
      <c r="C305" s="14"/>
      <c r="D305" s="14"/>
      <c r="E305" s="14"/>
      <c r="F305" s="6"/>
    </row>
  </sheetData>
  <mergeCells count="74">
    <mergeCell ref="B293:B294"/>
    <mergeCell ref="I133:I136"/>
    <mergeCell ref="A198:A203"/>
    <mergeCell ref="A204:A207"/>
    <mergeCell ref="A208:A212"/>
    <mergeCell ref="A213:A216"/>
    <mergeCell ref="A266:D266"/>
    <mergeCell ref="A235:E235"/>
    <mergeCell ref="A248:E248"/>
    <mergeCell ref="A153:A155"/>
    <mergeCell ref="A156:A161"/>
    <mergeCell ref="A217:A222"/>
    <mergeCell ref="A223:A226"/>
    <mergeCell ref="A186:A190"/>
    <mergeCell ref="F44:F45"/>
    <mergeCell ref="F46:F47"/>
    <mergeCell ref="F48:F49"/>
    <mergeCell ref="F50:F51"/>
    <mergeCell ref="F52:F53"/>
    <mergeCell ref="A75:A82"/>
    <mergeCell ref="A83:A86"/>
    <mergeCell ref="A87:A92"/>
    <mergeCell ref="A93:A96"/>
    <mergeCell ref="A97:A102"/>
    <mergeCell ref="F22:F23"/>
    <mergeCell ref="F24:F25"/>
    <mergeCell ref="A24:A31"/>
    <mergeCell ref="A32:A37"/>
    <mergeCell ref="B250:B259"/>
    <mergeCell ref="E250:E259"/>
    <mergeCell ref="A64:A68"/>
    <mergeCell ref="F28:F29"/>
    <mergeCell ref="F30:F31"/>
    <mergeCell ref="F32:F33"/>
    <mergeCell ref="F34:F35"/>
    <mergeCell ref="F36:F37"/>
    <mergeCell ref="F54:F55"/>
    <mergeCell ref="F38:F39"/>
    <mergeCell ref="F40:F41"/>
    <mergeCell ref="F42:F43"/>
    <mergeCell ref="A16:A23"/>
    <mergeCell ref="F26:F27"/>
    <mergeCell ref="A151:F151"/>
    <mergeCell ref="A196:F196"/>
    <mergeCell ref="A62:F62"/>
    <mergeCell ref="A108:F108"/>
    <mergeCell ref="A110:A113"/>
    <mergeCell ref="A131:F131"/>
    <mergeCell ref="A133:A136"/>
    <mergeCell ref="A38:A45"/>
    <mergeCell ref="A46:A49"/>
    <mergeCell ref="A50:A53"/>
    <mergeCell ref="A69:A74"/>
    <mergeCell ref="F16:F17"/>
    <mergeCell ref="F18:F19"/>
    <mergeCell ref="F20:F21"/>
    <mergeCell ref="A2:G2"/>
    <mergeCell ref="A6:F6"/>
    <mergeCell ref="A8:A15"/>
    <mergeCell ref="F8:F9"/>
    <mergeCell ref="F10:F11"/>
    <mergeCell ref="F12:F13"/>
    <mergeCell ref="F14:F15"/>
    <mergeCell ref="K152:K155"/>
    <mergeCell ref="K156:K161"/>
    <mergeCell ref="K162:K167"/>
    <mergeCell ref="K168:K171"/>
    <mergeCell ref="K172:K177"/>
    <mergeCell ref="K178:K181"/>
    <mergeCell ref="A162:A165"/>
    <mergeCell ref="A166:A169"/>
    <mergeCell ref="A170:A175"/>
    <mergeCell ref="A176:A179"/>
    <mergeCell ref="A180:A185"/>
  </mergeCells>
  <phoneticPr fontId="1" type="noConversion"/>
  <dataValidations disablePrompts="1" count="1">
    <dataValidation type="list" allowBlank="1" showInputMessage="1" showErrorMessage="1" sqref="D9 D11 D13 D15 D17 D19 D21 D23 D25 D27 D29 D31 D33 D35 D37 D39 D41 D43 D45 D47 D49 D51 D53 D55" xr:uid="{CDABA043-AEE5-4642-A1F7-AD3C3418B28F}">
      <formula1>"2400,2700,3000,3600"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F479-458B-4E75-9BA2-8BE609278FE5}">
  <dimension ref="A2:E35"/>
  <sheetViews>
    <sheetView topLeftCell="A6" workbookViewId="0">
      <selection activeCell="F35" sqref="F35"/>
    </sheetView>
  </sheetViews>
  <sheetFormatPr defaultRowHeight="16.5" x14ac:dyDescent="0.3"/>
  <sheetData>
    <row r="2" spans="1:5" ht="20.25" x14ac:dyDescent="0.3">
      <c r="A2" s="41" t="s">
        <v>39</v>
      </c>
      <c r="B2" s="41"/>
      <c r="C2" s="41"/>
      <c r="D2" s="41"/>
      <c r="E2" s="41"/>
    </row>
    <row r="3" spans="1:5" x14ac:dyDescent="0.3">
      <c r="A3" s="1" t="s">
        <v>39</v>
      </c>
      <c r="B3" s="1" t="s">
        <v>41</v>
      </c>
      <c r="C3" s="1"/>
      <c r="D3" s="1"/>
      <c r="E3" s="8"/>
    </row>
    <row r="4" spans="1:5" x14ac:dyDescent="0.3">
      <c r="A4" s="2" t="s">
        <v>14</v>
      </c>
      <c r="B4" s="2" t="s">
        <v>3</v>
      </c>
      <c r="C4" s="2" t="s">
        <v>66</v>
      </c>
      <c r="D4" s="2" t="s">
        <v>67</v>
      </c>
      <c r="E4" s="6" t="s">
        <v>68</v>
      </c>
    </row>
    <row r="5" spans="1:5" x14ac:dyDescent="0.3">
      <c r="A5" s="37">
        <v>1</v>
      </c>
      <c r="B5" s="2"/>
      <c r="C5" s="2">
        <v>1.4</v>
      </c>
      <c r="D5" s="2">
        <v>0.4</v>
      </c>
      <c r="E5" s="6">
        <f>C5*D5</f>
        <v>0.55999999999999994</v>
      </c>
    </row>
    <row r="6" spans="1:5" x14ac:dyDescent="0.3">
      <c r="A6" s="38"/>
      <c r="B6" s="2"/>
      <c r="C6" s="2">
        <v>1.8</v>
      </c>
      <c r="D6" s="2">
        <v>0.4</v>
      </c>
      <c r="E6" s="6">
        <f t="shared" ref="E6:E34" si="0">C6*D6</f>
        <v>0.72000000000000008</v>
      </c>
    </row>
    <row r="7" spans="1:5" x14ac:dyDescent="0.3">
      <c r="A7" s="38"/>
      <c r="B7" s="2"/>
      <c r="C7" s="2">
        <v>1.4</v>
      </c>
      <c r="D7" s="2">
        <v>0.4</v>
      </c>
      <c r="E7" s="6">
        <f t="shared" si="0"/>
        <v>0.55999999999999994</v>
      </c>
    </row>
    <row r="8" spans="1:5" x14ac:dyDescent="0.3">
      <c r="A8" s="39"/>
      <c r="B8" s="2"/>
      <c r="C8" s="2">
        <v>1.8</v>
      </c>
      <c r="D8" s="2">
        <v>0.4</v>
      </c>
      <c r="E8" s="6">
        <f t="shared" si="0"/>
        <v>0.72000000000000008</v>
      </c>
    </row>
    <row r="9" spans="1:5" x14ac:dyDescent="0.3">
      <c r="A9" s="43">
        <v>2</v>
      </c>
      <c r="B9" s="2"/>
      <c r="C9" s="2">
        <v>1.7</v>
      </c>
      <c r="D9" s="2">
        <v>0.4</v>
      </c>
      <c r="E9" s="6">
        <f t="shared" si="0"/>
        <v>0.68</v>
      </c>
    </row>
    <row r="10" spans="1:5" x14ac:dyDescent="0.3">
      <c r="A10" s="43"/>
      <c r="B10" s="2"/>
      <c r="C10" s="2">
        <v>1.6</v>
      </c>
      <c r="D10" s="2">
        <v>0.4</v>
      </c>
      <c r="E10" s="6">
        <f t="shared" si="0"/>
        <v>0.64000000000000012</v>
      </c>
    </row>
    <row r="11" spans="1:5" x14ac:dyDescent="0.3">
      <c r="A11" s="43"/>
      <c r="B11" s="2"/>
      <c r="C11" s="2">
        <v>1.7</v>
      </c>
      <c r="D11" s="2">
        <v>0.4</v>
      </c>
      <c r="E11" s="6">
        <f t="shared" si="0"/>
        <v>0.68</v>
      </c>
    </row>
    <row r="12" spans="1:5" x14ac:dyDescent="0.3">
      <c r="A12" s="43"/>
      <c r="B12" s="2"/>
      <c r="C12" s="2">
        <v>1.6</v>
      </c>
      <c r="D12" s="2">
        <v>0.4</v>
      </c>
      <c r="E12" s="6">
        <f t="shared" si="0"/>
        <v>0.64000000000000012</v>
      </c>
    </row>
    <row r="13" spans="1:5" x14ac:dyDescent="0.3">
      <c r="A13" s="43"/>
      <c r="B13" s="33"/>
      <c r="C13" s="2">
        <v>1.7</v>
      </c>
      <c r="D13" s="2">
        <v>0.4</v>
      </c>
      <c r="E13" s="6">
        <f t="shared" si="0"/>
        <v>0.68</v>
      </c>
    </row>
    <row r="14" spans="1:5" x14ac:dyDescent="0.3">
      <c r="A14" s="43"/>
      <c r="B14" s="33"/>
      <c r="C14" s="2">
        <v>1.7</v>
      </c>
      <c r="D14" s="2">
        <v>0.4</v>
      </c>
      <c r="E14" s="6">
        <f t="shared" si="0"/>
        <v>0.68</v>
      </c>
    </row>
    <row r="15" spans="1:5" x14ac:dyDescent="0.3">
      <c r="A15" s="50">
        <v>3</v>
      </c>
      <c r="C15" s="30">
        <v>1.4</v>
      </c>
      <c r="D15" s="2">
        <v>0.4</v>
      </c>
      <c r="E15" s="6">
        <f t="shared" si="0"/>
        <v>0.55999999999999994</v>
      </c>
    </row>
    <row r="16" spans="1:5" x14ac:dyDescent="0.3">
      <c r="A16" s="51"/>
      <c r="C16" s="30">
        <v>1.8</v>
      </c>
      <c r="D16" s="2">
        <v>0.4</v>
      </c>
      <c r="E16" s="6">
        <f t="shared" si="0"/>
        <v>0.72000000000000008</v>
      </c>
    </row>
    <row r="17" spans="1:5" x14ac:dyDescent="0.3">
      <c r="A17" s="51"/>
      <c r="C17" s="30">
        <v>1.4</v>
      </c>
      <c r="D17" s="2">
        <v>0.4</v>
      </c>
      <c r="E17" s="6">
        <f t="shared" si="0"/>
        <v>0.55999999999999994</v>
      </c>
    </row>
    <row r="18" spans="1:5" x14ac:dyDescent="0.3">
      <c r="A18" s="52"/>
      <c r="C18" s="30">
        <v>1.8</v>
      </c>
      <c r="D18" s="2">
        <v>0.4</v>
      </c>
      <c r="E18" s="6">
        <f t="shared" si="0"/>
        <v>0.72000000000000008</v>
      </c>
    </row>
    <row r="19" spans="1:5" x14ac:dyDescent="0.3">
      <c r="A19" s="53">
        <v>4</v>
      </c>
      <c r="C19" s="30">
        <v>1.7</v>
      </c>
      <c r="D19" s="2">
        <v>0.4</v>
      </c>
      <c r="E19" s="6">
        <f t="shared" si="0"/>
        <v>0.68</v>
      </c>
    </row>
    <row r="20" spans="1:5" x14ac:dyDescent="0.3">
      <c r="A20" s="49"/>
      <c r="C20" s="30">
        <v>1.6</v>
      </c>
      <c r="D20" s="2">
        <v>0.4</v>
      </c>
      <c r="E20" s="6">
        <f t="shared" si="0"/>
        <v>0.64000000000000012</v>
      </c>
    </row>
    <row r="21" spans="1:5" x14ac:dyDescent="0.3">
      <c r="A21" s="49"/>
      <c r="C21" s="30">
        <v>1.7</v>
      </c>
      <c r="D21" s="2">
        <v>0.4</v>
      </c>
      <c r="E21" s="6">
        <f t="shared" si="0"/>
        <v>0.68</v>
      </c>
    </row>
    <row r="22" spans="1:5" x14ac:dyDescent="0.3">
      <c r="A22" s="49"/>
      <c r="C22" s="30">
        <v>1.6</v>
      </c>
      <c r="D22" s="2">
        <v>0.4</v>
      </c>
      <c r="E22" s="6">
        <f t="shared" si="0"/>
        <v>0.64000000000000012</v>
      </c>
    </row>
    <row r="23" spans="1:5" x14ac:dyDescent="0.3">
      <c r="A23" s="49"/>
      <c r="C23" s="30">
        <v>3</v>
      </c>
      <c r="D23" s="2">
        <v>0.4</v>
      </c>
      <c r="E23" s="6">
        <f t="shared" si="0"/>
        <v>1.2000000000000002</v>
      </c>
    </row>
    <row r="24" spans="1:5" x14ac:dyDescent="0.3">
      <c r="A24" s="49"/>
      <c r="C24" s="30">
        <v>3</v>
      </c>
      <c r="D24" s="2">
        <v>0.4</v>
      </c>
      <c r="E24" s="6">
        <f t="shared" si="0"/>
        <v>1.2000000000000002</v>
      </c>
    </row>
    <row r="25" spans="1:5" x14ac:dyDescent="0.3">
      <c r="A25" s="49">
        <v>5</v>
      </c>
      <c r="C25" s="30">
        <v>1.4</v>
      </c>
      <c r="D25" s="2">
        <v>0.4</v>
      </c>
      <c r="E25" s="6">
        <f t="shared" si="0"/>
        <v>0.55999999999999994</v>
      </c>
    </row>
    <row r="26" spans="1:5" x14ac:dyDescent="0.3">
      <c r="A26" s="49"/>
      <c r="C26" s="30">
        <v>1.8</v>
      </c>
      <c r="D26" s="2">
        <v>0.4</v>
      </c>
      <c r="E26" s="6">
        <f t="shared" si="0"/>
        <v>0.72000000000000008</v>
      </c>
    </row>
    <row r="27" spans="1:5" x14ac:dyDescent="0.3">
      <c r="A27" s="49"/>
      <c r="C27" s="30">
        <v>1.4</v>
      </c>
      <c r="D27" s="2">
        <v>0.4</v>
      </c>
      <c r="E27" s="6">
        <f t="shared" si="0"/>
        <v>0.55999999999999994</v>
      </c>
    </row>
    <row r="28" spans="1:5" x14ac:dyDescent="0.3">
      <c r="A28" s="49"/>
      <c r="C28" s="30">
        <v>1.8</v>
      </c>
      <c r="D28" s="2">
        <v>0.4</v>
      </c>
      <c r="E28" s="6">
        <f t="shared" si="0"/>
        <v>0.72000000000000008</v>
      </c>
    </row>
    <row r="29" spans="1:5" x14ac:dyDescent="0.3">
      <c r="A29" s="49">
        <v>6</v>
      </c>
      <c r="C29" s="30">
        <v>1.7</v>
      </c>
      <c r="D29" s="2">
        <v>0.4</v>
      </c>
      <c r="E29" s="6">
        <f t="shared" si="0"/>
        <v>0.68</v>
      </c>
    </row>
    <row r="30" spans="1:5" x14ac:dyDescent="0.3">
      <c r="A30" s="49"/>
      <c r="C30" s="30">
        <v>1.6</v>
      </c>
      <c r="D30" s="2">
        <v>0.4</v>
      </c>
      <c r="E30" s="6">
        <f t="shared" si="0"/>
        <v>0.64000000000000012</v>
      </c>
    </row>
    <row r="31" spans="1:5" x14ac:dyDescent="0.3">
      <c r="A31" s="49"/>
      <c r="C31" s="30">
        <v>1.7</v>
      </c>
      <c r="D31" s="2">
        <v>0.4</v>
      </c>
      <c r="E31" s="6">
        <f t="shared" si="0"/>
        <v>0.68</v>
      </c>
    </row>
    <row r="32" spans="1:5" x14ac:dyDescent="0.3">
      <c r="A32" s="49"/>
      <c r="C32" s="30">
        <v>1.6</v>
      </c>
      <c r="D32" s="2">
        <v>0.4</v>
      </c>
      <c r="E32" s="6">
        <f t="shared" si="0"/>
        <v>0.64000000000000012</v>
      </c>
    </row>
    <row r="33" spans="1:5" x14ac:dyDescent="0.3">
      <c r="A33" s="49"/>
      <c r="C33" s="30">
        <v>1.2</v>
      </c>
      <c r="D33" s="2">
        <v>0.4</v>
      </c>
      <c r="E33" s="6">
        <f t="shared" si="0"/>
        <v>0.48</v>
      </c>
    </row>
    <row r="34" spans="1:5" x14ac:dyDescent="0.3">
      <c r="A34" s="49"/>
      <c r="C34" s="30">
        <v>1.2</v>
      </c>
      <c r="D34" s="2">
        <v>0.4</v>
      </c>
      <c r="E34" s="6">
        <f t="shared" si="0"/>
        <v>0.48</v>
      </c>
    </row>
    <row r="35" spans="1:5" x14ac:dyDescent="0.3">
      <c r="E35" s="11">
        <f>SUM(E5:E34)</f>
        <v>20.32</v>
      </c>
    </row>
  </sheetData>
  <mergeCells count="7">
    <mergeCell ref="A29:A34"/>
    <mergeCell ref="A2:E2"/>
    <mergeCell ref="A5:A8"/>
    <mergeCell ref="A9:A14"/>
    <mergeCell ref="A15:A18"/>
    <mergeCell ref="A19:A24"/>
    <mergeCell ref="A25:A2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5FA8-4D8B-44A1-A0FA-1C80BEFCAC38}">
  <dimension ref="B3:H16"/>
  <sheetViews>
    <sheetView workbookViewId="0">
      <selection activeCell="I9" sqref="I9"/>
    </sheetView>
  </sheetViews>
  <sheetFormatPr defaultRowHeight="16.5" x14ac:dyDescent="0.3"/>
  <cols>
    <col min="2" max="2" width="17.5" customWidth="1"/>
    <col min="3" max="3" width="22.5" customWidth="1"/>
  </cols>
  <sheetData>
    <row r="3" spans="2:8" x14ac:dyDescent="0.3">
      <c r="B3" s="31"/>
      <c r="C3" s="32"/>
    </row>
    <row r="4" spans="2:8" x14ac:dyDescent="0.3">
      <c r="B4" s="31" t="s">
        <v>195</v>
      </c>
      <c r="C4" s="32" t="s">
        <v>196</v>
      </c>
      <c r="D4">
        <v>4300</v>
      </c>
    </row>
    <row r="5" spans="2:8" x14ac:dyDescent="0.3">
      <c r="B5" s="31" t="s">
        <v>197</v>
      </c>
      <c r="C5" s="32" t="s">
        <v>198</v>
      </c>
      <c r="D5">
        <v>7700</v>
      </c>
    </row>
    <row r="6" spans="2:8" x14ac:dyDescent="0.3">
      <c r="B6" s="31" t="s">
        <v>199</v>
      </c>
      <c r="C6" s="32" t="s">
        <v>85</v>
      </c>
      <c r="D6">
        <v>37000</v>
      </c>
      <c r="F6" t="s">
        <v>216</v>
      </c>
    </row>
    <row r="7" spans="2:8" x14ac:dyDescent="0.3">
      <c r="B7" s="31" t="s">
        <v>73</v>
      </c>
      <c r="C7" s="32" t="s">
        <v>200</v>
      </c>
      <c r="D7">
        <v>18500</v>
      </c>
    </row>
    <row r="8" spans="2:8" x14ac:dyDescent="0.3">
      <c r="B8" s="31" t="s">
        <v>27</v>
      </c>
      <c r="C8" s="32" t="s">
        <v>201</v>
      </c>
      <c r="D8">
        <v>9900</v>
      </c>
    </row>
    <row r="9" spans="2:8" x14ac:dyDescent="0.3">
      <c r="B9" s="31" t="s">
        <v>27</v>
      </c>
      <c r="C9" s="32" t="s">
        <v>202</v>
      </c>
      <c r="D9">
        <v>28500</v>
      </c>
    </row>
    <row r="10" spans="2:8" ht="27" x14ac:dyDescent="0.3">
      <c r="B10" s="31" t="s">
        <v>203</v>
      </c>
      <c r="C10" s="32" t="s">
        <v>204</v>
      </c>
      <c r="D10">
        <v>12000</v>
      </c>
    </row>
    <row r="11" spans="2:8" x14ac:dyDescent="0.3">
      <c r="B11" s="31" t="s">
        <v>205</v>
      </c>
      <c r="C11" s="32" t="s">
        <v>206</v>
      </c>
      <c r="D11">
        <v>2000</v>
      </c>
    </row>
    <row r="12" spans="2:8" x14ac:dyDescent="0.3">
      <c r="B12" s="31" t="s">
        <v>205</v>
      </c>
      <c r="C12" s="32" t="s">
        <v>207</v>
      </c>
      <c r="D12">
        <v>2600</v>
      </c>
    </row>
    <row r="13" spans="2:8" x14ac:dyDescent="0.3">
      <c r="B13" s="31" t="s">
        <v>208</v>
      </c>
      <c r="C13" s="32" t="s">
        <v>209</v>
      </c>
    </row>
    <row r="14" spans="2:8" ht="27" x14ac:dyDescent="0.3">
      <c r="B14" s="31" t="s">
        <v>210</v>
      </c>
      <c r="C14" s="32" t="s">
        <v>211</v>
      </c>
      <c r="D14">
        <v>29000</v>
      </c>
      <c r="F14" t="s">
        <v>217</v>
      </c>
      <c r="H14" t="s">
        <v>218</v>
      </c>
    </row>
    <row r="15" spans="2:8" x14ac:dyDescent="0.3">
      <c r="B15" s="31" t="s">
        <v>212</v>
      </c>
      <c r="C15" s="32" t="s">
        <v>213</v>
      </c>
      <c r="D15">
        <v>55000</v>
      </c>
    </row>
    <row r="16" spans="2:8" x14ac:dyDescent="0.3">
      <c r="B16" s="31" t="s">
        <v>214</v>
      </c>
      <c r="C16" s="32" t="s">
        <v>215</v>
      </c>
      <c r="D16">
        <v>51500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1층</vt:lpstr>
      <vt:lpstr>2층</vt:lpstr>
      <vt:lpstr>3층</vt:lpstr>
      <vt:lpstr>계단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소연 이</cp:lastModifiedBy>
  <cp:lastPrinted>2025-08-05T04:11:21Z</cp:lastPrinted>
  <dcterms:created xsi:type="dcterms:W3CDTF">2024-12-03T01:19:49Z</dcterms:created>
  <dcterms:modified xsi:type="dcterms:W3CDTF">2026-06-26T09:33:17Z</dcterms:modified>
</cp:coreProperties>
</file>