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jm\001_JM디자인\업무자료\003_양식\"/>
    </mc:Choice>
  </mc:AlternateContent>
  <xr:revisionPtr revIDLastSave="0" documentId="13_ncr:1_{E55EC85B-5732-4150-ADBF-F85ADAECA987}" xr6:coauthVersionLast="47" xr6:coauthVersionMax="47" xr10:uidLastSave="{00000000-0000-0000-0000-000000000000}"/>
  <bookViews>
    <workbookView xWindow="-28920" yWindow="-120" windowWidth="29040" windowHeight="15720" xr2:uid="{9545FB13-B616-4471-A28A-8C58A976B403}"/>
  </bookViews>
  <sheets>
    <sheet name="Sheet1" sheetId="1" r:id="rId1"/>
  </sheets>
  <definedNames>
    <definedName name="_xlnm._FilterDatabase" localSheetId="0" hidden="1">Sheet1!$A$7:$H$16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1" l="1"/>
  <c r="L114" i="1"/>
  <c r="M114" i="1" s="1"/>
  <c r="L115" i="1"/>
  <c r="M115" i="1"/>
  <c r="L116" i="1"/>
  <c r="M116" i="1" s="1"/>
  <c r="M113" i="1"/>
  <c r="L113" i="1"/>
  <c r="E74" i="1"/>
  <c r="D70" i="1"/>
  <c r="D74" i="1"/>
  <c r="E84" i="1"/>
  <c r="E85" i="1"/>
  <c r="E86" i="1"/>
  <c r="E83" i="1"/>
  <c r="L117" i="1" l="1"/>
  <c r="D105" i="1"/>
  <c r="D104" i="1"/>
  <c r="D103" i="1"/>
  <c r="D102" i="1"/>
  <c r="D101" i="1"/>
  <c r="D100" i="1"/>
  <c r="D99" i="1"/>
  <c r="D114" i="1"/>
  <c r="D115" i="1"/>
  <c r="D116" i="1"/>
  <c r="D113" i="1"/>
  <c r="D96" i="1"/>
  <c r="D97" i="1"/>
  <c r="D98" i="1"/>
  <c r="D95" i="1"/>
  <c r="E15" i="1"/>
  <c r="E14" i="1"/>
  <c r="E13" i="1"/>
  <c r="E12" i="1"/>
  <c r="E11" i="1"/>
  <c r="E10" i="1"/>
  <c r="E9" i="1"/>
  <c r="E8" i="1"/>
  <c r="F8" i="1" s="1"/>
  <c r="E25" i="1"/>
  <c r="F25" i="1" s="1"/>
  <c r="G25" i="1" s="1"/>
  <c r="E26" i="1"/>
  <c r="F26" i="1" s="1"/>
  <c r="G26" i="1" s="1"/>
  <c r="E27" i="1"/>
  <c r="F27" i="1" s="1"/>
  <c r="G27" i="1" s="1"/>
  <c r="E24" i="1"/>
  <c r="F24" i="1" s="1"/>
  <c r="G24" i="1" s="1"/>
  <c r="D71" i="1"/>
  <c r="D72" i="1"/>
  <c r="D73" i="1"/>
  <c r="D62" i="1"/>
  <c r="E62" i="1" s="1"/>
  <c r="D60" i="1"/>
  <c r="E60" i="1" s="1"/>
  <c r="D61" i="1"/>
  <c r="E61" i="1" s="1"/>
  <c r="D59" i="1"/>
  <c r="E59" i="1" s="1"/>
  <c r="D48" i="1"/>
  <c r="E48" i="1" s="1"/>
  <c r="D49" i="1"/>
  <c r="E49" i="1" s="1"/>
  <c r="D50" i="1"/>
  <c r="E50" i="1" s="1"/>
  <c r="D47" i="1"/>
  <c r="E47" i="1" s="1"/>
  <c r="E36" i="1"/>
  <c r="F36" i="1" s="1"/>
  <c r="E37" i="1"/>
  <c r="F37" i="1" s="1"/>
  <c r="E38" i="1"/>
  <c r="F38" i="1" s="1"/>
  <c r="E35" i="1"/>
  <c r="F35" i="1" s="1"/>
  <c r="E51" i="1" l="1"/>
  <c r="F51" i="1" s="1"/>
  <c r="E95" i="1"/>
  <c r="D106" i="1"/>
  <c r="D117" i="1"/>
  <c r="F39" i="1"/>
  <c r="F10" i="1"/>
  <c r="F12" i="1"/>
  <c r="F14" i="1"/>
  <c r="E63" i="1"/>
  <c r="G28" i="1"/>
  <c r="F16" i="1" l="1"/>
  <c r="G16" i="1" s="1"/>
</calcChain>
</file>

<file path=xl/sharedStrings.xml><?xml version="1.0" encoding="utf-8"?>
<sst xmlns="http://schemas.openxmlformats.org/spreadsheetml/2006/main" count="138" uniqueCount="96">
  <si>
    <t xml:space="preserve">물량산출 </t>
    <phoneticPr fontId="1" type="noConversion"/>
  </si>
  <si>
    <t xml:space="preserve">각재 </t>
    <phoneticPr fontId="1" type="noConversion"/>
  </si>
  <si>
    <t xml:space="preserve">구역 </t>
    <phoneticPr fontId="1" type="noConversion"/>
  </si>
  <si>
    <t>방향</t>
    <phoneticPr fontId="1" type="noConversion"/>
  </si>
  <si>
    <t>A(세로)</t>
    <phoneticPr fontId="1" type="noConversion"/>
  </si>
  <si>
    <t>A(가로)</t>
    <phoneticPr fontId="1" type="noConversion"/>
  </si>
  <si>
    <t>B(세로)</t>
    <phoneticPr fontId="1" type="noConversion"/>
  </si>
  <si>
    <t>B(가로)</t>
    <phoneticPr fontId="1" type="noConversion"/>
  </si>
  <si>
    <t>C(세로)</t>
    <phoneticPr fontId="1" type="noConversion"/>
  </si>
  <si>
    <t>C(가로)</t>
    <phoneticPr fontId="1" type="noConversion"/>
  </si>
  <si>
    <t xml:space="preserve">전체길이 </t>
    <phoneticPr fontId="1" type="noConversion"/>
  </si>
  <si>
    <t>D(가로)</t>
    <phoneticPr fontId="1" type="noConversion"/>
  </si>
  <si>
    <t>D(세로)</t>
    <phoneticPr fontId="1" type="noConversion"/>
  </si>
  <si>
    <t>합</t>
    <phoneticPr fontId="1" type="noConversion"/>
  </si>
  <si>
    <t>구역</t>
    <phoneticPr fontId="1" type="noConversion"/>
  </si>
  <si>
    <t xml:space="preserve">방향 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</si>
  <si>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</si>
  <si>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</si>
  <si>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</si>
  <si>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</si>
  <si>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 xml:space="preserve">올림 </t>
    <phoneticPr fontId="1" type="noConversion"/>
  </si>
  <si>
    <r>
      <t>면적 (</t>
    </r>
    <r>
      <rPr>
        <sz val="11"/>
        <color theme="1"/>
        <rFont val="Noto Sans KR"/>
        <family val="3"/>
        <charset val="129"/>
      </rPr>
      <t>㎡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</si>
  <si>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면적/1.62</t>
    <phoneticPr fontId="1" type="noConversion"/>
  </si>
  <si>
    <t xml:space="preserve">합 </t>
    <phoneticPr fontId="1" type="noConversion"/>
  </si>
  <si>
    <t>가로 (m)</t>
    <phoneticPr fontId="1" type="noConversion"/>
  </si>
  <si>
    <t>높이 (m)</t>
    <phoneticPr fontId="1" type="noConversion"/>
  </si>
  <si>
    <t>면적/2.88㎡</t>
    <phoneticPr fontId="1" type="noConversion"/>
  </si>
  <si>
    <t>합판</t>
    <phoneticPr fontId="1" type="noConversion"/>
  </si>
  <si>
    <t>MDF (면적)</t>
    <phoneticPr fontId="1" type="noConversion"/>
  </si>
  <si>
    <t>벽두께 80일경우 ,(합판규격 1200) 1200/80=13개</t>
    <phoneticPr fontId="1" type="noConversion"/>
  </si>
  <si>
    <t xml:space="preserve">길이 </t>
    <phoneticPr fontId="1" type="noConversion"/>
  </si>
  <si>
    <t>길이/450</t>
    <phoneticPr fontId="1" type="noConversion"/>
  </si>
  <si>
    <t>올림</t>
    <phoneticPr fontId="1" type="noConversion"/>
  </si>
  <si>
    <t xml:space="preserve">필요장수 </t>
    <phoneticPr fontId="1" type="noConversion"/>
  </si>
  <si>
    <t>걸레받이 규격 2400mm</t>
    <phoneticPr fontId="1" type="noConversion"/>
  </si>
  <si>
    <t>길이/2400</t>
    <phoneticPr fontId="1" type="noConversion"/>
  </si>
  <si>
    <t xml:space="preserve">벽지 </t>
    <phoneticPr fontId="1" type="noConversion"/>
  </si>
  <si>
    <t>벽지 =석고면적 (㎡)</t>
    <phoneticPr fontId="1" type="noConversion"/>
  </si>
  <si>
    <t>석고면적(㎡)</t>
    <phoneticPr fontId="1" type="noConversion"/>
  </si>
  <si>
    <t>석고면적*0.3025</t>
    <phoneticPr fontId="1" type="noConversion"/>
  </si>
  <si>
    <t xml:space="preserve">필름 </t>
    <phoneticPr fontId="1" type="noConversion"/>
  </si>
  <si>
    <t xml:space="preserve">필름 1000mm간격 </t>
    <phoneticPr fontId="1" type="noConversion"/>
  </si>
  <si>
    <t xml:space="preserve">1000간격 *높이 =m로 계산 </t>
    <phoneticPr fontId="1" type="noConversion"/>
  </si>
  <si>
    <t>길이 (m)</t>
    <phoneticPr fontId="1" type="noConversion"/>
  </si>
  <si>
    <t>각재필요단수</t>
    <phoneticPr fontId="1" type="noConversion"/>
  </si>
  <si>
    <t>합판은 가운데 벽만 해당o</t>
    <phoneticPr fontId="1" type="noConversion"/>
  </si>
  <si>
    <t>걸레받이 /천장몰딩</t>
    <phoneticPr fontId="1" type="noConversion"/>
  </si>
  <si>
    <t xml:space="preserve">석고면적 값만 붙여넣기 </t>
    <phoneticPr fontId="1" type="noConversion"/>
  </si>
  <si>
    <t>각재단위</t>
    <phoneticPr fontId="1" type="noConversion"/>
  </si>
  <si>
    <t>값</t>
    <phoneticPr fontId="1" type="noConversion"/>
  </si>
  <si>
    <t>각재단위목록</t>
    <phoneticPr fontId="1" type="noConversion"/>
  </si>
  <si>
    <t>/5</t>
    <phoneticPr fontId="1" type="noConversion"/>
  </si>
  <si>
    <t>*각재 1단 20개</t>
    <phoneticPr fontId="1" type="noConversion"/>
  </si>
  <si>
    <t xml:space="preserve">천장 따로 구하기 </t>
    <phoneticPr fontId="1" type="noConversion"/>
  </si>
  <si>
    <t>타일</t>
    <phoneticPr fontId="1" type="noConversion"/>
  </si>
  <si>
    <t>타일면적(㎡)</t>
    <phoneticPr fontId="1" type="noConversion"/>
  </si>
  <si>
    <t>박스(면적/1.44㎡)</t>
    <phoneticPr fontId="1" type="noConversion"/>
  </si>
  <si>
    <t>데코타일</t>
    <phoneticPr fontId="1" type="noConversion"/>
  </si>
  <si>
    <t>박스(면적/3.24㎡)</t>
    <phoneticPr fontId="1" type="noConversion"/>
  </si>
  <si>
    <t xml:space="preserve">*보강이 필요한 부분에 시공 -표면이 매끄럽지 않아서 페인트, 필름 시공에 비추천 </t>
    <phoneticPr fontId="1" type="noConversion"/>
  </si>
  <si>
    <t>MDF : 매끄러운 면이 필요한 곳 -&gt;필름, 도장, 좁은면, 기둥, 모서리 에 사용</t>
    <phoneticPr fontId="1" type="noConversion"/>
  </si>
  <si>
    <t>벽타일</t>
    <phoneticPr fontId="1" type="noConversion"/>
  </si>
  <si>
    <t>바닥타일</t>
    <phoneticPr fontId="1" type="noConversion"/>
  </si>
  <si>
    <t>합계</t>
    <phoneticPr fontId="1" type="noConversion"/>
  </si>
  <si>
    <t>한단개수</t>
    <phoneticPr fontId="1" type="noConversion"/>
  </si>
  <si>
    <t>구역</t>
    <phoneticPr fontId="1" type="noConversion"/>
  </si>
  <si>
    <t>방향</t>
    <phoneticPr fontId="1" type="noConversion"/>
  </si>
  <si>
    <t>가로(m)</t>
    <phoneticPr fontId="1" type="noConversion"/>
  </si>
  <si>
    <t>높이(m)</t>
    <phoneticPr fontId="1" type="noConversion"/>
  </si>
  <si>
    <t>가로*높이</t>
    <phoneticPr fontId="1" type="noConversion"/>
  </si>
  <si>
    <r>
      <t>석고 (면적</t>
    </r>
    <r>
      <rPr>
        <b/>
        <sz val="14"/>
        <color theme="1"/>
        <rFont val="Noto Sans KR"/>
        <family val="3"/>
        <charset val="129"/>
      </rPr>
      <t>㎡</t>
    </r>
    <r>
      <rPr>
        <b/>
        <sz val="14"/>
        <color theme="1"/>
        <rFont val="맑은 고딕"/>
        <family val="2"/>
        <charset val="129"/>
        <scheme val="minor"/>
      </rPr>
      <t>)</t>
    </r>
    <phoneticPr fontId="1" type="noConversion"/>
  </si>
  <si>
    <t xml:space="preserve">MDF : 필름, 도장, 좁은면, 기둥, 모서리 </t>
    <phoneticPr fontId="1" type="noConversion"/>
  </si>
  <si>
    <t>석고 : 도배면</t>
    <phoneticPr fontId="1" type="noConversion"/>
  </si>
  <si>
    <t xml:space="preserve">*천장 ,등박스, 단상 추가 구하기 </t>
  </si>
  <si>
    <t>오징어합판</t>
    <phoneticPr fontId="1" type="noConversion"/>
  </si>
  <si>
    <t xml:space="preserve">템파보드 </t>
    <phoneticPr fontId="1" type="noConversion"/>
  </si>
  <si>
    <t xml:space="preserve">조명 </t>
    <phoneticPr fontId="1" type="noConversion"/>
  </si>
  <si>
    <t xml:space="preserve">구역 </t>
    <phoneticPr fontId="1" type="noConversion"/>
  </si>
  <si>
    <t xml:space="preserve">종류 </t>
    <phoneticPr fontId="1" type="noConversion"/>
  </si>
  <si>
    <t xml:space="preserve">수량, 길이 </t>
    <phoneticPr fontId="1" type="noConversion"/>
  </si>
  <si>
    <t>합</t>
    <phoneticPr fontId="1" type="noConversion"/>
  </si>
  <si>
    <t xml:space="preserve">템파보드 </t>
    <phoneticPr fontId="1" type="noConversion"/>
  </si>
  <si>
    <t>1000*2400*12T</t>
    <phoneticPr fontId="1" type="noConversion"/>
  </si>
  <si>
    <t>2400*28*28</t>
    <phoneticPr fontId="1" type="noConversion"/>
  </si>
  <si>
    <t>2700*28*28</t>
    <phoneticPr fontId="1" type="noConversion"/>
  </si>
  <si>
    <t>3000*28*28</t>
    <phoneticPr fontId="1" type="noConversion"/>
  </si>
  <si>
    <t>3600*28*28</t>
    <phoneticPr fontId="1" type="noConversion"/>
  </si>
  <si>
    <t>석고: 900*1800*9.5T</t>
    <phoneticPr fontId="1" type="noConversion"/>
  </si>
  <si>
    <t>MDF:1220*2440</t>
    <phoneticPr fontId="1" type="noConversion"/>
  </si>
  <si>
    <t>합판 :1220*2440</t>
    <phoneticPr fontId="1" type="noConversion"/>
  </si>
  <si>
    <t xml:space="preserve">1박스 장수 </t>
    <phoneticPr fontId="1" type="noConversion"/>
  </si>
  <si>
    <t>450*450 :16장</t>
    <phoneticPr fontId="1" type="noConversion"/>
  </si>
  <si>
    <t>600*600 : 9장</t>
    <phoneticPr fontId="1" type="noConversion"/>
  </si>
  <si>
    <t>가로 /450</t>
    <phoneticPr fontId="1" type="noConversion"/>
  </si>
  <si>
    <t>세로/45</t>
    <phoneticPr fontId="1" type="noConversion"/>
  </si>
  <si>
    <t>박스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</si>
</sst>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\(0.0\)"/>
    <numFmt numFmtId="177" formatCode="0_);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Noto Sans KR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3" fillId="0" borderId="0" xfId="0" applyNumberFormat="1" applyFont="1">
      <alignment vertical="center"/>
    </xf>
    <xf numFmtId="177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77" fontId="0" fillId="2" borderId="1" xfId="0" applyNumberFormat="1" applyFill="1" applyBorder="1" applyAlignment="1">
      <alignment horizontal="center" vertical="center"/>
    </xf>
    <xf numFmtId="176" fontId="8" fillId="0" borderId="0" xfId="0" applyNumberFormat="1" applyFont="1">
      <alignment vertical="center"/>
    </xf>
    <xf numFmtId="177" fontId="8" fillId="0" borderId="0" xfId="0" applyNumberFormat="1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1FA4-515B-46BF-9128-5142A371D333}">
  <dimension ref="A2:M127"/>
  <sheetViews>
    <sheetView tabSelected="1" topLeftCell="A94" workbookViewId="0">
      <selection activeCell="F116" sqref="F116"/>
    </sheetView>
  </sheetViews>
  <sheetFormatPr defaultRowHeight="16.5" x14ac:dyDescent="0.3"/>
  <cols>
    <col min="1" max="2" width="9" style="1"/>
    <col min="3" max="3" width="14.5" style="1" customWidth="1"/>
    <col min="4" max="4" width="13.5" style="1" customWidth="1"/>
    <col min="5" max="5" width="11.25" style="8" customWidth="1"/>
    <col min="6" max="6" width="10.125" style="11" customWidth="1"/>
    <col min="7" max="7" width="11.625" style="1" customWidth="1"/>
    <col min="8" max="10" width="9" style="1"/>
    <col min="11" max="11" width="13.75" style="1" customWidth="1"/>
    <col min="12" max="12" width="14.25" style="1" customWidth="1"/>
    <col min="13" max="16384" width="9" style="1"/>
  </cols>
  <sheetData>
    <row r="2" spans="1:13" ht="20.25" x14ac:dyDescent="0.3">
      <c r="A2" s="13" t="s">
        <v>0</v>
      </c>
      <c r="B2" s="13"/>
      <c r="C2" s="13"/>
      <c r="D2" s="13"/>
      <c r="E2" s="13"/>
      <c r="F2" s="13"/>
      <c r="G2" s="13"/>
    </row>
    <row r="6" spans="1:13" ht="20.25" x14ac:dyDescent="0.3">
      <c r="A6" s="13" t="s">
        <v>1</v>
      </c>
      <c r="B6" s="13"/>
      <c r="C6" s="13"/>
      <c r="D6" s="13"/>
      <c r="E6" s="13"/>
      <c r="F6" s="13"/>
      <c r="I6" s="1" t="s">
        <v>52</v>
      </c>
    </row>
    <row r="7" spans="1:13" x14ac:dyDescent="0.3">
      <c r="A7" s="2" t="s">
        <v>2</v>
      </c>
      <c r="B7" s="2" t="s">
        <v>3</v>
      </c>
      <c r="C7" s="2" t="s">
        <v>10</v>
      </c>
      <c r="D7" s="2" t="s">
        <v>48</v>
      </c>
      <c r="E7" s="6" t="s">
        <v>49</v>
      </c>
      <c r="F7" s="6" t="s">
        <v>13</v>
      </c>
      <c r="G7" s="2" t="s">
        <v>44</v>
      </c>
      <c r="H7"/>
      <c r="I7" s="21" t="s">
        <v>73</v>
      </c>
      <c r="J7" s="22"/>
      <c r="K7" s="22"/>
      <c r="L7"/>
    </row>
    <row r="8" spans="1:13" x14ac:dyDescent="0.3">
      <c r="A8" s="12"/>
      <c r="B8" s="2" t="s">
        <v>4</v>
      </c>
      <c r="C8" s="2"/>
      <c r="D8" s="2"/>
      <c r="E8" s="6">
        <f>(C8/450)+1</f>
        <v>1</v>
      </c>
      <c r="F8" s="14">
        <f>E8+E9</f>
        <v>1</v>
      </c>
      <c r="G8" s="2"/>
      <c r="H8"/>
      <c r="I8"/>
      <c r="J8"/>
      <c r="K8"/>
      <c r="L8" s="4" t="s">
        <v>50</v>
      </c>
      <c r="M8" s="19" t="s">
        <v>64</v>
      </c>
    </row>
    <row r="9" spans="1:13" x14ac:dyDescent="0.3">
      <c r="A9" s="12"/>
      <c r="B9" s="2" t="s">
        <v>5</v>
      </c>
      <c r="C9" s="2"/>
      <c r="D9" s="2">
        <v>2400</v>
      </c>
      <c r="E9" s="6">
        <f>(C9/D9)*2</f>
        <v>0</v>
      </c>
      <c r="F9" s="14"/>
      <c r="G9" s="2"/>
      <c r="H9"/>
      <c r="I9"/>
      <c r="J9"/>
      <c r="K9" t="s">
        <v>83</v>
      </c>
      <c r="L9" s="4">
        <v>2400</v>
      </c>
      <c r="M9" s="19">
        <v>20</v>
      </c>
    </row>
    <row r="10" spans="1:13" x14ac:dyDescent="0.3">
      <c r="A10" s="12"/>
      <c r="B10" s="2" t="s">
        <v>6</v>
      </c>
      <c r="C10" s="2"/>
      <c r="D10" s="2"/>
      <c r="E10" s="6">
        <f t="shared" ref="E10" si="0">(C10/450)+1</f>
        <v>1</v>
      </c>
      <c r="F10" s="14">
        <f t="shared" ref="F10" si="1">E10+E11</f>
        <v>1</v>
      </c>
      <c r="G10" s="2"/>
      <c r="H10"/>
      <c r="I10"/>
      <c r="J10"/>
      <c r="K10" t="s">
        <v>84</v>
      </c>
      <c r="L10" s="4">
        <v>2700</v>
      </c>
      <c r="M10" s="19">
        <v>20</v>
      </c>
    </row>
    <row r="11" spans="1:13" x14ac:dyDescent="0.3">
      <c r="A11" s="12"/>
      <c r="B11" s="2" t="s">
        <v>7</v>
      </c>
      <c r="C11" s="2"/>
      <c r="D11" s="2">
        <v>2400</v>
      </c>
      <c r="E11" s="6">
        <f t="shared" ref="E11" si="2">(C11/D11)*2</f>
        <v>0</v>
      </c>
      <c r="F11" s="14"/>
      <c r="G11" s="2"/>
      <c r="H11"/>
      <c r="I11"/>
      <c r="J11"/>
      <c r="K11" t="s">
        <v>85</v>
      </c>
      <c r="L11" s="4">
        <v>3000</v>
      </c>
      <c r="M11" s="19">
        <v>20</v>
      </c>
    </row>
    <row r="12" spans="1:13" x14ac:dyDescent="0.3">
      <c r="A12" s="12"/>
      <c r="B12" s="2" t="s">
        <v>8</v>
      </c>
      <c r="C12" s="2"/>
      <c r="D12" s="2"/>
      <c r="E12" s="6">
        <f t="shared" ref="E12" si="3">(C12/450)+1</f>
        <v>1</v>
      </c>
      <c r="F12" s="14">
        <f t="shared" ref="F12" si="4">E12+E13</f>
        <v>1</v>
      </c>
      <c r="G12" s="2"/>
      <c r="H12"/>
      <c r="I12"/>
      <c r="J12"/>
      <c r="K12" t="s">
        <v>86</v>
      </c>
      <c r="L12" s="17">
        <v>3600</v>
      </c>
      <c r="M12" s="20">
        <v>12</v>
      </c>
    </row>
    <row r="13" spans="1:13" x14ac:dyDescent="0.3">
      <c r="A13" s="12"/>
      <c r="B13" s="2" t="s">
        <v>9</v>
      </c>
      <c r="C13" s="2"/>
      <c r="D13" s="2">
        <v>2400</v>
      </c>
      <c r="E13" s="6">
        <f t="shared" ref="E13" si="5">(C13/D13)*2</f>
        <v>0</v>
      </c>
      <c r="F13" s="14"/>
      <c r="G13" s="2"/>
      <c r="H13"/>
      <c r="I13"/>
      <c r="J13"/>
      <c r="K13"/>
      <c r="L13"/>
    </row>
    <row r="14" spans="1:13" x14ac:dyDescent="0.3">
      <c r="A14" s="12"/>
      <c r="B14" s="2" t="s">
        <v>12</v>
      </c>
      <c r="C14" s="2"/>
      <c r="D14" s="2"/>
      <c r="E14" s="6">
        <f t="shared" ref="E14" si="6">(C14/450)+1</f>
        <v>1</v>
      </c>
      <c r="F14" s="14">
        <f t="shared" ref="F14" si="7">E14+E15</f>
        <v>1</v>
      </c>
      <c r="G14" s="2"/>
      <c r="H14"/>
      <c r="I14"/>
      <c r="J14"/>
      <c r="K14"/>
      <c r="L14"/>
    </row>
    <row r="15" spans="1:13" x14ac:dyDescent="0.3">
      <c r="A15" s="12"/>
      <c r="B15" s="2" t="s">
        <v>11</v>
      </c>
      <c r="C15" s="2"/>
      <c r="D15" s="2">
        <v>2400</v>
      </c>
      <c r="E15" s="6">
        <f t="shared" ref="E15" si="8">(C15/D15)*2</f>
        <v>0</v>
      </c>
      <c r="F15" s="14"/>
      <c r="G15" s="2"/>
      <c r="H15"/>
      <c r="I15"/>
      <c r="J15"/>
      <c r="K15"/>
      <c r="L15"/>
    </row>
    <row r="16" spans="1:13" x14ac:dyDescent="0.3">
      <c r="A16" s="2" t="s">
        <v>13</v>
      </c>
      <c r="B16" s="2"/>
      <c r="C16" s="2"/>
      <c r="D16" s="2"/>
      <c r="E16" s="6"/>
      <c r="F16" s="6">
        <f>SUM(F8:F15)</f>
        <v>4</v>
      </c>
      <c r="G16" s="2">
        <f>F16/20</f>
        <v>0.2</v>
      </c>
      <c r="H16"/>
      <c r="I16"/>
      <c r="J16"/>
      <c r="K16"/>
      <c r="L16"/>
    </row>
    <row r="21" spans="1:11" x14ac:dyDescent="0.3">
      <c r="K21" s="1" t="s">
        <v>87</v>
      </c>
    </row>
    <row r="22" spans="1:11" ht="23.25" x14ac:dyDescent="0.3">
      <c r="A22" s="16" t="s">
        <v>70</v>
      </c>
      <c r="B22" s="16"/>
      <c r="C22" s="16"/>
      <c r="D22" s="16"/>
      <c r="E22" s="16"/>
      <c r="F22" s="16"/>
      <c r="K22" s="1" t="s">
        <v>72</v>
      </c>
    </row>
    <row r="23" spans="1:11" ht="18" x14ac:dyDescent="0.3">
      <c r="A23" s="2" t="s">
        <v>14</v>
      </c>
      <c r="B23" s="2" t="s">
        <v>15</v>
      </c>
      <c r="C23" s="2" t="s">
        <v>43</v>
      </c>
      <c r="D23" s="2" t="s">
        <v>25</v>
      </c>
      <c r="E23" s="6" t="s">
        <v>21</v>
      </c>
      <c r="F23" s="6" t="s">
        <v>22</v>
      </c>
      <c r="G23" s="2" t="s">
        <v>20</v>
      </c>
      <c r="K23" s="1" t="s">
        <v>71</v>
      </c>
    </row>
    <row r="24" spans="1:11" ht="18" x14ac:dyDescent="0.3">
      <c r="A24" s="12"/>
      <c r="B24" s="2" t="s">
        <v>16</v>
      </c>
      <c r="C24" s="2"/>
      <c r="D24" s="2"/>
      <c r="E24" s="7">
        <f>C24*D24</f>
        <v>0</v>
      </c>
      <c r="F24" s="6">
        <f>E24/1.62</f>
        <v>0</v>
      </c>
      <c r="G24" s="2">
        <f>ROUNDUP(F24,0)</f>
        <v>0</v>
      </c>
    </row>
    <row r="25" spans="1:11" ht="18" x14ac:dyDescent="0.3">
      <c r="A25" s="12"/>
      <c r="B25" s="2" t="s">
        <v>17</v>
      </c>
      <c r="C25" s="2"/>
      <c r="D25" s="2"/>
      <c r="E25" s="7">
        <f>C25*D25</f>
        <v>0</v>
      </c>
      <c r="F25" s="6">
        <f t="shared" ref="F25:F27" si="9">E25/1.62</f>
        <v>0</v>
      </c>
      <c r="G25" s="2">
        <f t="shared" ref="G25:G27" si="10">ROUNDUP(F25,0)</f>
        <v>0</v>
      </c>
    </row>
    <row r="26" spans="1:11" ht="18" x14ac:dyDescent="0.3">
      <c r="A26" s="12"/>
      <c r="B26" s="2" t="s">
        <v>18</v>
      </c>
      <c r="C26" s="2"/>
      <c r="D26" s="2"/>
      <c r="E26" s="7">
        <f>C26*D26</f>
        <v>0</v>
      </c>
      <c r="F26" s="6">
        <f t="shared" si="9"/>
        <v>0</v>
      </c>
      <c r="G26" s="2">
        <f t="shared" si="10"/>
        <v>0</v>
      </c>
    </row>
    <row r="27" spans="1:11" ht="18" x14ac:dyDescent="0.3">
      <c r="A27" s="12"/>
      <c r="B27" s="2" t="s">
        <v>19</v>
      </c>
      <c r="C27" s="2"/>
      <c r="D27" s="2"/>
      <c r="E27" s="7">
        <f>C27*D27</f>
        <v>0</v>
      </c>
      <c r="F27" s="6">
        <f t="shared" si="9"/>
        <v>0</v>
      </c>
      <c r="G27" s="2">
        <f t="shared" si="10"/>
        <v>0</v>
      </c>
    </row>
    <row r="28" spans="1:11" x14ac:dyDescent="0.3">
      <c r="A28" s="2" t="s">
        <v>23</v>
      </c>
      <c r="B28" s="2"/>
      <c r="C28" s="2"/>
      <c r="D28" s="2"/>
      <c r="E28" s="6"/>
      <c r="F28" s="6"/>
      <c r="G28" s="2">
        <f>SUM(G24:G27)</f>
        <v>0</v>
      </c>
    </row>
    <row r="33" spans="1:11" ht="20.25" x14ac:dyDescent="0.3">
      <c r="A33" s="15" t="s">
        <v>28</v>
      </c>
      <c r="B33" s="15"/>
      <c r="C33" s="15"/>
      <c r="D33" s="15"/>
      <c r="E33" s="15"/>
      <c r="F33" s="15"/>
      <c r="G33" s="5"/>
      <c r="K33" s="1" t="s">
        <v>88</v>
      </c>
    </row>
    <row r="34" spans="1:11" ht="18" x14ac:dyDescent="0.3">
      <c r="A34" s="2" t="s">
        <v>14</v>
      </c>
      <c r="B34" s="2" t="s">
        <v>15</v>
      </c>
      <c r="C34" s="2" t="s">
        <v>24</v>
      </c>
      <c r="D34" s="2" t="s">
        <v>25</v>
      </c>
      <c r="E34" s="6" t="s">
        <v>21</v>
      </c>
      <c r="F34" s="6" t="s">
        <v>26</v>
      </c>
      <c r="H34" s="1" t="s">
        <v>60</v>
      </c>
    </row>
    <row r="35" spans="1:11" x14ac:dyDescent="0.3">
      <c r="A35" s="12"/>
      <c r="B35" s="2" t="s">
        <v>16</v>
      </c>
      <c r="C35" s="2"/>
      <c r="D35" s="2"/>
      <c r="E35" s="6">
        <f>C35*D35</f>
        <v>0</v>
      </c>
      <c r="F35" s="6">
        <f>E35/2.88</f>
        <v>0</v>
      </c>
    </row>
    <row r="36" spans="1:11" x14ac:dyDescent="0.3">
      <c r="A36" s="12"/>
      <c r="B36" s="2" t="s">
        <v>17</v>
      </c>
      <c r="C36" s="2"/>
      <c r="D36" s="2"/>
      <c r="E36" s="6">
        <f>C36*D36</f>
        <v>0</v>
      </c>
      <c r="F36" s="6">
        <f t="shared" ref="F36:F38" si="11">E36/2.88</f>
        <v>0</v>
      </c>
    </row>
    <row r="37" spans="1:11" x14ac:dyDescent="0.3">
      <c r="A37" s="12"/>
      <c r="B37" s="2" t="s">
        <v>18</v>
      </c>
      <c r="C37" s="2"/>
      <c r="D37" s="2"/>
      <c r="E37" s="6">
        <f>C37*D37</f>
        <v>0</v>
      </c>
      <c r="F37" s="6">
        <f t="shared" si="11"/>
        <v>0</v>
      </c>
    </row>
    <row r="38" spans="1:11" x14ac:dyDescent="0.3">
      <c r="A38" s="12"/>
      <c r="B38" s="2" t="s">
        <v>19</v>
      </c>
      <c r="C38" s="2"/>
      <c r="D38" s="2"/>
      <c r="E38" s="6">
        <f>C38*D38</f>
        <v>0</v>
      </c>
      <c r="F38" s="6">
        <f t="shared" si="11"/>
        <v>0</v>
      </c>
    </row>
    <row r="39" spans="1:11" x14ac:dyDescent="0.3">
      <c r="A39" s="2" t="s">
        <v>13</v>
      </c>
      <c r="B39" s="2"/>
      <c r="C39" s="2"/>
      <c r="D39" s="2"/>
      <c r="E39" s="6"/>
      <c r="F39" s="6">
        <f>SUM(F35:F38)</f>
        <v>0</v>
      </c>
    </row>
    <row r="45" spans="1:11" ht="20.25" x14ac:dyDescent="0.3">
      <c r="A45" s="13" t="s">
        <v>27</v>
      </c>
      <c r="B45" s="13"/>
      <c r="C45" s="13"/>
      <c r="D45" s="13"/>
      <c r="E45" s="13"/>
      <c r="F45" s="13"/>
      <c r="G45" s="5"/>
      <c r="J45" s="1" t="s">
        <v>29</v>
      </c>
    </row>
    <row r="46" spans="1:11" x14ac:dyDescent="0.3">
      <c r="A46" s="2" t="s">
        <v>14</v>
      </c>
      <c r="B46" s="2" t="s">
        <v>15</v>
      </c>
      <c r="C46" s="2" t="s">
        <v>30</v>
      </c>
      <c r="D46" s="2" t="s">
        <v>31</v>
      </c>
      <c r="E46" s="6" t="s">
        <v>32</v>
      </c>
      <c r="F46" s="6" t="s">
        <v>33</v>
      </c>
      <c r="K46" s="3" t="s">
        <v>45</v>
      </c>
    </row>
    <row r="47" spans="1:11" x14ac:dyDescent="0.3">
      <c r="A47" s="12"/>
      <c r="B47" s="2" t="s">
        <v>16</v>
      </c>
      <c r="C47" s="2"/>
      <c r="D47" s="2">
        <f>C47/450</f>
        <v>0</v>
      </c>
      <c r="E47" s="6">
        <f>ROUNDUP(D47,0)</f>
        <v>0</v>
      </c>
      <c r="F47" s="6"/>
      <c r="J47" s="1" t="s">
        <v>59</v>
      </c>
    </row>
    <row r="48" spans="1:11" x14ac:dyDescent="0.3">
      <c r="A48" s="12"/>
      <c r="B48" s="2" t="s">
        <v>17</v>
      </c>
      <c r="C48" s="2"/>
      <c r="D48" s="2">
        <f t="shared" ref="D48:D50" si="12">C48/450</f>
        <v>0</v>
      </c>
      <c r="E48" s="6">
        <f>ROUNDUP(D48,0)</f>
        <v>0</v>
      </c>
      <c r="F48" s="10"/>
      <c r="J48" s="1" t="s">
        <v>89</v>
      </c>
    </row>
    <row r="49" spans="1:8" x14ac:dyDescent="0.3">
      <c r="A49" s="12"/>
      <c r="B49" s="2" t="s">
        <v>18</v>
      </c>
      <c r="C49" s="2"/>
      <c r="D49" s="2">
        <f t="shared" si="12"/>
        <v>0</v>
      </c>
      <c r="E49" s="6">
        <f>ROUNDUP(D49,0)</f>
        <v>0</v>
      </c>
      <c r="F49" s="6"/>
    </row>
    <row r="50" spans="1:8" x14ac:dyDescent="0.3">
      <c r="A50" s="12"/>
      <c r="B50" s="2" t="s">
        <v>19</v>
      </c>
      <c r="C50" s="2"/>
      <c r="D50" s="2">
        <f t="shared" si="12"/>
        <v>0</v>
      </c>
      <c r="E50" s="6">
        <f>ROUNDUP(D50,0)</f>
        <v>0</v>
      </c>
      <c r="F50" s="6"/>
    </row>
    <row r="51" spans="1:8" x14ac:dyDescent="0.3">
      <c r="A51" s="2" t="s">
        <v>13</v>
      </c>
      <c r="B51" s="2"/>
      <c r="C51" s="2"/>
      <c r="D51" s="2"/>
      <c r="E51" s="6">
        <f>SUM(E47:E50)</f>
        <v>0</v>
      </c>
      <c r="F51" s="6">
        <f>E51/13</f>
        <v>0</v>
      </c>
    </row>
    <row r="54" spans="1:8" ht="20.25" x14ac:dyDescent="0.3">
      <c r="A54" s="5" t="s">
        <v>74</v>
      </c>
    </row>
    <row r="57" spans="1:8" ht="20.25" x14ac:dyDescent="0.3">
      <c r="A57" s="13" t="s">
        <v>46</v>
      </c>
      <c r="B57" s="13"/>
      <c r="C57" s="13"/>
      <c r="D57" s="13"/>
      <c r="E57" s="13"/>
      <c r="F57" s="13"/>
      <c r="H57" s="1" t="s">
        <v>34</v>
      </c>
    </row>
    <row r="58" spans="1:8" x14ac:dyDescent="0.3">
      <c r="A58" s="2" t="s">
        <v>14</v>
      </c>
      <c r="B58" s="2" t="s">
        <v>15</v>
      </c>
      <c r="C58" s="2" t="s">
        <v>30</v>
      </c>
      <c r="D58" s="2" t="s">
        <v>35</v>
      </c>
      <c r="E58" s="6" t="s">
        <v>20</v>
      </c>
    </row>
    <row r="59" spans="1:8" x14ac:dyDescent="0.3">
      <c r="A59" s="12"/>
      <c r="B59" s="2" t="s">
        <v>16</v>
      </c>
      <c r="C59" s="2"/>
      <c r="D59" s="2">
        <f>C59/2400</f>
        <v>0</v>
      </c>
      <c r="E59" s="6">
        <f>ROUNDUP(D59,0)</f>
        <v>0</v>
      </c>
    </row>
    <row r="60" spans="1:8" x14ac:dyDescent="0.3">
      <c r="A60" s="12"/>
      <c r="B60" s="2" t="s">
        <v>17</v>
      </c>
      <c r="C60" s="2"/>
      <c r="D60" s="2">
        <f t="shared" ref="D60:D62" si="13">C60/2400</f>
        <v>0</v>
      </c>
      <c r="E60" s="6">
        <f>ROUNDUP(D60,0)</f>
        <v>0</v>
      </c>
    </row>
    <row r="61" spans="1:8" x14ac:dyDescent="0.3">
      <c r="A61" s="12"/>
      <c r="B61" s="2" t="s">
        <v>18</v>
      </c>
      <c r="C61" s="2"/>
      <c r="D61" s="2">
        <f t="shared" si="13"/>
        <v>0</v>
      </c>
      <c r="E61" s="6">
        <f>ROUNDUP(D61,0)</f>
        <v>0</v>
      </c>
    </row>
    <row r="62" spans="1:8" x14ac:dyDescent="0.3">
      <c r="A62" s="12"/>
      <c r="B62" s="2" t="s">
        <v>19</v>
      </c>
      <c r="C62" s="2"/>
      <c r="D62" s="2">
        <f t="shared" si="13"/>
        <v>0</v>
      </c>
      <c r="E62" s="6">
        <f>ROUNDUP(D62,0)</f>
        <v>0</v>
      </c>
    </row>
    <row r="63" spans="1:8" x14ac:dyDescent="0.3">
      <c r="A63" s="2" t="s">
        <v>23</v>
      </c>
      <c r="B63" s="2"/>
      <c r="C63" s="2"/>
      <c r="D63" s="2"/>
      <c r="E63" s="23">
        <f>SUM(E59:E62)</f>
        <v>0</v>
      </c>
    </row>
    <row r="68" spans="1:8" ht="20.25" x14ac:dyDescent="0.3">
      <c r="A68" s="13" t="s">
        <v>36</v>
      </c>
      <c r="B68" s="13"/>
      <c r="C68" s="13"/>
      <c r="D68" s="13"/>
      <c r="E68" s="13"/>
      <c r="F68" s="13"/>
      <c r="H68" s="1" t="s">
        <v>37</v>
      </c>
    </row>
    <row r="69" spans="1:8" x14ac:dyDescent="0.3">
      <c r="A69" s="2" t="s">
        <v>14</v>
      </c>
      <c r="B69" s="2" t="s">
        <v>15</v>
      </c>
      <c r="C69" s="2" t="s">
        <v>38</v>
      </c>
      <c r="D69" s="2" t="s">
        <v>39</v>
      </c>
      <c r="E69" s="6" t="s">
        <v>51</v>
      </c>
      <c r="F69" s="10"/>
      <c r="H69" s="3" t="s">
        <v>47</v>
      </c>
    </row>
    <row r="70" spans="1:8" x14ac:dyDescent="0.3">
      <c r="A70" s="12">
        <v>101</v>
      </c>
      <c r="B70" s="2" t="s">
        <v>16</v>
      </c>
      <c r="C70" s="2"/>
      <c r="D70" s="2">
        <f t="shared" ref="D70:D73" si="14">C70*0.3025</f>
        <v>0</v>
      </c>
      <c r="E70" s="6"/>
      <c r="F70" s="10"/>
      <c r="G70" s="18" t="s">
        <v>53</v>
      </c>
      <c r="H70" s="18"/>
    </row>
    <row r="71" spans="1:8" x14ac:dyDescent="0.3">
      <c r="A71" s="12"/>
      <c r="B71" s="2" t="s">
        <v>17</v>
      </c>
      <c r="C71" s="2"/>
      <c r="D71" s="2">
        <f t="shared" si="14"/>
        <v>0</v>
      </c>
      <c r="E71" s="6"/>
      <c r="F71" s="10"/>
    </row>
    <row r="72" spans="1:8" x14ac:dyDescent="0.3">
      <c r="A72" s="12"/>
      <c r="B72" s="2" t="s">
        <v>18</v>
      </c>
      <c r="C72" s="2"/>
      <c r="D72" s="2">
        <f t="shared" si="14"/>
        <v>0</v>
      </c>
      <c r="E72" s="6"/>
      <c r="F72" s="10"/>
    </row>
    <row r="73" spans="1:8" x14ac:dyDescent="0.3">
      <c r="A73" s="12"/>
      <c r="B73" s="2" t="s">
        <v>19</v>
      </c>
      <c r="C73" s="2"/>
      <c r="D73" s="2">
        <f t="shared" si="14"/>
        <v>0</v>
      </c>
      <c r="E73" s="6"/>
      <c r="F73" s="10"/>
    </row>
    <row r="74" spans="1:8" x14ac:dyDescent="0.3">
      <c r="A74" s="2" t="s">
        <v>23</v>
      </c>
      <c r="B74" s="2"/>
      <c r="C74" s="2"/>
      <c r="D74" s="2">
        <f>SUM(D70:D73)</f>
        <v>0</v>
      </c>
      <c r="E74" s="23">
        <f>D74/5</f>
        <v>0</v>
      </c>
      <c r="F74" s="10"/>
    </row>
    <row r="77" spans="1:8" ht="20.25" x14ac:dyDescent="0.3">
      <c r="A77" s="5" t="s">
        <v>75</v>
      </c>
    </row>
    <row r="80" spans="1:8" ht="20.25" x14ac:dyDescent="0.3">
      <c r="A80" s="13" t="s">
        <v>40</v>
      </c>
      <c r="B80" s="13"/>
      <c r="C80" s="13"/>
      <c r="D80" s="13"/>
      <c r="E80" s="13"/>
      <c r="H80" s="1" t="s">
        <v>41</v>
      </c>
    </row>
    <row r="81" spans="1:5" x14ac:dyDescent="0.3">
      <c r="A81" s="1" t="s">
        <v>40</v>
      </c>
      <c r="B81" s="1" t="s">
        <v>42</v>
      </c>
    </row>
    <row r="82" spans="1:5" x14ac:dyDescent="0.3">
      <c r="A82" s="2" t="s">
        <v>65</v>
      </c>
      <c r="B82" s="2" t="s">
        <v>66</v>
      </c>
      <c r="C82" s="2" t="s">
        <v>67</v>
      </c>
      <c r="D82" s="2" t="s">
        <v>68</v>
      </c>
      <c r="E82" s="6" t="s">
        <v>69</v>
      </c>
    </row>
    <row r="83" spans="1:5" x14ac:dyDescent="0.3">
      <c r="A83" s="2"/>
      <c r="B83" s="2"/>
      <c r="C83" s="2"/>
      <c r="D83" s="2"/>
      <c r="E83" s="6">
        <f>C83*D83</f>
        <v>0</v>
      </c>
    </row>
    <row r="84" spans="1:5" x14ac:dyDescent="0.3">
      <c r="A84" s="2"/>
      <c r="B84" s="2"/>
      <c r="C84" s="2"/>
      <c r="D84" s="2"/>
      <c r="E84" s="6">
        <f t="shared" ref="E84:E86" si="15">C84*D84</f>
        <v>0</v>
      </c>
    </row>
    <row r="85" spans="1:5" x14ac:dyDescent="0.3">
      <c r="A85" s="2"/>
      <c r="B85" s="2"/>
      <c r="C85" s="2"/>
      <c r="D85" s="2"/>
      <c r="E85" s="6">
        <f t="shared" si="15"/>
        <v>0</v>
      </c>
    </row>
    <row r="86" spans="1:5" x14ac:dyDescent="0.3">
      <c r="A86" s="2"/>
      <c r="B86" s="2"/>
      <c r="C86" s="2"/>
      <c r="D86" s="2"/>
      <c r="E86" s="6">
        <f t="shared" si="15"/>
        <v>0</v>
      </c>
    </row>
    <row r="93" spans="1:5" ht="16.5" customHeight="1" x14ac:dyDescent="0.3">
      <c r="A93" s="13" t="s">
        <v>54</v>
      </c>
      <c r="B93" s="13"/>
      <c r="C93" s="13"/>
      <c r="D93" s="13"/>
      <c r="E93" s="13"/>
    </row>
    <row r="94" spans="1:5" ht="33" x14ac:dyDescent="0.3">
      <c r="B94" s="2" t="s">
        <v>14</v>
      </c>
      <c r="C94" s="2" t="s">
        <v>55</v>
      </c>
      <c r="D94" s="9" t="s">
        <v>56</v>
      </c>
      <c r="E94" s="6" t="s">
        <v>63</v>
      </c>
    </row>
    <row r="95" spans="1:5" x14ac:dyDescent="0.3">
      <c r="B95" s="12" t="s">
        <v>61</v>
      </c>
      <c r="C95" s="2"/>
      <c r="D95" s="2">
        <f>C95/1.44</f>
        <v>0</v>
      </c>
      <c r="E95" s="14">
        <f>SUM(D95:D104)</f>
        <v>0</v>
      </c>
    </row>
    <row r="96" spans="1:5" x14ac:dyDescent="0.3">
      <c r="B96" s="12"/>
      <c r="C96" s="2"/>
      <c r="D96" s="2">
        <f t="shared" ref="D96:D105" si="16">C96/1.44</f>
        <v>0</v>
      </c>
      <c r="E96" s="14"/>
    </row>
    <row r="97" spans="1:13" x14ac:dyDescent="0.3">
      <c r="B97" s="12"/>
      <c r="C97" s="2"/>
      <c r="D97" s="2">
        <f t="shared" si="16"/>
        <v>0</v>
      </c>
      <c r="E97" s="14"/>
    </row>
    <row r="98" spans="1:13" x14ac:dyDescent="0.3">
      <c r="B98" s="12"/>
      <c r="C98" s="2"/>
      <c r="D98" s="2">
        <f t="shared" si="16"/>
        <v>0</v>
      </c>
      <c r="E98" s="14"/>
    </row>
    <row r="99" spans="1:13" x14ac:dyDescent="0.3">
      <c r="B99" s="12"/>
      <c r="C99" s="2"/>
      <c r="D99" s="2">
        <f t="shared" si="16"/>
        <v>0</v>
      </c>
      <c r="E99" s="14"/>
    </row>
    <row r="100" spans="1:13" x14ac:dyDescent="0.3">
      <c r="B100" s="12"/>
      <c r="C100" s="2"/>
      <c r="D100" s="2">
        <f t="shared" si="16"/>
        <v>0</v>
      </c>
      <c r="E100" s="14"/>
    </row>
    <row r="101" spans="1:13" x14ac:dyDescent="0.3">
      <c r="B101" s="12"/>
      <c r="C101" s="2"/>
      <c r="D101" s="2">
        <f t="shared" si="16"/>
        <v>0</v>
      </c>
      <c r="E101" s="14"/>
    </row>
    <row r="102" spans="1:13" x14ac:dyDescent="0.3">
      <c r="B102" s="12"/>
      <c r="C102" s="2"/>
      <c r="D102" s="2">
        <f t="shared" si="16"/>
        <v>0</v>
      </c>
      <c r="E102" s="14"/>
    </row>
    <row r="103" spans="1:13" x14ac:dyDescent="0.3">
      <c r="B103" s="12"/>
      <c r="C103" s="2"/>
      <c r="D103" s="2">
        <f t="shared" si="16"/>
        <v>0</v>
      </c>
      <c r="E103" s="14"/>
    </row>
    <row r="104" spans="1:13" x14ac:dyDescent="0.3">
      <c r="B104" s="12"/>
      <c r="C104" s="2"/>
      <c r="D104" s="2">
        <f t="shared" si="16"/>
        <v>0</v>
      </c>
      <c r="E104" s="14"/>
    </row>
    <row r="105" spans="1:13" x14ac:dyDescent="0.3">
      <c r="B105" s="2" t="s">
        <v>62</v>
      </c>
      <c r="C105" s="2"/>
      <c r="D105" s="2">
        <f t="shared" si="16"/>
        <v>0</v>
      </c>
      <c r="E105" s="6">
        <v>8</v>
      </c>
    </row>
    <row r="106" spans="1:13" x14ac:dyDescent="0.3">
      <c r="B106" s="2" t="s">
        <v>13</v>
      </c>
      <c r="C106" s="2"/>
      <c r="D106" s="2">
        <f>SUM(D95:D105)</f>
        <v>0</v>
      </c>
      <c r="E106" s="6"/>
    </row>
    <row r="111" spans="1:13" ht="20.25" x14ac:dyDescent="0.3">
      <c r="A111" s="13" t="s">
        <v>57</v>
      </c>
      <c r="B111" s="13"/>
      <c r="C111" s="13"/>
      <c r="D111" s="13"/>
      <c r="G111" s="1" t="s">
        <v>90</v>
      </c>
    </row>
    <row r="112" spans="1:13" ht="33" x14ac:dyDescent="0.3">
      <c r="A112" s="24"/>
      <c r="B112" s="26" t="s">
        <v>14</v>
      </c>
      <c r="C112" s="26" t="s">
        <v>55</v>
      </c>
      <c r="D112" s="27" t="s">
        <v>58</v>
      </c>
      <c r="E112" s="25"/>
      <c r="G112" s="1" t="s">
        <v>91</v>
      </c>
      <c r="I112" s="2" t="s">
        <v>14</v>
      </c>
      <c r="J112" s="2" t="s">
        <v>93</v>
      </c>
      <c r="K112" s="19" t="s">
        <v>94</v>
      </c>
      <c r="L112" s="9" t="s">
        <v>13</v>
      </c>
      <c r="M112" s="19" t="s">
        <v>95</v>
      </c>
    </row>
    <row r="113" spans="1:13" x14ac:dyDescent="0.3">
      <c r="A113" s="24"/>
      <c r="B113" s="26"/>
      <c r="C113" s="26"/>
      <c r="D113" s="26">
        <f>C113/3.24</f>
        <v>0</v>
      </c>
      <c r="E113" s="25"/>
      <c r="G113" s="1" t="s">
        <v>92</v>
      </c>
      <c r="I113" s="2"/>
      <c r="J113" s="2"/>
      <c r="K113" s="19"/>
      <c r="L113" s="2">
        <f>J113*K113</f>
        <v>0</v>
      </c>
      <c r="M113" s="19">
        <f>L113/16</f>
        <v>0</v>
      </c>
    </row>
    <row r="114" spans="1:13" x14ac:dyDescent="0.3">
      <c r="A114" s="24"/>
      <c r="B114" s="26"/>
      <c r="C114" s="26"/>
      <c r="D114" s="26">
        <f t="shared" ref="D114:D116" si="17">C114/3.24</f>
        <v>0</v>
      </c>
      <c r="E114" s="25"/>
      <c r="I114" s="2"/>
      <c r="J114" s="2"/>
      <c r="K114" s="19"/>
      <c r="L114" s="2">
        <f t="shared" ref="L114:L116" si="18">J114*K114</f>
        <v>0</v>
      </c>
      <c r="M114" s="19">
        <f t="shared" ref="M114:M116" si="19">L114/16</f>
        <v>0</v>
      </c>
    </row>
    <row r="115" spans="1:13" x14ac:dyDescent="0.3">
      <c r="A115" s="24"/>
      <c r="B115" s="26"/>
      <c r="C115" s="26"/>
      <c r="D115" s="26">
        <f t="shared" si="17"/>
        <v>0</v>
      </c>
      <c r="E115" s="25"/>
      <c r="I115" s="2"/>
      <c r="J115" s="2"/>
      <c r="K115" s="19"/>
      <c r="L115" s="2">
        <f t="shared" si="18"/>
        <v>0</v>
      </c>
      <c r="M115" s="19">
        <f t="shared" si="19"/>
        <v>0</v>
      </c>
    </row>
    <row r="116" spans="1:13" x14ac:dyDescent="0.3">
      <c r="A116" s="24"/>
      <c r="B116" s="26"/>
      <c r="C116" s="26"/>
      <c r="D116" s="26">
        <f t="shared" si="17"/>
        <v>0</v>
      </c>
      <c r="E116" s="25"/>
      <c r="I116" s="2"/>
      <c r="J116" s="2"/>
      <c r="K116" s="19"/>
      <c r="L116" s="2">
        <f t="shared" si="18"/>
        <v>0</v>
      </c>
      <c r="M116" s="19">
        <f t="shared" si="19"/>
        <v>0</v>
      </c>
    </row>
    <row r="117" spans="1:13" x14ac:dyDescent="0.3">
      <c r="A117" s="24"/>
      <c r="B117" s="26" t="s">
        <v>13</v>
      </c>
      <c r="C117" s="26"/>
      <c r="D117" s="26">
        <f>SUM(D113:D116)</f>
        <v>0</v>
      </c>
      <c r="E117" s="25"/>
      <c r="I117" s="2" t="s">
        <v>13</v>
      </c>
      <c r="J117" s="2"/>
      <c r="K117" s="19"/>
      <c r="L117" s="2">
        <f>SUM(L113:L116)</f>
        <v>0</v>
      </c>
      <c r="M117" s="19">
        <f>SUM(M113:M116)</f>
        <v>0</v>
      </c>
    </row>
    <row r="118" spans="1:13" x14ac:dyDescent="0.3">
      <c r="A118" s="24"/>
      <c r="B118" s="24"/>
      <c r="C118" s="24"/>
      <c r="D118" s="24"/>
      <c r="E118" s="25"/>
    </row>
    <row r="120" spans="1:13" ht="20.25" x14ac:dyDescent="0.3">
      <c r="B120" s="5" t="s">
        <v>76</v>
      </c>
    </row>
    <row r="121" spans="1:13" x14ac:dyDescent="0.3">
      <c r="B121" s="2" t="s">
        <v>77</v>
      </c>
      <c r="C121" s="2" t="s">
        <v>78</v>
      </c>
      <c r="D121" s="2" t="s">
        <v>79</v>
      </c>
      <c r="E121" s="6" t="s">
        <v>80</v>
      </c>
    </row>
    <row r="122" spans="1:13" x14ac:dyDescent="0.3">
      <c r="B122" s="2"/>
      <c r="C122" s="2"/>
      <c r="D122" s="2"/>
      <c r="E122" s="6"/>
    </row>
    <row r="123" spans="1:13" x14ac:dyDescent="0.3">
      <c r="B123" s="2"/>
      <c r="C123" s="2"/>
      <c r="D123" s="2"/>
      <c r="E123" s="6"/>
    </row>
    <row r="124" spans="1:13" x14ac:dyDescent="0.3">
      <c r="B124" s="2"/>
      <c r="C124" s="2"/>
      <c r="D124" s="2"/>
      <c r="E124" s="6"/>
    </row>
    <row r="127" spans="1:13" ht="20.25" x14ac:dyDescent="0.3">
      <c r="B127" s="5" t="s">
        <v>81</v>
      </c>
      <c r="D127" s="1" t="s">
        <v>82</v>
      </c>
    </row>
  </sheetData>
  <mergeCells count="22">
    <mergeCell ref="A111:D111"/>
    <mergeCell ref="A2:G2"/>
    <mergeCell ref="A33:F33"/>
    <mergeCell ref="F14:F15"/>
    <mergeCell ref="A8:A15"/>
    <mergeCell ref="A45:F45"/>
    <mergeCell ref="A80:E80"/>
    <mergeCell ref="A93:E93"/>
    <mergeCell ref="B95:B104"/>
    <mergeCell ref="E95:E104"/>
    <mergeCell ref="A70:A73"/>
    <mergeCell ref="A68:F68"/>
    <mergeCell ref="A6:F6"/>
    <mergeCell ref="A24:A27"/>
    <mergeCell ref="A22:F22"/>
    <mergeCell ref="A35:A38"/>
    <mergeCell ref="A59:A62"/>
    <mergeCell ref="A47:A50"/>
    <mergeCell ref="A57:F57"/>
    <mergeCell ref="F8:F9"/>
    <mergeCell ref="F10:F11"/>
    <mergeCell ref="F12:F13"/>
  </mergeCells>
  <phoneticPr fontId="1" type="noConversion"/>
  <dataValidations disablePrompts="1" count="1">
    <dataValidation type="list" allowBlank="1" showInputMessage="1" showErrorMessage="1" sqref="D9 D11 D13 D15" xr:uid="{BB93EF16-56F2-44B9-BD33-407C125869F3}">
      <formula1>"2400,2700,3000,3600"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소연 이</cp:lastModifiedBy>
  <cp:lastPrinted>2025-08-05T04:11:21Z</cp:lastPrinted>
  <dcterms:created xsi:type="dcterms:W3CDTF">2024-12-03T01:19:49Z</dcterms:created>
  <dcterms:modified xsi:type="dcterms:W3CDTF">2026-04-23T00:34:46Z</dcterms:modified>
</cp:coreProperties>
</file>