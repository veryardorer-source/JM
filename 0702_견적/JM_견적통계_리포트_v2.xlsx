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JM_클로드\0702_견적\"/>
    </mc:Choice>
  </mc:AlternateContent>
  <xr:revisionPtr revIDLastSave="0" documentId="13_ncr:1_{706D7886-E7FC-4B73-A64E-253054F292BF}" xr6:coauthVersionLast="47" xr6:coauthVersionMax="47" xr10:uidLastSave="{00000000-0000-0000-0000-000000000000}"/>
  <bookViews>
    <workbookView xWindow="-28920" yWindow="-1785" windowWidth="29040" windowHeight="15720" activeTab="6" xr2:uid="{00000000-000D-0000-FFFF-FFFF00000000}"/>
  </bookViews>
  <sheets>
    <sheet name="프로젝트별" sheetId="1" r:id="rId1"/>
    <sheet name="평당가(견적총액)" sheetId="2" r:id="rId2"/>
    <sheet name="업종별 평당가" sheetId="3" r:id="rId3"/>
    <sheet name="공종별 통계" sheetId="4" r:id="rId4"/>
    <sheet name="견적 기준" sheetId="5" r:id="rId5"/>
    <sheet name="현장별 손익" sheetId="6" r:id="rId6"/>
    <sheet name="공종별 손익" sheetId="7" r:id="rId7"/>
  </sheets>
  <definedNames>
    <definedName name="_xlnm._FilterDatabase" localSheetId="1" hidden="1">'평당가(견적총액)'!$A$2:$G$50</definedName>
    <definedName name="_xlnm._FilterDatabase" localSheetId="0" hidden="1">프로젝트별!$A$2:$J$92</definedName>
    <definedName name="_xlnm._FilterDatabase" localSheetId="5" hidden="1">'현장별 손익'!$A$2:$G$70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1" i="6" l="1"/>
  <c r="D71" i="6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G57" i="6"/>
  <c r="F57" i="6"/>
  <c r="F56" i="6"/>
  <c r="G56" i="6" s="1"/>
  <c r="F55" i="6"/>
  <c r="G55" i="6" s="1"/>
  <c r="F54" i="6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G16" i="6"/>
  <c r="F16" i="6"/>
  <c r="F15" i="6"/>
  <c r="G15" i="6" s="1"/>
  <c r="G14" i="6"/>
  <c r="F14" i="6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50" i="2"/>
  <c r="F50" i="2"/>
  <c r="G11" i="2"/>
  <c r="F11" i="2"/>
  <c r="G49" i="2"/>
  <c r="F49" i="2"/>
  <c r="G10" i="2"/>
  <c r="F10" i="2"/>
  <c r="G36" i="2"/>
  <c r="F36" i="2"/>
  <c r="G35" i="2"/>
  <c r="F35" i="2"/>
  <c r="G34" i="2"/>
  <c r="F34" i="2"/>
  <c r="G48" i="2"/>
  <c r="F48" i="2"/>
  <c r="G47" i="2"/>
  <c r="F47" i="2"/>
  <c r="G9" i="2"/>
  <c r="F9" i="2"/>
  <c r="G8" i="2"/>
  <c r="F8" i="2"/>
  <c r="G46" i="2"/>
  <c r="F46" i="2"/>
  <c r="G33" i="2"/>
  <c r="F33" i="2"/>
  <c r="G32" i="2"/>
  <c r="F32" i="2"/>
  <c r="G45" i="2"/>
  <c r="F45" i="2"/>
  <c r="G31" i="2"/>
  <c r="F31" i="2"/>
  <c r="G30" i="2"/>
  <c r="F30" i="2"/>
  <c r="G7" i="2"/>
  <c r="F7" i="2"/>
  <c r="G6" i="2"/>
  <c r="F6" i="2"/>
  <c r="G29" i="2"/>
  <c r="F29" i="2"/>
  <c r="G5" i="2"/>
  <c r="F5" i="2"/>
  <c r="G44" i="2"/>
  <c r="F44" i="2"/>
  <c r="G43" i="2"/>
  <c r="F43" i="2"/>
  <c r="G28" i="2"/>
  <c r="F28" i="2"/>
  <c r="G27" i="2"/>
  <c r="F27" i="2"/>
  <c r="G26" i="2"/>
  <c r="F26" i="2"/>
  <c r="G4" i="2"/>
  <c r="F4" i="2"/>
  <c r="G42" i="2"/>
  <c r="F42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41" i="2"/>
  <c r="F41" i="2"/>
  <c r="G40" i="2"/>
  <c r="F40" i="2"/>
  <c r="G39" i="2"/>
  <c r="F39" i="2"/>
  <c r="G18" i="2"/>
  <c r="F18" i="2"/>
  <c r="G17" i="2"/>
  <c r="F17" i="2"/>
  <c r="G16" i="2"/>
  <c r="F16" i="2"/>
  <c r="G15" i="2"/>
  <c r="F15" i="2"/>
  <c r="G14" i="2"/>
  <c r="F14" i="2"/>
  <c r="G38" i="2"/>
  <c r="F38" i="2"/>
  <c r="G37" i="2"/>
  <c r="F37" i="2"/>
  <c r="G13" i="2"/>
  <c r="F13" i="2"/>
  <c r="G3" i="2"/>
  <c r="F3" i="2"/>
  <c r="G12" i="2"/>
  <c r="F12" i="2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71" i="6" l="1"/>
  <c r="G71" i="6" s="1"/>
  <c r="G3" i="6"/>
</calcChain>
</file>

<file path=xl/sharedStrings.xml><?xml version="1.0" encoding="utf-8"?>
<sst xmlns="http://schemas.openxmlformats.org/spreadsheetml/2006/main" count="957" uniqueCount="370">
  <si>
    <t>연도</t>
  </si>
  <si>
    <t>현장명</t>
  </si>
  <si>
    <t>업종</t>
  </si>
  <si>
    <t>구분</t>
  </si>
  <si>
    <t>면적(㎡)</t>
  </si>
  <si>
    <t>평수</t>
  </si>
  <si>
    <t>직접공사비</t>
  </si>
  <si>
    <t>총액(VAT포함)</t>
  </si>
  <si>
    <t>평당 직접비</t>
  </si>
  <si>
    <t>파일명</t>
  </si>
  <si>
    <t>2024년</t>
  </si>
  <si>
    <t>202411_HK대구사업단</t>
  </si>
  <si>
    <t>사무실</t>
  </si>
  <si>
    <t>본공사</t>
  </si>
  <si>
    <t>240911_대구HK금융파트너스(철거포함)-최종본.xlsb</t>
  </si>
  <si>
    <t>202411_HK금융파트너스 대구사업단 안동</t>
  </si>
  <si>
    <t>240911_안동HK금융파트너스-최종본.xlsb</t>
  </si>
  <si>
    <t>202409_문소영수학관리</t>
  </si>
  <si>
    <t>학원/교습소</t>
  </si>
  <si>
    <t>240925_315대로 5층학원(최종본).xlsb</t>
  </si>
  <si>
    <t>202410_현대크랭크 계단,왁스,안내판</t>
  </si>
  <si>
    <t>부분공사/기타</t>
  </si>
  <si>
    <t>241018_HD현대플랭크샤프트(왁스).xlsb</t>
  </si>
  <si>
    <t>202411_진주음악학원</t>
  </si>
  <si>
    <t>241025_진주음악학원-최종본.xlsb</t>
  </si>
  <si>
    <t>202411_현대크랭크 탈의실 샤워실 보수공사</t>
  </si>
  <si>
    <t>241105_HD크랭크샤프트 샤워실 및 탈의실(가구).xls</t>
  </si>
  <si>
    <t>상업/기타</t>
  </si>
  <si>
    <t>241105_HD크랭크샤프트 샤워실 및 탈의실(인테리어).xls</t>
  </si>
  <si>
    <t>202411_부산대학교생명자원과학대학</t>
  </si>
  <si>
    <t>241108_부산대바이오소재학과 가구(제출용).xlsb</t>
  </si>
  <si>
    <t>241108_부산바이오소재과학과인테리어(제출용).xlsb</t>
  </si>
  <si>
    <t>추가공사</t>
  </si>
  <si>
    <t>241111_315대로5층학원(추가공사).xlsb</t>
  </si>
  <si>
    <t>202411_디오오토갤러리</t>
  </si>
  <si>
    <t>241111_디오오토갤러리.xlsb</t>
  </si>
  <si>
    <t>202412_진해교습소</t>
  </si>
  <si>
    <t>241127_진해자은동교습소견적서.xlsb</t>
  </si>
  <si>
    <t>202412_터보링크</t>
  </si>
  <si>
    <t>241209_터보링크(목공사) - 최종본.xlsb</t>
  </si>
  <si>
    <t>202412_북면교습소</t>
  </si>
  <si>
    <t>241210_북면교습소인테리어.xlsx</t>
  </si>
  <si>
    <t>202412_사파동변호사사무실</t>
  </si>
  <si>
    <t>241211_사파동변호사사무실.xlsb</t>
  </si>
  <si>
    <t>241224_진주윤앤오음악학원 추가견적서.xlsb</t>
  </si>
  <si>
    <t>241226_진해자은동교습소 추가견적서.xlsb</t>
  </si>
  <si>
    <t>202412_더 젤 네일샾</t>
  </si>
  <si>
    <t>뷰티/미용</t>
  </si>
  <si>
    <t>241226_합성동뷰티샾(최종본).xlsb</t>
  </si>
  <si>
    <t>202412_블루돌핀어학원</t>
  </si>
  <si>
    <t>250113_에일린의 뜰 404호(블루돌핀)_추가견적서.xlsb</t>
  </si>
  <si>
    <t>2025년</t>
  </si>
  <si>
    <t>250124_지엔티 가구</t>
  </si>
  <si>
    <t>0124_가구견적서.xlsb</t>
  </si>
  <si>
    <t>241227_현대크랭크샤프트가구</t>
  </si>
  <si>
    <t>241227_현대크랭크샤프트 가구-최종본.xlsb</t>
  </si>
  <si>
    <t>202501_라온메디칼 사무실</t>
  </si>
  <si>
    <t>250120_서상동 메디컬사무실.xlsb</t>
  </si>
  <si>
    <t>250124_양산타코야끼</t>
  </si>
  <si>
    <t>식음료</t>
  </si>
  <si>
    <t>250124_양산타꼬야끼_최종본.xlsb</t>
  </si>
  <si>
    <t>250203_양산타꼬야끼 추가공사.xlsb</t>
  </si>
  <si>
    <t>250305_MH에탄올 사무실 2,3층 인테리어</t>
  </si>
  <si>
    <t>250227_에탄올본관(도장가구).xls</t>
  </si>
  <si>
    <t>250306_다구리 109건축(손익표x)</t>
  </si>
  <si>
    <t>250306_다구리 109 -최종본.xls</t>
  </si>
  <si>
    <t>250306_보루(어반브릭스)</t>
  </si>
  <si>
    <t>250306_보루(어반브릭스).xlsb</t>
  </si>
  <si>
    <t>250320_키움에셋플래너</t>
  </si>
  <si>
    <t>250320_키움에셋플래너.xlsb</t>
  </si>
  <si>
    <t>250409_현동네일샵</t>
  </si>
  <si>
    <t>250401_현동네일샵(최봉본).xls</t>
  </si>
  <si>
    <t>250404_밀양 뷰티샵</t>
  </si>
  <si>
    <t>250403_밀양뷰티샵 (최종본).xls</t>
  </si>
  <si>
    <t>250416_정우상가(용호동)뷰티샵</t>
  </si>
  <si>
    <t>250403_정우상가뷰티샵.xls</t>
  </si>
  <si>
    <t>250410_함안뷰티샵</t>
  </si>
  <si>
    <t>250410_함안뷰티샵(최종본).xls</t>
  </si>
  <si>
    <t>250423_경남산소</t>
  </si>
  <si>
    <t>250423_경남산소(최종본).xls</t>
  </si>
  <si>
    <t>250526_진례제일전자공업</t>
  </si>
  <si>
    <t>250502_제일전자전시장(정의석위원님).xlsb</t>
  </si>
  <si>
    <t>250610_진해 이우철 삼계탕</t>
  </si>
  <si>
    <t>250508_진해 이우철누릉지삼계탕(철거제외).xls</t>
  </si>
  <si>
    <t>250529_진해 누릉지삼계탕 추가공사.xlsb</t>
  </si>
  <si>
    <t>250531_경남산소 추가견적서.xlsb</t>
  </si>
  <si>
    <t>250620_구산면 도만카페</t>
  </si>
  <si>
    <t>250603_도만카페 견적서.xlsb</t>
  </si>
  <si>
    <t>250618_이홍열법률사무소</t>
  </si>
  <si>
    <t>250618_이홍렬법률사무소(최종본).xlsb</t>
  </si>
  <si>
    <t>250628_세영테크놀리지</t>
  </si>
  <si>
    <t>250628_(주)세영테크놀리지(최종본).xlsb</t>
  </si>
  <si>
    <t>250708_스포츠가치센터</t>
  </si>
  <si>
    <t>250701_kspo스포츠가치센터 흡연부스 및 휴게공간(최종본).xlsb</t>
  </si>
  <si>
    <t>250707_팔용동사진관</t>
  </si>
  <si>
    <t>250701_팔용동사진관.xlsb</t>
  </si>
  <si>
    <t>250708_HD현대마린엔진</t>
  </si>
  <si>
    <t>250708_HD현대마린엔진 견적서 (공사)-최종본.xlsb</t>
  </si>
  <si>
    <t>250728_ PNU 펜토미노 교육과정 원예생명과학과 강의실 환경개선 공사</t>
  </si>
  <si>
    <t>250726_부산대밀양캠퍼스 원예학과(학과도서실)-최종본.xlsb</t>
  </si>
  <si>
    <t>250802_중동미용실</t>
  </si>
  <si>
    <t>250802_중동미용실(최종본).xlsb</t>
  </si>
  <si>
    <t>250811_진영 HNS 휴게실,온수기</t>
  </si>
  <si>
    <t>250811_진영 HNS 온수기.xlsb</t>
  </si>
  <si>
    <t>250825_진영 HNS 휴게실 .xlsb</t>
  </si>
  <si>
    <t>250829_진해 디아크마린</t>
  </si>
  <si>
    <t>250829_진해 디아크마린 (최종본).xlsb</t>
  </si>
  <si>
    <t>250902_한국산업단지공단(인테리어)</t>
  </si>
  <si>
    <t>250902_한국산업단지공단(인테리어).xlsb</t>
  </si>
  <si>
    <t>250910_법무법인DH</t>
  </si>
  <si>
    <t>250908_DH법무법인.xlsb</t>
  </si>
  <si>
    <t>251001_서경방송</t>
  </si>
  <si>
    <t>250917_서경방송(최종본).xlsb</t>
  </si>
  <si>
    <t>250917_회원동교습소</t>
  </si>
  <si>
    <t>250917_회원동교습소.xlsb</t>
  </si>
  <si>
    <t>251013_내동교습소</t>
  </si>
  <si>
    <t>251013_내동교습소견적서최종본.xlsb</t>
  </si>
  <si>
    <t>251013_동전산단 사무실 부분인테리어</t>
  </si>
  <si>
    <t>251013_동전산단 사무실 부분인테리어.xlsb</t>
  </si>
  <si>
    <t>251017_서경방송추가공사.xlsb</t>
  </si>
  <si>
    <t>251030_에이지로보틱스 경남창조혁신센터 사무실</t>
  </si>
  <si>
    <t>251030_에이지로보틱스 경남창조혁신센터 사무실(최종본).xls</t>
  </si>
  <si>
    <t>251124_나라정보시스템</t>
  </si>
  <si>
    <t>251120_ 시티세븐 나라정보시스템 사무실 (최종본).xlsb</t>
  </si>
  <si>
    <t>251211_현동바버샵</t>
  </si>
  <si>
    <t>251211_현동바버샵.xlsb</t>
  </si>
  <si>
    <t>2026년</t>
  </si>
  <si>
    <t>251225_토킹영어학원</t>
  </si>
  <si>
    <t>2260105_토킹영어학원(최종본).xlsb</t>
  </si>
  <si>
    <t>260116_2025 PNU 펜토미노 융합전공 원예생명과학과 환경개선 공사</t>
  </si>
  <si>
    <t>251224_부산대밀양캠퍼스 원예학과(학과인포메이션).xlsb</t>
  </si>
  <si>
    <t>251225_대상힐스 미용실</t>
  </si>
  <si>
    <t>251225_대상힐스 미용실(최종본).xlsb</t>
  </si>
  <si>
    <t>260206_어반브릭스 기타 학원</t>
  </si>
  <si>
    <t>260202_어반브릭스 기타학원(1316호)-최종본.xlsb</t>
  </si>
  <si>
    <t>260204_현대마린엔진대표실(샷시)</t>
  </si>
  <si>
    <t>260204_현대마린엔진대표실(샷시)_최종본.xlsb</t>
  </si>
  <si>
    <t>260219_RISE 기능성푸드평가 동물조직분석실 교육 환경 개선 공사</t>
  </si>
  <si>
    <t>260209_부산대 바이오소재학과.xlsb</t>
  </si>
  <si>
    <t>260213_감계아내202동605호</t>
  </si>
  <si>
    <t>주거</t>
  </si>
  <si>
    <t>260213_감계 아내 202동 605호.xlsb</t>
  </si>
  <si>
    <t>260219_JD6층힉원</t>
  </si>
  <si>
    <t>260219_JD윙스 6층 영어학원.xlsb</t>
  </si>
  <si>
    <t>260220_밀양미부닥트(주)</t>
  </si>
  <si>
    <t>260220_밀양 미부닥트(주)- 금속작업.xlsb</t>
  </si>
  <si>
    <t>260302_장유사무실</t>
  </si>
  <si>
    <t>260302_장유대청동 사무실인테리어.xlsb</t>
  </si>
  <si>
    <t>260303_JD윙스6층 영어학원 추가견적서.xlsb</t>
  </si>
  <si>
    <t>260305_경남 테크노파크</t>
  </si>
  <si>
    <t>260305_경남 테크노파크-최종본.xlsb</t>
  </si>
  <si>
    <t>260310_어반브릭스 국어교습소</t>
  </si>
  <si>
    <t>260310_어반브릭스1312호.xlsb</t>
  </si>
  <si>
    <t>260316_헥사곤 사인물</t>
  </si>
  <si>
    <t>260313_헥사곤_최종본.xlsb</t>
  </si>
  <si>
    <t>260317_반도유보라 교습소</t>
  </si>
  <si>
    <t>260317_반도유보라교습소 인테리어.xlsb</t>
  </si>
  <si>
    <t>260318_현대마린엔진 선주실</t>
  </si>
  <si>
    <t>260318_현대마린엔진 현장동 사무실(최종본).xlsb</t>
  </si>
  <si>
    <t>260319_린데코리아 사무실</t>
  </si>
  <si>
    <t>260319_린데코리아(최종본).xlsb</t>
  </si>
  <si>
    <t>260320_부산대바이오 추가</t>
  </si>
  <si>
    <t>260319_부산대 바이오 추가견적서.xlsb</t>
  </si>
  <si>
    <t>260318_어반브릭스 컴퓨터학원</t>
  </si>
  <si>
    <t>260319_어반브릭스(1606호, 1607호) 컴퓨터학원(최종본).xlsb</t>
  </si>
  <si>
    <t>260319_진해푸른회</t>
  </si>
  <si>
    <t>260319_진해 푸른회(부분수리).xlsb</t>
  </si>
  <si>
    <t>260328_감계 덕산아내 203동 1305호</t>
  </si>
  <si>
    <t>260328덕산감계 아내 203동 1305.xlsb</t>
  </si>
  <si>
    <t>260323_팔용동사진관(이담사진관)</t>
  </si>
  <si>
    <t>260405_팔용동 사진관(최종본).xlsb</t>
  </si>
  <si>
    <t>260408_롯데캐슬교습소</t>
  </si>
  <si>
    <t>260408_롯데캐슬교습소.xlsb</t>
  </si>
  <si>
    <t>260417_밀양 미부닥트(주)- 시트작업(최종본).xlsb</t>
  </si>
  <si>
    <t>260420_문화콘크리트 사무실</t>
  </si>
  <si>
    <t>260420_문화콘크리트 사무실 인테리어.xlsb</t>
  </si>
  <si>
    <t>260424_진해술집부분수리 추가견적서(최종본).xlsb</t>
  </si>
  <si>
    <t>260429_지엔티 옷장</t>
  </si>
  <si>
    <t>260429_지엔티가구견적서.xlsx</t>
  </si>
  <si>
    <t>260514_현대마린엔진 접견실 인테리어(도배)</t>
  </si>
  <si>
    <t>260504_현대마린엔진 접견실 인테리어.xlsb</t>
  </si>
  <si>
    <t>260407_롯데캐슬 미용실</t>
  </si>
  <si>
    <t>260518_롯데캐슬 미용실 인테리어.xlsb</t>
  </si>
  <si>
    <t>260615_지엔티 4공장</t>
  </si>
  <si>
    <t>260602_지엔티-최종본.xlsb</t>
  </si>
  <si>
    <t>260609_북면 반찬가게</t>
  </si>
  <si>
    <t>260609_북면 반찬가게.xlsb</t>
  </si>
  <si>
    <t>260619_크랭크샤프트 강당</t>
  </si>
  <si>
    <t>260613_현대크랭크샤프트 교육실(최종본).xlsb</t>
  </si>
  <si>
    <t>견적총액(VAT포함)</t>
  </si>
  <si>
    <t>평당가(VAT포함)</t>
  </si>
  <si>
    <t>평당가(VAT제외)</t>
  </si>
  <si>
    <t>스포츠가치센터</t>
  </si>
  <si>
    <t>더 젤 네일샾</t>
  </si>
  <si>
    <t>중동미용실</t>
  </si>
  <si>
    <t>대상힐스 미용실</t>
  </si>
  <si>
    <t>롯데캐슬 미용실</t>
  </si>
  <si>
    <t>함안뷰티샵</t>
  </si>
  <si>
    <t>현동바버샵</t>
  </si>
  <si>
    <t>밀양 뷰티샵</t>
  </si>
  <si>
    <t>현동네일샵</t>
  </si>
  <si>
    <t>정우상가(용호동)뷰티샵</t>
  </si>
  <si>
    <t>문화콘크리트 사무실</t>
  </si>
  <si>
    <t>현대마린엔진 선주실</t>
  </si>
  <si>
    <t>린데코리아 사무실</t>
  </si>
  <si>
    <t>이홍열법률사무소</t>
  </si>
  <si>
    <t>나라정보시스템</t>
  </si>
  <si>
    <t>MH에탄올 사무실 2,3층 인테리어</t>
  </si>
  <si>
    <t>법무법인DH</t>
  </si>
  <si>
    <t>라온메디칼 사무실</t>
  </si>
  <si>
    <t>키움에셋플래너</t>
  </si>
  <si>
    <t>에이지로보틱스 경남창조혁신센터 사무실</t>
  </si>
  <si>
    <t>장유사무실</t>
  </si>
  <si>
    <t>HK금융파트너스 대구사업단 안동</t>
  </si>
  <si>
    <t>경남산소</t>
  </si>
  <si>
    <t>진례제일전자공업</t>
  </si>
  <si>
    <t>서경방송</t>
  </si>
  <si>
    <t>지엔티 4공장</t>
  </si>
  <si>
    <t>팔용동사진관(이담사진관)</t>
  </si>
  <si>
    <t>터보링크</t>
  </si>
  <si>
    <t>진해 디아크마린</t>
  </si>
  <si>
    <t>디오오토갤러리</t>
  </si>
  <si>
    <t>현대크랭크 탈의실 샤워실 보수공사</t>
  </si>
  <si>
    <t>팔용동사진관</t>
  </si>
  <si>
    <t>구산면 도만카페</t>
  </si>
  <si>
    <t>북면 반찬가게</t>
  </si>
  <si>
    <t>양산타코야끼</t>
  </si>
  <si>
    <t>진해 이우철 삼계탕</t>
  </si>
  <si>
    <t>진해푸른회</t>
  </si>
  <si>
    <t>진주음악학원</t>
  </si>
  <si>
    <t>진해교습소</t>
  </si>
  <si>
    <t>롯데캐슬교습소</t>
  </si>
  <si>
    <t>반도유보라 교습소</t>
  </si>
  <si>
    <t>내동교습소</t>
  </si>
  <si>
    <t xml:space="preserve"> PNU 펜토미노 교육과정 원예생명과학과 강의실 환경개선 공사</t>
  </si>
  <si>
    <t>회원동교습소</t>
  </si>
  <si>
    <t>부산대학교생명자원과학대학</t>
  </si>
  <si>
    <t>어반브릭스 기타 학원</t>
  </si>
  <si>
    <t>문소영수학관리</t>
  </si>
  <si>
    <t>어반브릭스 컴퓨터학원</t>
  </si>
  <si>
    <t>업종별 평당가(VAT포함) 요약</t>
  </si>
  <si>
    <t>건수</t>
  </si>
  <si>
    <t>중앙값</t>
  </si>
  <si>
    <t>최소</t>
  </si>
  <si>
    <t>최대</t>
  </si>
  <si>
    <t>전체</t>
  </si>
  <si>
    <t>※ 견적서 총액(부가세 포함) 기준. 본공사이고 5평 초과, 평당(VAT제외) 45만원 초과 건만 집계. 2026-07-02 추출</t>
  </si>
  <si>
    <t>평당가 중앙값</t>
  </si>
  <si>
    <t>평균</t>
  </si>
  <si>
    <t>평균 평수</t>
  </si>
  <si>
    <t>※ 대상: 본공사이면서 5평 초과, 평당 직접비 40만원 초과 건 (추가공사·소액 부분공사 제외). 값은 원본 견적서 내역에서 산출 (Source: \\jm\002_JM회계\003_계약\01_고객계약, 2026-07-02 추출)</t>
  </si>
  <si>
    <t>공종</t>
  </si>
  <si>
    <t>등장 현장수</t>
  </si>
  <si>
    <t>등장률</t>
  </si>
  <si>
    <t>총액 비중</t>
  </si>
  <si>
    <t>평당금액 중앙값</t>
  </si>
  <si>
    <t>재료비 비율</t>
  </si>
  <si>
    <t>노무비 비율</t>
  </si>
  <si>
    <t>평당 투입품 중앙값</t>
  </si>
  <si>
    <t>총 투입품</t>
  </si>
  <si>
    <t>목작업</t>
  </si>
  <si>
    <t>전기</t>
  </si>
  <si>
    <t>가구</t>
  </si>
  <si>
    <t>수장</t>
  </si>
  <si>
    <t>철거</t>
  </si>
  <si>
    <t>타일</t>
  </si>
  <si>
    <t>도장</t>
  </si>
  <si>
    <t>가설</t>
  </si>
  <si>
    <t>냉난방</t>
  </si>
  <si>
    <t>금속</t>
  </si>
  <si>
    <t>설비</t>
  </si>
  <si>
    <t>필름</t>
  </si>
  <si>
    <t>바닥</t>
  </si>
  <si>
    <t>도배</t>
  </si>
  <si>
    <t>기타작업</t>
  </si>
  <si>
    <t>샷시</t>
  </si>
  <si>
    <t>집기류</t>
  </si>
  <si>
    <t>소방</t>
  </si>
  <si>
    <t>싸인</t>
  </si>
  <si>
    <t>징크작업</t>
  </si>
  <si>
    <t>경량</t>
  </si>
  <si>
    <t>마당포장공사</t>
  </si>
  <si>
    <t>비품</t>
  </si>
  <si>
    <t>샤워실</t>
  </si>
  <si>
    <t>판넬</t>
  </si>
  <si>
    <t>블라인드</t>
  </si>
  <si>
    <t>기타</t>
  </si>
  <si>
    <t>화장실</t>
  </si>
  <si>
    <t>닥트</t>
  </si>
  <si>
    <t>각관작업(흡연부스)</t>
  </si>
  <si>
    <t>가벽체작업</t>
  </si>
  <si>
    <t>보수작업</t>
  </si>
  <si>
    <t>팔용동</t>
  </si>
  <si>
    <t>주방</t>
  </si>
  <si>
    <t>갈바작업</t>
  </si>
  <si>
    <t>텍스</t>
  </si>
  <si>
    <t>영상</t>
  </si>
  <si>
    <t>방통작업</t>
  </si>
  <si>
    <t>자동문</t>
  </si>
  <si>
    <t>용접작업(휴게공간)</t>
  </si>
  <si>
    <t>보양작업</t>
  </si>
  <si>
    <t>시트</t>
  </si>
  <si>
    <t>항목</t>
  </si>
  <si>
    <t>표준값</t>
  </si>
  <si>
    <t>비고</t>
  </si>
  <si>
    <t>고용보험</t>
  </si>
  <si>
    <t>직접공사비(노무비 기준 요율) — 86건 중 85건 동일</t>
  </si>
  <si>
    <t>산재보험</t>
  </si>
  <si>
    <t>86건 중 84건 동일</t>
  </si>
  <si>
    <t>일반관리비</t>
  </si>
  <si>
    <t>86건 중 79건 동일 (일부 3%/7%)</t>
  </si>
  <si>
    <t>이윤</t>
  </si>
  <si>
    <t>88건 중 85건 동일 (일부 7~8%)</t>
  </si>
  <si>
    <t>부가세</t>
  </si>
  <si>
    <t>88건 전체 동일</t>
  </si>
  <si>
    <t>단수정리</t>
  </si>
  <si>
    <t>천단위 절사</t>
  </si>
  <si>
    <t>총공사비에서 절사</t>
  </si>
  <si>
    <t>노무비 단가(1품)</t>
  </si>
  <si>
    <t>내역서 표준 단가 — 목공/전기 등 공통</t>
  </si>
  <si>
    <t>계약금액(VAT제외)</t>
  </si>
  <si>
    <t>실원가(부가세제외)</t>
  </si>
  <si>
    <t>순이익</t>
  </si>
  <si>
    <t>이익률</t>
  </si>
  <si>
    <t>HK금융파트너스 경남사업단 인테리어 및 원상복구 도급</t>
  </si>
  <si>
    <t>다윈이엔씨 4층,16층</t>
  </si>
  <si>
    <t>봉덕초교습소</t>
  </si>
  <si>
    <t>부산대밀양캠퍼스</t>
  </si>
  <si>
    <t>북면감계학원</t>
  </si>
  <si>
    <t>북면교습소</t>
  </si>
  <si>
    <t>블루돌핀어학원</t>
  </si>
  <si>
    <t>사파동변호사사무실</t>
  </si>
  <si>
    <t>삼명기계공업(오브제)</t>
  </si>
  <si>
    <t>어반브릭스 12층 상담실</t>
  </si>
  <si>
    <t>진해경화동 푸르지오교습소</t>
  </si>
  <si>
    <t>창원힐스테이트 미용실</t>
  </si>
  <si>
    <t>태웅산전</t>
  </si>
  <si>
    <t>현대크랭크 계단,왁스,안내판</t>
  </si>
  <si>
    <t>HD현대마린엔진</t>
  </si>
  <si>
    <t>MH에탄올</t>
  </si>
  <si>
    <t>동전산단 사무실 부분인테리어</t>
  </si>
  <si>
    <t>보루(어반브릭스)</t>
  </si>
  <si>
    <t>세영테크놀리지</t>
  </si>
  <si>
    <t>진영 HNS 휴게실,온수기</t>
  </si>
  <si>
    <t>진주학원</t>
  </si>
  <si>
    <t>한국산업단지공단(인테리어)</t>
  </si>
  <si>
    <t>현대크랭크샤프트가구</t>
  </si>
  <si>
    <t>JD6층힉원</t>
  </si>
  <si>
    <t>RISE 기능성푸드평가 동물조직분석실 교육 환경 개선 공사</t>
  </si>
  <si>
    <t>감계아내202동605호</t>
  </si>
  <si>
    <t>경남 테크노파크</t>
  </si>
  <si>
    <t>밀양미부닥트(주)</t>
  </si>
  <si>
    <t>어반브릭스 국어교습소</t>
  </si>
  <si>
    <t>토킹영어학원</t>
  </si>
  <si>
    <t>현대마린엔진대표실(샷시)</t>
  </si>
  <si>
    <t>합계</t>
  </si>
  <si>
    <t>※ 실원가 = 손익표 내역서 실지출(부가세 제외) + 식음료/차량비. (Source: NAS(jm) 002_JM회계 &gt; 003_계약 &gt; 01_고객계약 각 현장 003_손익표, 2026-07-02 추출)</t>
  </si>
  <si>
    <t>표본(현장수)</t>
  </si>
  <si>
    <t>실지출/견적 중앙값</t>
  </si>
  <si>
    <t>해석</t>
  </si>
  <si>
    <t>여유 큼</t>
  </si>
  <si>
    <t>견적 초과 주의</t>
  </si>
  <si>
    <t>※ 견적금액 20만원 이상 공종만 집계. 실지출은 손익표 내역서의 '부가세 뺀 금액' 기준. (Source: NAS(jm) 002_JM회계 &gt; 003_계약 &gt; 01_고객계약 각 현장 003_손익표, 2026-07-02 추출)</t>
  </si>
  <si>
    <t>프로젝트별</t>
    <phoneticPr fontId="5" type="noConversion"/>
  </si>
  <si>
    <t>평단가(견적총액)</t>
    <phoneticPr fontId="5" type="noConversion"/>
  </si>
  <si>
    <t>업종별 평단가</t>
    <phoneticPr fontId="5" type="noConversion"/>
  </si>
  <si>
    <t>공정별 통계</t>
    <phoneticPr fontId="5" type="noConversion"/>
  </si>
  <si>
    <t>견적 기준</t>
    <phoneticPr fontId="5" type="noConversion"/>
  </si>
  <si>
    <t>현장별 손익</t>
    <phoneticPr fontId="5" type="noConversion"/>
  </si>
  <si>
    <t>공종별 손익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</si>
</sst>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5F1F2E"/>
      </patternFill>
    </fill>
    <fill>
      <patternFill patternType="solid">
        <fgColor rgb="FF1F5F3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76" fontId="2" fillId="0" borderId="1" xfId="0" applyNumberFormat="1" applyFont="1" applyBorder="1"/>
    <xf numFmtId="3" fontId="2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0" xfId="0" applyFont="1"/>
    <xf numFmtId="177" fontId="2" fillId="0" borderId="1" xfId="0" applyNumberFormat="1" applyFont="1" applyBorder="1"/>
    <xf numFmtId="10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177" fontId="3" fillId="0" borderId="1" xfId="0" applyNumberFormat="1" applyFont="1" applyBorder="1"/>
    <xf numFmtId="9" fontId="2" fillId="0" borderId="1" xfId="0" applyNumberFormat="1" applyFont="1" applyBorder="1"/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2"/>
  <sheetViews>
    <sheetView view="pageBreakPreview" zoomScale="60" zoomScaleNormal="100" workbookViewId="0">
      <pane ySplit="2" topLeftCell="A3" activePane="bottomLeft" state="frozen"/>
      <selection pane="bottomLeft" activeCell="B1" sqref="B1:K1"/>
    </sheetView>
  </sheetViews>
  <sheetFormatPr defaultRowHeight="16.5" x14ac:dyDescent="0.3"/>
  <cols>
    <col min="1" max="1" width="6" customWidth="1"/>
    <col min="2" max="2" width="34" customWidth="1"/>
    <col min="3" max="3" width="12" customWidth="1"/>
    <col min="4" max="4" width="7.125" customWidth="1"/>
    <col min="5" max="5" width="4.625" customWidth="1"/>
    <col min="6" max="6" width="5.5" customWidth="1"/>
    <col min="7" max="7" width="9.5" customWidth="1"/>
    <col min="8" max="8" width="9.375" customWidth="1"/>
    <col min="9" max="9" width="9.875" customWidth="1"/>
    <col min="10" max="10" width="40" customWidth="1"/>
  </cols>
  <sheetData>
    <row r="1" spans="1:11" x14ac:dyDescent="0.3">
      <c r="B1" s="15" t="s">
        <v>363</v>
      </c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1" x14ac:dyDescent="0.3">
      <c r="A3" s="2" t="s">
        <v>10</v>
      </c>
      <c r="B3" s="2" t="s">
        <v>11</v>
      </c>
      <c r="C3" s="2" t="s">
        <v>12</v>
      </c>
      <c r="D3" s="2" t="s">
        <v>13</v>
      </c>
      <c r="E3" s="3">
        <v>100</v>
      </c>
      <c r="F3" s="3">
        <v>30.2</v>
      </c>
      <c r="G3" s="4">
        <v>10246500</v>
      </c>
      <c r="H3" s="4">
        <v>13222000</v>
      </c>
      <c r="I3" s="4">
        <f t="shared" ref="I3:I34" si="0">IF(F3&gt;0,G3/F3,"")</f>
        <v>339288.07947019866</v>
      </c>
      <c r="J3" s="2" t="s">
        <v>14</v>
      </c>
    </row>
    <row r="4" spans="1:11" x14ac:dyDescent="0.3">
      <c r="A4" s="2" t="s">
        <v>10</v>
      </c>
      <c r="B4" s="2" t="s">
        <v>15</v>
      </c>
      <c r="C4" s="2" t="s">
        <v>12</v>
      </c>
      <c r="D4" s="2" t="s">
        <v>13</v>
      </c>
      <c r="E4" s="3">
        <v>60</v>
      </c>
      <c r="F4" s="3">
        <v>18.100000000000001</v>
      </c>
      <c r="G4" s="4">
        <v>7947500</v>
      </c>
      <c r="H4" s="4">
        <v>10252000</v>
      </c>
      <c r="I4" s="4">
        <f t="shared" si="0"/>
        <v>439088.3977900552</v>
      </c>
      <c r="J4" s="2" t="s">
        <v>16</v>
      </c>
    </row>
    <row r="5" spans="1:11" x14ac:dyDescent="0.3">
      <c r="A5" s="2" t="s">
        <v>10</v>
      </c>
      <c r="B5" s="2" t="s">
        <v>17</v>
      </c>
      <c r="C5" s="2" t="s">
        <v>18</v>
      </c>
      <c r="D5" s="2" t="s">
        <v>13</v>
      </c>
      <c r="E5" s="3">
        <v>150</v>
      </c>
      <c r="F5" s="3">
        <v>45.4</v>
      </c>
      <c r="G5" s="4">
        <v>25733000</v>
      </c>
      <c r="H5" s="4">
        <v>31999000</v>
      </c>
      <c r="I5" s="4">
        <f t="shared" si="0"/>
        <v>566806.16740088107</v>
      </c>
      <c r="J5" s="2" t="s">
        <v>19</v>
      </c>
    </row>
    <row r="6" spans="1:11" x14ac:dyDescent="0.3">
      <c r="A6" s="2" t="s">
        <v>10</v>
      </c>
      <c r="B6" s="2" t="s">
        <v>20</v>
      </c>
      <c r="C6" s="2" t="s">
        <v>21</v>
      </c>
      <c r="D6" s="2" t="s">
        <v>13</v>
      </c>
      <c r="E6" s="3"/>
      <c r="F6" s="3"/>
      <c r="G6" s="4">
        <v>675000</v>
      </c>
      <c r="H6" s="4">
        <v>869000</v>
      </c>
      <c r="I6" s="4" t="str">
        <f t="shared" si="0"/>
        <v/>
      </c>
      <c r="J6" s="2" t="s">
        <v>22</v>
      </c>
    </row>
    <row r="7" spans="1:11" x14ac:dyDescent="0.3">
      <c r="A7" s="2" t="s">
        <v>10</v>
      </c>
      <c r="B7" s="2" t="s">
        <v>23</v>
      </c>
      <c r="C7" s="2" t="s">
        <v>18</v>
      </c>
      <c r="D7" s="2" t="s">
        <v>13</v>
      </c>
      <c r="E7" s="3">
        <v>142.5</v>
      </c>
      <c r="F7" s="3">
        <v>43.1</v>
      </c>
      <c r="G7" s="4">
        <v>74735275</v>
      </c>
      <c r="H7" s="4">
        <v>96162000</v>
      </c>
      <c r="I7" s="4">
        <f t="shared" si="0"/>
        <v>1733997.0997679813</v>
      </c>
      <c r="J7" s="2" t="s">
        <v>24</v>
      </c>
    </row>
    <row r="8" spans="1:11" x14ac:dyDescent="0.3">
      <c r="A8" s="2" t="s">
        <v>10</v>
      </c>
      <c r="B8" s="2" t="s">
        <v>25</v>
      </c>
      <c r="C8" s="2" t="s">
        <v>21</v>
      </c>
      <c r="D8" s="2" t="s">
        <v>13</v>
      </c>
      <c r="E8" s="3"/>
      <c r="F8" s="3"/>
      <c r="G8" s="4">
        <v>12540000</v>
      </c>
      <c r="H8" s="4">
        <v>15862000</v>
      </c>
      <c r="I8" s="4" t="str">
        <f t="shared" si="0"/>
        <v/>
      </c>
      <c r="J8" s="2" t="s">
        <v>26</v>
      </c>
    </row>
    <row r="9" spans="1:11" x14ac:dyDescent="0.3">
      <c r="A9" s="2" t="s">
        <v>10</v>
      </c>
      <c r="B9" s="2" t="s">
        <v>25</v>
      </c>
      <c r="C9" s="2" t="s">
        <v>27</v>
      </c>
      <c r="D9" s="2" t="s">
        <v>13</v>
      </c>
      <c r="E9" s="3">
        <v>95</v>
      </c>
      <c r="F9" s="3">
        <v>28.7</v>
      </c>
      <c r="G9" s="4">
        <v>18207000</v>
      </c>
      <c r="H9" s="4">
        <v>23287000</v>
      </c>
      <c r="I9" s="4">
        <f t="shared" si="0"/>
        <v>634390.24390243902</v>
      </c>
      <c r="J9" s="2" t="s">
        <v>28</v>
      </c>
    </row>
    <row r="10" spans="1:11" x14ac:dyDescent="0.3">
      <c r="A10" s="2" t="s">
        <v>10</v>
      </c>
      <c r="B10" s="2" t="s">
        <v>29</v>
      </c>
      <c r="C10" s="2" t="s">
        <v>18</v>
      </c>
      <c r="D10" s="2" t="s">
        <v>13</v>
      </c>
      <c r="E10" s="3"/>
      <c r="F10" s="3"/>
      <c r="G10" s="4">
        <v>4440000</v>
      </c>
      <c r="H10" s="4">
        <v>5610000</v>
      </c>
      <c r="I10" s="4" t="str">
        <f t="shared" si="0"/>
        <v/>
      </c>
      <c r="J10" s="2" t="s">
        <v>30</v>
      </c>
    </row>
    <row r="11" spans="1:11" x14ac:dyDescent="0.3">
      <c r="A11" s="2" t="s">
        <v>10</v>
      </c>
      <c r="B11" s="2" t="s">
        <v>29</v>
      </c>
      <c r="C11" s="2" t="s">
        <v>18</v>
      </c>
      <c r="D11" s="2" t="s">
        <v>13</v>
      </c>
      <c r="E11" s="3">
        <v>90</v>
      </c>
      <c r="F11" s="3">
        <v>27.2</v>
      </c>
      <c r="G11" s="4">
        <v>24730900</v>
      </c>
      <c r="H11" s="4">
        <v>31856000</v>
      </c>
      <c r="I11" s="4">
        <f t="shared" si="0"/>
        <v>909224.26470588241</v>
      </c>
      <c r="J11" s="2" t="s">
        <v>31</v>
      </c>
    </row>
    <row r="12" spans="1:11" x14ac:dyDescent="0.3">
      <c r="A12" s="2" t="s">
        <v>10</v>
      </c>
      <c r="B12" s="2" t="s">
        <v>17</v>
      </c>
      <c r="C12" s="2" t="s">
        <v>18</v>
      </c>
      <c r="D12" s="2" t="s">
        <v>32</v>
      </c>
      <c r="E12" s="3"/>
      <c r="F12" s="3"/>
      <c r="G12" s="4">
        <v>2945000</v>
      </c>
      <c r="H12" s="4">
        <v>3553000</v>
      </c>
      <c r="I12" s="4" t="str">
        <f t="shared" si="0"/>
        <v/>
      </c>
      <c r="J12" s="2" t="s">
        <v>33</v>
      </c>
    </row>
    <row r="13" spans="1:11" x14ac:dyDescent="0.3">
      <c r="A13" s="2" t="s">
        <v>10</v>
      </c>
      <c r="B13" s="2" t="s">
        <v>34</v>
      </c>
      <c r="C13" s="2" t="s">
        <v>27</v>
      </c>
      <c r="D13" s="2" t="s">
        <v>13</v>
      </c>
      <c r="E13" s="3">
        <v>22.8</v>
      </c>
      <c r="F13" s="3">
        <v>6.9</v>
      </c>
      <c r="G13" s="4">
        <v>4962580</v>
      </c>
      <c r="H13" s="4">
        <v>6402000</v>
      </c>
      <c r="I13" s="4">
        <f t="shared" si="0"/>
        <v>719214.49275362317</v>
      </c>
      <c r="J13" s="2" t="s">
        <v>35</v>
      </c>
    </row>
    <row r="14" spans="1:11" x14ac:dyDescent="0.3">
      <c r="A14" s="2" t="s">
        <v>10</v>
      </c>
      <c r="B14" s="2" t="s">
        <v>36</v>
      </c>
      <c r="C14" s="2" t="s">
        <v>18</v>
      </c>
      <c r="D14" s="2" t="s">
        <v>13</v>
      </c>
      <c r="E14" s="3">
        <v>47.86</v>
      </c>
      <c r="F14" s="3">
        <v>14.5</v>
      </c>
      <c r="G14" s="4">
        <v>20107837</v>
      </c>
      <c r="H14" s="4">
        <v>25916000</v>
      </c>
      <c r="I14" s="4">
        <f t="shared" si="0"/>
        <v>1386747.3793103448</v>
      </c>
      <c r="J14" s="2" t="s">
        <v>37</v>
      </c>
    </row>
    <row r="15" spans="1:11" x14ac:dyDescent="0.3">
      <c r="A15" s="2" t="s">
        <v>10</v>
      </c>
      <c r="B15" s="2" t="s">
        <v>38</v>
      </c>
      <c r="C15" s="2" t="s">
        <v>27</v>
      </c>
      <c r="D15" s="2" t="s">
        <v>13</v>
      </c>
      <c r="E15" s="3">
        <v>80</v>
      </c>
      <c r="F15" s="3">
        <v>24.2</v>
      </c>
      <c r="G15" s="4">
        <v>25735900</v>
      </c>
      <c r="H15" s="4">
        <v>33220000</v>
      </c>
      <c r="I15" s="4">
        <f t="shared" si="0"/>
        <v>1063466.9421487604</v>
      </c>
      <c r="J15" s="2" t="s">
        <v>39</v>
      </c>
    </row>
    <row r="16" spans="1:11" x14ac:dyDescent="0.3">
      <c r="A16" s="2" t="s">
        <v>10</v>
      </c>
      <c r="B16" s="2" t="s">
        <v>40</v>
      </c>
      <c r="C16" s="2" t="s">
        <v>18</v>
      </c>
      <c r="D16" s="2" t="s">
        <v>13</v>
      </c>
      <c r="E16" s="3"/>
      <c r="F16" s="3"/>
      <c r="G16" s="4">
        <v>3020600</v>
      </c>
      <c r="H16" s="4">
        <v>3905000</v>
      </c>
      <c r="I16" s="4" t="str">
        <f t="shared" si="0"/>
        <v/>
      </c>
      <c r="J16" s="2" t="s">
        <v>41</v>
      </c>
    </row>
    <row r="17" spans="1:10" x14ac:dyDescent="0.3">
      <c r="A17" s="2" t="s">
        <v>10</v>
      </c>
      <c r="B17" s="2" t="s">
        <v>42</v>
      </c>
      <c r="C17" s="2" t="s">
        <v>12</v>
      </c>
      <c r="D17" s="2" t="s">
        <v>13</v>
      </c>
      <c r="E17" s="3"/>
      <c r="F17" s="3"/>
      <c r="G17" s="4">
        <v>21395000</v>
      </c>
      <c r="H17" s="4">
        <v>27335000</v>
      </c>
      <c r="I17" s="4" t="str">
        <f t="shared" si="0"/>
        <v/>
      </c>
      <c r="J17" s="2" t="s">
        <v>43</v>
      </c>
    </row>
    <row r="18" spans="1:10" x14ac:dyDescent="0.3">
      <c r="A18" s="2" t="s">
        <v>10</v>
      </c>
      <c r="B18" s="2" t="s">
        <v>23</v>
      </c>
      <c r="C18" s="2" t="s">
        <v>18</v>
      </c>
      <c r="D18" s="2" t="s">
        <v>32</v>
      </c>
      <c r="E18" s="3"/>
      <c r="F18" s="3"/>
      <c r="G18" s="4">
        <v>2450000</v>
      </c>
      <c r="H18" s="4">
        <v>3091000</v>
      </c>
      <c r="I18" s="4" t="str">
        <f t="shared" si="0"/>
        <v/>
      </c>
      <c r="J18" s="2" t="s">
        <v>44</v>
      </c>
    </row>
    <row r="19" spans="1:10" x14ac:dyDescent="0.3">
      <c r="A19" s="2" t="s">
        <v>10</v>
      </c>
      <c r="B19" s="2" t="s">
        <v>36</v>
      </c>
      <c r="C19" s="2" t="s">
        <v>18</v>
      </c>
      <c r="D19" s="2" t="s">
        <v>32</v>
      </c>
      <c r="E19" s="3"/>
      <c r="F19" s="3"/>
      <c r="G19" s="4">
        <v>946900</v>
      </c>
      <c r="H19" s="4">
        <v>1188000</v>
      </c>
      <c r="I19" s="4" t="str">
        <f t="shared" si="0"/>
        <v/>
      </c>
      <c r="J19" s="2" t="s">
        <v>45</v>
      </c>
    </row>
    <row r="20" spans="1:10" x14ac:dyDescent="0.3">
      <c r="A20" s="2" t="s">
        <v>10</v>
      </c>
      <c r="B20" s="2" t="s">
        <v>46</v>
      </c>
      <c r="C20" s="2" t="s">
        <v>47</v>
      </c>
      <c r="D20" s="2" t="s">
        <v>13</v>
      </c>
      <c r="E20" s="3">
        <v>33</v>
      </c>
      <c r="F20" s="3">
        <v>10</v>
      </c>
      <c r="G20" s="4">
        <v>25352550</v>
      </c>
      <c r="H20" s="4">
        <v>32538000</v>
      </c>
      <c r="I20" s="4">
        <f t="shared" si="0"/>
        <v>2535255</v>
      </c>
      <c r="J20" s="2" t="s">
        <v>48</v>
      </c>
    </row>
    <row r="21" spans="1:10" x14ac:dyDescent="0.3">
      <c r="A21" s="2" t="s">
        <v>10</v>
      </c>
      <c r="B21" s="2" t="s">
        <v>49</v>
      </c>
      <c r="C21" s="2" t="s">
        <v>18</v>
      </c>
      <c r="D21" s="2" t="s">
        <v>32</v>
      </c>
      <c r="E21" s="3"/>
      <c r="F21" s="3"/>
      <c r="G21" s="4">
        <v>500000</v>
      </c>
      <c r="H21" s="4">
        <v>627000</v>
      </c>
      <c r="I21" s="4" t="str">
        <f t="shared" si="0"/>
        <v/>
      </c>
      <c r="J21" s="2" t="s">
        <v>50</v>
      </c>
    </row>
    <row r="22" spans="1:10" x14ac:dyDescent="0.3">
      <c r="A22" s="2" t="s">
        <v>51</v>
      </c>
      <c r="B22" s="2" t="s">
        <v>52</v>
      </c>
      <c r="C22" s="2" t="s">
        <v>21</v>
      </c>
      <c r="D22" s="2" t="s">
        <v>13</v>
      </c>
      <c r="E22" s="3"/>
      <c r="F22" s="3"/>
      <c r="G22" s="4">
        <v>644600</v>
      </c>
      <c r="H22" s="4">
        <v>814000</v>
      </c>
      <c r="I22" s="4" t="str">
        <f t="shared" si="0"/>
        <v/>
      </c>
      <c r="J22" s="2" t="s">
        <v>53</v>
      </c>
    </row>
    <row r="23" spans="1:10" x14ac:dyDescent="0.3">
      <c r="A23" s="2" t="s">
        <v>51</v>
      </c>
      <c r="B23" s="2" t="s">
        <v>54</v>
      </c>
      <c r="C23" s="2" t="s">
        <v>21</v>
      </c>
      <c r="D23" s="2" t="s">
        <v>13</v>
      </c>
      <c r="E23" s="3"/>
      <c r="F23" s="3"/>
      <c r="G23" s="4">
        <v>6630000</v>
      </c>
      <c r="H23" s="4">
        <v>8019000</v>
      </c>
      <c r="I23" s="4" t="str">
        <f t="shared" si="0"/>
        <v/>
      </c>
      <c r="J23" s="2" t="s">
        <v>55</v>
      </c>
    </row>
    <row r="24" spans="1:10" x14ac:dyDescent="0.3">
      <c r="A24" s="2" t="s">
        <v>51</v>
      </c>
      <c r="B24" s="2" t="s">
        <v>56</v>
      </c>
      <c r="C24" s="2" t="s">
        <v>12</v>
      </c>
      <c r="D24" s="2" t="s">
        <v>13</v>
      </c>
      <c r="E24" s="3">
        <v>98</v>
      </c>
      <c r="F24" s="3">
        <v>29.6</v>
      </c>
      <c r="G24" s="4">
        <v>26870100</v>
      </c>
      <c r="H24" s="4">
        <v>34529000</v>
      </c>
      <c r="I24" s="4">
        <f t="shared" si="0"/>
        <v>907773.64864864864</v>
      </c>
      <c r="J24" s="2" t="s">
        <v>57</v>
      </c>
    </row>
    <row r="25" spans="1:10" x14ac:dyDescent="0.3">
      <c r="A25" s="2" t="s">
        <v>51</v>
      </c>
      <c r="B25" s="2" t="s">
        <v>58</v>
      </c>
      <c r="C25" s="2" t="s">
        <v>59</v>
      </c>
      <c r="D25" s="2" t="s">
        <v>13</v>
      </c>
      <c r="E25" s="3">
        <v>61</v>
      </c>
      <c r="F25" s="3">
        <v>18.5</v>
      </c>
      <c r="G25" s="4">
        <v>22911300</v>
      </c>
      <c r="H25" s="4">
        <v>29469000</v>
      </c>
      <c r="I25" s="4">
        <f t="shared" si="0"/>
        <v>1238448.6486486488</v>
      </c>
      <c r="J25" s="2" t="s">
        <v>60</v>
      </c>
    </row>
    <row r="26" spans="1:10" x14ac:dyDescent="0.3">
      <c r="A26" s="2" t="s">
        <v>51</v>
      </c>
      <c r="B26" s="2" t="s">
        <v>58</v>
      </c>
      <c r="C26" s="2" t="s">
        <v>59</v>
      </c>
      <c r="D26" s="2" t="s">
        <v>32</v>
      </c>
      <c r="E26" s="3"/>
      <c r="F26" s="3"/>
      <c r="G26" s="4">
        <v>3326000</v>
      </c>
      <c r="H26" s="4">
        <v>3949000</v>
      </c>
      <c r="I26" s="4" t="str">
        <f t="shared" si="0"/>
        <v/>
      </c>
      <c r="J26" s="2" t="s">
        <v>61</v>
      </c>
    </row>
    <row r="27" spans="1:10" x14ac:dyDescent="0.3">
      <c r="A27" s="2" t="s">
        <v>51</v>
      </c>
      <c r="B27" s="2" t="s">
        <v>62</v>
      </c>
      <c r="C27" s="2" t="s">
        <v>12</v>
      </c>
      <c r="D27" s="2" t="s">
        <v>13</v>
      </c>
      <c r="E27" s="3">
        <v>326</v>
      </c>
      <c r="F27" s="3">
        <v>98.6</v>
      </c>
      <c r="G27" s="4">
        <v>123321300</v>
      </c>
      <c r="H27" s="4">
        <v>160413000</v>
      </c>
      <c r="I27" s="4">
        <f t="shared" si="0"/>
        <v>1250723.1237322516</v>
      </c>
      <c r="J27" s="2" t="s">
        <v>63</v>
      </c>
    </row>
    <row r="28" spans="1:10" x14ac:dyDescent="0.3">
      <c r="A28" s="2" t="s">
        <v>51</v>
      </c>
      <c r="B28" s="2" t="s">
        <v>64</v>
      </c>
      <c r="C28" s="2" t="s">
        <v>27</v>
      </c>
      <c r="D28" s="2" t="s">
        <v>13</v>
      </c>
      <c r="E28" s="3"/>
      <c r="F28" s="3"/>
      <c r="G28" s="4"/>
      <c r="H28" s="4"/>
      <c r="I28" s="4" t="str">
        <f t="shared" si="0"/>
        <v/>
      </c>
      <c r="J28" s="2" t="s">
        <v>65</v>
      </c>
    </row>
    <row r="29" spans="1:10" x14ac:dyDescent="0.3">
      <c r="A29" s="2" t="s">
        <v>51</v>
      </c>
      <c r="B29" s="2" t="s">
        <v>66</v>
      </c>
      <c r="C29" s="2" t="s">
        <v>27</v>
      </c>
      <c r="D29" s="2" t="s">
        <v>13</v>
      </c>
      <c r="E29" s="3"/>
      <c r="F29" s="3"/>
      <c r="G29" s="4">
        <v>2064000</v>
      </c>
      <c r="H29" s="4">
        <v>2629000</v>
      </c>
      <c r="I29" s="4" t="str">
        <f t="shared" si="0"/>
        <v/>
      </c>
      <c r="J29" s="2" t="s">
        <v>67</v>
      </c>
    </row>
    <row r="30" spans="1:10" x14ac:dyDescent="0.3">
      <c r="A30" s="2" t="s">
        <v>51</v>
      </c>
      <c r="B30" s="2" t="s">
        <v>68</v>
      </c>
      <c r="C30" s="2" t="s">
        <v>12</v>
      </c>
      <c r="D30" s="2" t="s">
        <v>13</v>
      </c>
      <c r="E30" s="3">
        <v>157</v>
      </c>
      <c r="F30" s="3">
        <v>47.5</v>
      </c>
      <c r="G30" s="4">
        <v>32038450</v>
      </c>
      <c r="H30" s="4">
        <v>40931000</v>
      </c>
      <c r="I30" s="4">
        <f t="shared" si="0"/>
        <v>674493.68421052629</v>
      </c>
      <c r="J30" s="2" t="s">
        <v>69</v>
      </c>
    </row>
    <row r="31" spans="1:10" x14ac:dyDescent="0.3">
      <c r="A31" s="2" t="s">
        <v>51</v>
      </c>
      <c r="B31" s="2" t="s">
        <v>70</v>
      </c>
      <c r="C31" s="2" t="s">
        <v>47</v>
      </c>
      <c r="D31" s="2" t="s">
        <v>13</v>
      </c>
      <c r="E31" s="3">
        <v>39</v>
      </c>
      <c r="F31" s="3">
        <v>11.8</v>
      </c>
      <c r="G31" s="4">
        <v>16614000</v>
      </c>
      <c r="H31" s="4">
        <v>21000000</v>
      </c>
      <c r="I31" s="4">
        <f t="shared" si="0"/>
        <v>1407966.1016949152</v>
      </c>
      <c r="J31" s="2" t="s">
        <v>71</v>
      </c>
    </row>
    <row r="32" spans="1:10" x14ac:dyDescent="0.3">
      <c r="A32" s="2" t="s">
        <v>51</v>
      </c>
      <c r="B32" s="2" t="s">
        <v>72</v>
      </c>
      <c r="C32" s="2" t="s">
        <v>47</v>
      </c>
      <c r="D32" s="2" t="s">
        <v>13</v>
      </c>
      <c r="E32" s="3">
        <v>26</v>
      </c>
      <c r="F32" s="3">
        <v>7.9</v>
      </c>
      <c r="G32" s="4">
        <v>12705100</v>
      </c>
      <c r="H32" s="4">
        <v>16379000</v>
      </c>
      <c r="I32" s="4">
        <f t="shared" si="0"/>
        <v>1608240.5063291139</v>
      </c>
      <c r="J32" s="2" t="s">
        <v>73</v>
      </c>
    </row>
    <row r="33" spans="1:10" x14ac:dyDescent="0.3">
      <c r="A33" s="2" t="s">
        <v>51</v>
      </c>
      <c r="B33" s="2" t="s">
        <v>74</v>
      </c>
      <c r="C33" s="2" t="s">
        <v>47</v>
      </c>
      <c r="D33" s="2" t="s">
        <v>13</v>
      </c>
      <c r="E33" s="3">
        <v>79</v>
      </c>
      <c r="F33" s="3">
        <v>23.9</v>
      </c>
      <c r="G33" s="4">
        <v>27764500</v>
      </c>
      <c r="H33" s="4">
        <v>35673000</v>
      </c>
      <c r="I33" s="4">
        <f t="shared" si="0"/>
        <v>1161694.5606694561</v>
      </c>
      <c r="J33" s="2" t="s">
        <v>75</v>
      </c>
    </row>
    <row r="34" spans="1:10" x14ac:dyDescent="0.3">
      <c r="A34" s="2" t="s">
        <v>51</v>
      </c>
      <c r="B34" s="2" t="s">
        <v>76</v>
      </c>
      <c r="C34" s="2" t="s">
        <v>47</v>
      </c>
      <c r="D34" s="2" t="s">
        <v>13</v>
      </c>
      <c r="E34" s="3">
        <v>42.5</v>
      </c>
      <c r="F34" s="3">
        <v>12.9</v>
      </c>
      <c r="G34" s="4">
        <v>22379300</v>
      </c>
      <c r="H34" s="4">
        <v>29205000</v>
      </c>
      <c r="I34" s="4">
        <f t="shared" si="0"/>
        <v>1734829.457364341</v>
      </c>
      <c r="J34" s="2" t="s">
        <v>77</v>
      </c>
    </row>
    <row r="35" spans="1:10" x14ac:dyDescent="0.3">
      <c r="A35" s="2" t="s">
        <v>51</v>
      </c>
      <c r="B35" s="2" t="s">
        <v>78</v>
      </c>
      <c r="C35" s="2" t="s">
        <v>27</v>
      </c>
      <c r="D35" s="2" t="s">
        <v>13</v>
      </c>
      <c r="E35" s="3">
        <v>88</v>
      </c>
      <c r="F35" s="3">
        <v>26.6</v>
      </c>
      <c r="G35" s="4">
        <v>56430400</v>
      </c>
      <c r="H35" s="4">
        <v>72204000</v>
      </c>
      <c r="I35" s="4">
        <f t="shared" ref="I35:I66" si="1">IF(F35&gt;0,G35/F35,"")</f>
        <v>2121443.6090225563</v>
      </c>
      <c r="J35" s="2" t="s">
        <v>79</v>
      </c>
    </row>
    <row r="36" spans="1:10" x14ac:dyDescent="0.3">
      <c r="A36" s="2" t="s">
        <v>51</v>
      </c>
      <c r="B36" s="2" t="s">
        <v>80</v>
      </c>
      <c r="C36" s="2" t="s">
        <v>27</v>
      </c>
      <c r="D36" s="2" t="s">
        <v>13</v>
      </c>
      <c r="E36" s="3">
        <v>85</v>
      </c>
      <c r="F36" s="3">
        <v>25.7</v>
      </c>
      <c r="G36" s="4">
        <v>45366000</v>
      </c>
      <c r="H36" s="4">
        <v>58190000</v>
      </c>
      <c r="I36" s="4">
        <f t="shared" si="1"/>
        <v>1765214.0077821012</v>
      </c>
      <c r="J36" s="2" t="s">
        <v>81</v>
      </c>
    </row>
    <row r="37" spans="1:10" x14ac:dyDescent="0.3">
      <c r="A37" s="2" t="s">
        <v>51</v>
      </c>
      <c r="B37" s="2" t="s">
        <v>82</v>
      </c>
      <c r="C37" s="2" t="s">
        <v>59</v>
      </c>
      <c r="D37" s="2" t="s">
        <v>13</v>
      </c>
      <c r="E37" s="3">
        <v>365</v>
      </c>
      <c r="F37" s="3">
        <v>110.4</v>
      </c>
      <c r="G37" s="4">
        <v>77672500</v>
      </c>
      <c r="H37" s="4">
        <v>99320000</v>
      </c>
      <c r="I37" s="4">
        <f t="shared" si="1"/>
        <v>703555.25362318836</v>
      </c>
      <c r="J37" s="2" t="s">
        <v>83</v>
      </c>
    </row>
    <row r="38" spans="1:10" x14ac:dyDescent="0.3">
      <c r="A38" s="2" t="s">
        <v>51</v>
      </c>
      <c r="B38" s="2" t="s">
        <v>82</v>
      </c>
      <c r="C38" s="2" t="s">
        <v>59</v>
      </c>
      <c r="D38" s="2" t="s">
        <v>32</v>
      </c>
      <c r="E38" s="3">
        <v>143</v>
      </c>
      <c r="F38" s="3">
        <v>43.3</v>
      </c>
      <c r="G38" s="4">
        <v>14014500</v>
      </c>
      <c r="H38" s="4">
        <v>17985000</v>
      </c>
      <c r="I38" s="4">
        <f t="shared" si="1"/>
        <v>323660.50808314088</v>
      </c>
      <c r="J38" s="2" t="s">
        <v>84</v>
      </c>
    </row>
    <row r="39" spans="1:10" x14ac:dyDescent="0.3">
      <c r="A39" s="2" t="s">
        <v>51</v>
      </c>
      <c r="B39" s="2" t="s">
        <v>78</v>
      </c>
      <c r="C39" s="2" t="s">
        <v>27</v>
      </c>
      <c r="D39" s="2" t="s">
        <v>32</v>
      </c>
      <c r="E39" s="3"/>
      <c r="F39" s="3"/>
      <c r="G39" s="4">
        <v>3925498</v>
      </c>
      <c r="H39" s="4">
        <v>5016000</v>
      </c>
      <c r="I39" s="4" t="str">
        <f t="shared" si="1"/>
        <v/>
      </c>
      <c r="J39" s="2" t="s">
        <v>85</v>
      </c>
    </row>
    <row r="40" spans="1:10" x14ac:dyDescent="0.3">
      <c r="A40" s="2" t="s">
        <v>51</v>
      </c>
      <c r="B40" s="2" t="s">
        <v>86</v>
      </c>
      <c r="C40" s="2" t="s">
        <v>59</v>
      </c>
      <c r="D40" s="2" t="s">
        <v>13</v>
      </c>
      <c r="E40" s="3">
        <v>131</v>
      </c>
      <c r="F40" s="3">
        <v>39.6</v>
      </c>
      <c r="G40" s="4">
        <v>136400000</v>
      </c>
      <c r="H40" s="4">
        <v>178607000</v>
      </c>
      <c r="I40" s="4">
        <f t="shared" si="1"/>
        <v>3444444.4444444445</v>
      </c>
      <c r="J40" s="2" t="s">
        <v>87</v>
      </c>
    </row>
    <row r="41" spans="1:10" x14ac:dyDescent="0.3">
      <c r="A41" s="2" t="s">
        <v>51</v>
      </c>
      <c r="B41" s="2" t="s">
        <v>88</v>
      </c>
      <c r="C41" s="2" t="s">
        <v>12</v>
      </c>
      <c r="D41" s="2" t="s">
        <v>13</v>
      </c>
      <c r="E41" s="3">
        <v>102.6</v>
      </c>
      <c r="F41" s="3">
        <v>31</v>
      </c>
      <c r="G41" s="4">
        <v>41429320</v>
      </c>
      <c r="H41" s="4">
        <v>53119000</v>
      </c>
      <c r="I41" s="4">
        <f t="shared" si="1"/>
        <v>1336429.6774193549</v>
      </c>
      <c r="J41" s="2" t="s">
        <v>89</v>
      </c>
    </row>
    <row r="42" spans="1:10" x14ac:dyDescent="0.3">
      <c r="A42" s="2" t="s">
        <v>51</v>
      </c>
      <c r="B42" s="2" t="s">
        <v>90</v>
      </c>
      <c r="C42" s="2" t="s">
        <v>27</v>
      </c>
      <c r="D42" s="2" t="s">
        <v>13</v>
      </c>
      <c r="E42" s="3"/>
      <c r="F42" s="3"/>
      <c r="G42" s="4">
        <v>4749000</v>
      </c>
      <c r="H42" s="4">
        <v>6127000</v>
      </c>
      <c r="I42" s="4" t="str">
        <f t="shared" si="1"/>
        <v/>
      </c>
      <c r="J42" s="2" t="s">
        <v>91</v>
      </c>
    </row>
    <row r="43" spans="1:10" x14ac:dyDescent="0.3">
      <c r="A43" s="2" t="s">
        <v>51</v>
      </c>
      <c r="B43" s="2" t="s">
        <v>92</v>
      </c>
      <c r="C43" s="2" t="s">
        <v>21</v>
      </c>
      <c r="D43" s="2" t="s">
        <v>13</v>
      </c>
      <c r="E43" s="3">
        <v>32</v>
      </c>
      <c r="F43" s="3">
        <v>9.6999999999999993</v>
      </c>
      <c r="G43" s="4">
        <v>27910060</v>
      </c>
      <c r="H43" s="4">
        <v>36905000</v>
      </c>
      <c r="I43" s="4">
        <f t="shared" si="1"/>
        <v>2877325.7731958763</v>
      </c>
      <c r="J43" s="2" t="s">
        <v>93</v>
      </c>
    </row>
    <row r="44" spans="1:10" x14ac:dyDescent="0.3">
      <c r="A44" s="2" t="s">
        <v>51</v>
      </c>
      <c r="B44" s="2" t="s">
        <v>94</v>
      </c>
      <c r="C44" s="2" t="s">
        <v>27</v>
      </c>
      <c r="D44" s="2" t="s">
        <v>13</v>
      </c>
      <c r="E44" s="3">
        <v>50</v>
      </c>
      <c r="F44" s="3">
        <v>15.1</v>
      </c>
      <c r="G44" s="4">
        <v>6266000</v>
      </c>
      <c r="H44" s="4">
        <v>8085000</v>
      </c>
      <c r="I44" s="4">
        <f t="shared" si="1"/>
        <v>414966.88741721853</v>
      </c>
      <c r="J44" s="2" t="s">
        <v>95</v>
      </c>
    </row>
    <row r="45" spans="1:10" x14ac:dyDescent="0.3">
      <c r="A45" s="2" t="s">
        <v>51</v>
      </c>
      <c r="B45" s="2" t="s">
        <v>96</v>
      </c>
      <c r="C45" s="2" t="s">
        <v>27</v>
      </c>
      <c r="D45" s="2" t="s">
        <v>13</v>
      </c>
      <c r="E45" s="3">
        <v>250</v>
      </c>
      <c r="F45" s="3">
        <v>75.599999999999994</v>
      </c>
      <c r="G45" s="4">
        <v>17474000</v>
      </c>
      <c r="H45" s="4">
        <v>22594000</v>
      </c>
      <c r="I45" s="4">
        <f t="shared" si="1"/>
        <v>231137.56613756614</v>
      </c>
      <c r="J45" s="2" t="s">
        <v>97</v>
      </c>
    </row>
    <row r="46" spans="1:10" x14ac:dyDescent="0.3">
      <c r="A46" s="2" t="s">
        <v>51</v>
      </c>
      <c r="B46" s="2" t="s">
        <v>98</v>
      </c>
      <c r="C46" s="2" t="s">
        <v>18</v>
      </c>
      <c r="D46" s="2" t="s">
        <v>13</v>
      </c>
      <c r="E46" s="3">
        <v>80</v>
      </c>
      <c r="F46" s="3">
        <v>24.2</v>
      </c>
      <c r="G46" s="4">
        <v>26053500</v>
      </c>
      <c r="H46" s="4">
        <v>33500000</v>
      </c>
      <c r="I46" s="4">
        <f t="shared" si="1"/>
        <v>1076590.9090909092</v>
      </c>
      <c r="J46" s="2" t="s">
        <v>99</v>
      </c>
    </row>
    <row r="47" spans="1:10" x14ac:dyDescent="0.3">
      <c r="A47" s="2" t="s">
        <v>51</v>
      </c>
      <c r="B47" s="2" t="s">
        <v>100</v>
      </c>
      <c r="C47" s="2" t="s">
        <v>47</v>
      </c>
      <c r="D47" s="2" t="s">
        <v>13</v>
      </c>
      <c r="E47" s="3">
        <v>23.5</v>
      </c>
      <c r="F47" s="3">
        <v>7.1</v>
      </c>
      <c r="G47" s="4">
        <v>14197900</v>
      </c>
      <c r="H47" s="4">
        <v>18282000</v>
      </c>
      <c r="I47" s="4">
        <f t="shared" si="1"/>
        <v>1999704.2253521127</v>
      </c>
      <c r="J47" s="2" t="s">
        <v>101</v>
      </c>
    </row>
    <row r="48" spans="1:10" x14ac:dyDescent="0.3">
      <c r="A48" s="2" t="s">
        <v>51</v>
      </c>
      <c r="B48" s="2" t="s">
        <v>102</v>
      </c>
      <c r="C48" s="2" t="s">
        <v>21</v>
      </c>
      <c r="D48" s="2" t="s">
        <v>13</v>
      </c>
      <c r="E48" s="3"/>
      <c r="F48" s="3"/>
      <c r="G48" s="4">
        <v>1200000</v>
      </c>
      <c r="H48" s="4">
        <v>1518000</v>
      </c>
      <c r="I48" s="4" t="str">
        <f t="shared" si="1"/>
        <v/>
      </c>
      <c r="J48" s="2" t="s">
        <v>103</v>
      </c>
    </row>
    <row r="49" spans="1:10" x14ac:dyDescent="0.3">
      <c r="A49" s="2" t="s">
        <v>51</v>
      </c>
      <c r="B49" s="2" t="s">
        <v>102</v>
      </c>
      <c r="C49" s="2" t="s">
        <v>21</v>
      </c>
      <c r="D49" s="2" t="s">
        <v>13</v>
      </c>
      <c r="E49" s="3"/>
      <c r="F49" s="3"/>
      <c r="G49" s="4">
        <v>5909000</v>
      </c>
      <c r="H49" s="4">
        <v>7579000</v>
      </c>
      <c r="I49" s="4" t="str">
        <f t="shared" si="1"/>
        <v/>
      </c>
      <c r="J49" s="2" t="s">
        <v>104</v>
      </c>
    </row>
    <row r="50" spans="1:10" x14ac:dyDescent="0.3">
      <c r="A50" s="2" t="s">
        <v>51</v>
      </c>
      <c r="B50" s="2" t="s">
        <v>105</v>
      </c>
      <c r="C50" s="2" t="s">
        <v>27</v>
      </c>
      <c r="D50" s="2" t="s">
        <v>13</v>
      </c>
      <c r="E50" s="3">
        <v>196</v>
      </c>
      <c r="F50" s="3">
        <v>59.3</v>
      </c>
      <c r="G50" s="4">
        <v>59830220</v>
      </c>
      <c r="H50" s="4">
        <v>76824000</v>
      </c>
      <c r="I50" s="4">
        <f t="shared" si="1"/>
        <v>1008941.3153456999</v>
      </c>
      <c r="J50" s="2" t="s">
        <v>106</v>
      </c>
    </row>
    <row r="51" spans="1:10" x14ac:dyDescent="0.3">
      <c r="A51" s="2" t="s">
        <v>51</v>
      </c>
      <c r="B51" s="2" t="s">
        <v>107</v>
      </c>
      <c r="C51" s="2" t="s">
        <v>27</v>
      </c>
      <c r="D51" s="2" t="s">
        <v>13</v>
      </c>
      <c r="E51" s="3">
        <v>384</v>
      </c>
      <c r="F51" s="3">
        <v>116.2</v>
      </c>
      <c r="G51" s="4">
        <v>16923200</v>
      </c>
      <c r="H51" s="4">
        <v>21824000</v>
      </c>
      <c r="I51" s="4">
        <f t="shared" si="1"/>
        <v>145638.55421686746</v>
      </c>
      <c r="J51" s="2" t="s">
        <v>108</v>
      </c>
    </row>
    <row r="52" spans="1:10" x14ac:dyDescent="0.3">
      <c r="A52" s="2" t="s">
        <v>51</v>
      </c>
      <c r="B52" s="2" t="s">
        <v>109</v>
      </c>
      <c r="C52" s="2" t="s">
        <v>12</v>
      </c>
      <c r="D52" s="2" t="s">
        <v>13</v>
      </c>
      <c r="E52" s="3">
        <v>114</v>
      </c>
      <c r="F52" s="3">
        <v>34.5</v>
      </c>
      <c r="G52" s="4">
        <v>35029800</v>
      </c>
      <c r="H52" s="4">
        <v>45001000</v>
      </c>
      <c r="I52" s="4">
        <f t="shared" si="1"/>
        <v>1015356.5217391305</v>
      </c>
      <c r="J52" s="2" t="s">
        <v>110</v>
      </c>
    </row>
    <row r="53" spans="1:10" x14ac:dyDescent="0.3">
      <c r="A53" s="2" t="s">
        <v>51</v>
      </c>
      <c r="B53" s="2" t="s">
        <v>111</v>
      </c>
      <c r="C53" s="2" t="s">
        <v>27</v>
      </c>
      <c r="D53" s="2" t="s">
        <v>13</v>
      </c>
      <c r="E53" s="3">
        <v>523</v>
      </c>
      <c r="F53" s="3">
        <v>158.19999999999999</v>
      </c>
      <c r="G53" s="4">
        <v>226606750</v>
      </c>
      <c r="H53" s="4">
        <v>291236000</v>
      </c>
      <c r="I53" s="4">
        <f t="shared" si="1"/>
        <v>1432406.763590392</v>
      </c>
      <c r="J53" s="2" t="s">
        <v>112</v>
      </c>
    </row>
    <row r="54" spans="1:10" x14ac:dyDescent="0.3">
      <c r="A54" s="2" t="s">
        <v>51</v>
      </c>
      <c r="B54" s="2" t="s">
        <v>113</v>
      </c>
      <c r="C54" s="2" t="s">
        <v>18</v>
      </c>
      <c r="D54" s="2" t="s">
        <v>13</v>
      </c>
      <c r="E54" s="3">
        <v>85</v>
      </c>
      <c r="F54" s="3">
        <v>25.7</v>
      </c>
      <c r="G54" s="4">
        <v>23589300</v>
      </c>
      <c r="H54" s="4">
        <v>30338000</v>
      </c>
      <c r="I54" s="4">
        <f t="shared" si="1"/>
        <v>917871.59533073928</v>
      </c>
      <c r="J54" s="2" t="s">
        <v>114</v>
      </c>
    </row>
    <row r="55" spans="1:10" x14ac:dyDescent="0.3">
      <c r="A55" s="2" t="s">
        <v>51</v>
      </c>
      <c r="B55" s="2" t="s">
        <v>115</v>
      </c>
      <c r="C55" s="2" t="s">
        <v>18</v>
      </c>
      <c r="D55" s="2" t="s">
        <v>13</v>
      </c>
      <c r="E55" s="3">
        <v>41</v>
      </c>
      <c r="F55" s="3">
        <v>12.4</v>
      </c>
      <c r="G55" s="4">
        <v>14200100</v>
      </c>
      <c r="H55" s="4">
        <v>18282000</v>
      </c>
      <c r="I55" s="4">
        <f t="shared" si="1"/>
        <v>1145169.3548387096</v>
      </c>
      <c r="J55" s="2" t="s">
        <v>116</v>
      </c>
    </row>
    <row r="56" spans="1:10" x14ac:dyDescent="0.3">
      <c r="A56" s="2" t="s">
        <v>51</v>
      </c>
      <c r="B56" s="2" t="s">
        <v>117</v>
      </c>
      <c r="C56" s="2" t="s">
        <v>12</v>
      </c>
      <c r="D56" s="2" t="s">
        <v>13</v>
      </c>
      <c r="E56" s="3"/>
      <c r="F56" s="3"/>
      <c r="G56" s="4">
        <v>7096700</v>
      </c>
      <c r="H56" s="4">
        <v>8976000</v>
      </c>
      <c r="I56" s="4" t="str">
        <f t="shared" si="1"/>
        <v/>
      </c>
      <c r="J56" s="2" t="s">
        <v>118</v>
      </c>
    </row>
    <row r="57" spans="1:10" x14ac:dyDescent="0.3">
      <c r="A57" s="2" t="s">
        <v>51</v>
      </c>
      <c r="B57" s="2" t="s">
        <v>111</v>
      </c>
      <c r="C57" s="2" t="s">
        <v>27</v>
      </c>
      <c r="D57" s="2" t="s">
        <v>32</v>
      </c>
      <c r="E57" s="3"/>
      <c r="F57" s="3"/>
      <c r="G57" s="4">
        <v>17766000</v>
      </c>
      <c r="H57" s="4">
        <v>22869000</v>
      </c>
      <c r="I57" s="4" t="str">
        <f t="shared" si="1"/>
        <v/>
      </c>
      <c r="J57" s="2" t="s">
        <v>119</v>
      </c>
    </row>
    <row r="58" spans="1:10" x14ac:dyDescent="0.3">
      <c r="A58" s="2" t="s">
        <v>51</v>
      </c>
      <c r="B58" s="2" t="s">
        <v>120</v>
      </c>
      <c r="C58" s="2" t="s">
        <v>12</v>
      </c>
      <c r="D58" s="2" t="s">
        <v>13</v>
      </c>
      <c r="E58" s="3">
        <v>150</v>
      </c>
      <c r="F58" s="3">
        <v>45.4</v>
      </c>
      <c r="G58" s="4">
        <v>25237700</v>
      </c>
      <c r="H58" s="4">
        <v>32494000</v>
      </c>
      <c r="I58" s="4">
        <f t="shared" si="1"/>
        <v>555896.47577092517</v>
      </c>
      <c r="J58" s="2" t="s">
        <v>121</v>
      </c>
    </row>
    <row r="59" spans="1:10" x14ac:dyDescent="0.3">
      <c r="A59" s="2" t="s">
        <v>51</v>
      </c>
      <c r="B59" s="2" t="s">
        <v>122</v>
      </c>
      <c r="C59" s="2" t="s">
        <v>12</v>
      </c>
      <c r="D59" s="2" t="s">
        <v>13</v>
      </c>
      <c r="E59" s="3">
        <v>35</v>
      </c>
      <c r="F59" s="3">
        <v>10.6</v>
      </c>
      <c r="G59" s="4">
        <v>13728698</v>
      </c>
      <c r="H59" s="4">
        <v>17578000</v>
      </c>
      <c r="I59" s="4">
        <f t="shared" si="1"/>
        <v>1295160.1886792453</v>
      </c>
      <c r="J59" s="2" t="s">
        <v>123</v>
      </c>
    </row>
    <row r="60" spans="1:10" x14ac:dyDescent="0.3">
      <c r="A60" s="2" t="s">
        <v>51</v>
      </c>
      <c r="B60" s="2" t="s">
        <v>124</v>
      </c>
      <c r="C60" s="2" t="s">
        <v>47</v>
      </c>
      <c r="D60" s="2" t="s">
        <v>13</v>
      </c>
      <c r="E60" s="3">
        <v>45</v>
      </c>
      <c r="F60" s="3">
        <v>13.6</v>
      </c>
      <c r="G60" s="4">
        <v>23736100</v>
      </c>
      <c r="H60" s="4">
        <v>30437000</v>
      </c>
      <c r="I60" s="4">
        <f t="shared" si="1"/>
        <v>1745301.4705882354</v>
      </c>
      <c r="J60" s="2" t="s">
        <v>125</v>
      </c>
    </row>
    <row r="61" spans="1:10" x14ac:dyDescent="0.3">
      <c r="A61" s="2" t="s">
        <v>126</v>
      </c>
      <c r="B61" s="2" t="s">
        <v>127</v>
      </c>
      <c r="C61" s="2" t="s">
        <v>18</v>
      </c>
      <c r="D61" s="2" t="s">
        <v>13</v>
      </c>
      <c r="E61" s="3"/>
      <c r="F61" s="3"/>
      <c r="G61" s="4">
        <v>3757000</v>
      </c>
      <c r="H61" s="4">
        <v>4862000</v>
      </c>
      <c r="I61" s="4" t="str">
        <f t="shared" si="1"/>
        <v/>
      </c>
      <c r="J61" s="2" t="s">
        <v>128</v>
      </c>
    </row>
    <row r="62" spans="1:10" x14ac:dyDescent="0.3">
      <c r="A62" s="2" t="s">
        <v>126</v>
      </c>
      <c r="B62" s="2" t="s">
        <v>129</v>
      </c>
      <c r="C62" s="2" t="s">
        <v>18</v>
      </c>
      <c r="D62" s="2" t="s">
        <v>13</v>
      </c>
      <c r="E62" s="3"/>
      <c r="F62" s="3"/>
      <c r="G62" s="4">
        <v>18874800</v>
      </c>
      <c r="H62" s="4">
        <v>24112000</v>
      </c>
      <c r="I62" s="4" t="str">
        <f t="shared" si="1"/>
        <v/>
      </c>
      <c r="J62" s="2" t="s">
        <v>130</v>
      </c>
    </row>
    <row r="63" spans="1:10" x14ac:dyDescent="0.3">
      <c r="A63" s="2" t="s">
        <v>126</v>
      </c>
      <c r="B63" s="2" t="s">
        <v>131</v>
      </c>
      <c r="C63" s="2" t="s">
        <v>47</v>
      </c>
      <c r="D63" s="2" t="s">
        <v>13</v>
      </c>
      <c r="E63" s="3">
        <v>40</v>
      </c>
      <c r="F63" s="3">
        <v>12.1</v>
      </c>
      <c r="G63" s="4">
        <v>24606000</v>
      </c>
      <c r="H63" s="4">
        <v>30800000</v>
      </c>
      <c r="I63" s="4">
        <f t="shared" si="1"/>
        <v>2033553.7190082646</v>
      </c>
      <c r="J63" s="2" t="s">
        <v>132</v>
      </c>
    </row>
    <row r="64" spans="1:10" x14ac:dyDescent="0.3">
      <c r="A64" s="2" t="s">
        <v>126</v>
      </c>
      <c r="B64" s="2" t="s">
        <v>133</v>
      </c>
      <c r="C64" s="2" t="s">
        <v>18</v>
      </c>
      <c r="D64" s="2" t="s">
        <v>13</v>
      </c>
      <c r="E64" s="3">
        <v>40.200000000000003</v>
      </c>
      <c r="F64" s="3">
        <v>12.2</v>
      </c>
      <c r="G64" s="4">
        <v>9209830</v>
      </c>
      <c r="H64" s="4">
        <v>11836000</v>
      </c>
      <c r="I64" s="4">
        <f t="shared" si="1"/>
        <v>754904.09836065583</v>
      </c>
      <c r="J64" s="2" t="s">
        <v>134</v>
      </c>
    </row>
    <row r="65" spans="1:10" x14ac:dyDescent="0.3">
      <c r="A65" s="2" t="s">
        <v>126</v>
      </c>
      <c r="B65" s="2" t="s">
        <v>135</v>
      </c>
      <c r="C65" s="2" t="s">
        <v>12</v>
      </c>
      <c r="D65" s="2" t="s">
        <v>13</v>
      </c>
      <c r="E65" s="3">
        <v>9</v>
      </c>
      <c r="F65" s="3">
        <v>2.7</v>
      </c>
      <c r="G65" s="4">
        <v>8281300</v>
      </c>
      <c r="H65" s="4">
        <v>10593000</v>
      </c>
      <c r="I65" s="4">
        <f t="shared" si="1"/>
        <v>3067148.1481481479</v>
      </c>
      <c r="J65" s="2" t="s">
        <v>136</v>
      </c>
    </row>
    <row r="66" spans="1:10" x14ac:dyDescent="0.3">
      <c r="A66" s="2" t="s">
        <v>126</v>
      </c>
      <c r="B66" s="2" t="s">
        <v>137</v>
      </c>
      <c r="C66" s="2" t="s">
        <v>18</v>
      </c>
      <c r="D66" s="2" t="s">
        <v>13</v>
      </c>
      <c r="E66" s="3"/>
      <c r="F66" s="3"/>
      <c r="G66" s="4">
        <v>7825000</v>
      </c>
      <c r="H66" s="4">
        <v>10000000</v>
      </c>
      <c r="I66" s="4" t="str">
        <f t="shared" si="1"/>
        <v/>
      </c>
      <c r="J66" s="2" t="s">
        <v>138</v>
      </c>
    </row>
    <row r="67" spans="1:10" x14ac:dyDescent="0.3">
      <c r="A67" s="2" t="s">
        <v>126</v>
      </c>
      <c r="B67" s="2" t="s">
        <v>139</v>
      </c>
      <c r="C67" s="2" t="s">
        <v>140</v>
      </c>
      <c r="D67" s="2" t="s">
        <v>13</v>
      </c>
      <c r="E67" s="3"/>
      <c r="F67" s="3"/>
      <c r="G67" s="4">
        <v>10449900</v>
      </c>
      <c r="H67" s="4">
        <v>13354000</v>
      </c>
      <c r="I67" s="4" t="str">
        <f t="shared" ref="I67:I92" si="2">IF(F67&gt;0,G67/F67,"")</f>
        <v/>
      </c>
      <c r="J67" s="2" t="s">
        <v>141</v>
      </c>
    </row>
    <row r="68" spans="1:10" x14ac:dyDescent="0.3">
      <c r="A68" s="2" t="s">
        <v>126</v>
      </c>
      <c r="B68" s="2" t="s">
        <v>142</v>
      </c>
      <c r="C68" s="2" t="s">
        <v>18</v>
      </c>
      <c r="D68" s="2" t="s">
        <v>13</v>
      </c>
      <c r="E68" s="3"/>
      <c r="F68" s="3"/>
      <c r="G68" s="4">
        <v>8261500</v>
      </c>
      <c r="H68" s="4">
        <v>10857000</v>
      </c>
      <c r="I68" s="4" t="str">
        <f t="shared" si="2"/>
        <v/>
      </c>
      <c r="J68" s="2" t="s">
        <v>143</v>
      </c>
    </row>
    <row r="69" spans="1:10" x14ac:dyDescent="0.3">
      <c r="A69" s="2" t="s">
        <v>126</v>
      </c>
      <c r="B69" s="2" t="s">
        <v>144</v>
      </c>
      <c r="C69" s="2" t="s">
        <v>21</v>
      </c>
      <c r="D69" s="2" t="s">
        <v>13</v>
      </c>
      <c r="E69" s="3"/>
      <c r="F69" s="3"/>
      <c r="G69" s="4">
        <v>6675200</v>
      </c>
      <c r="H69" s="4">
        <v>8514000</v>
      </c>
      <c r="I69" s="4" t="str">
        <f t="shared" si="2"/>
        <v/>
      </c>
      <c r="J69" s="2" t="s">
        <v>145</v>
      </c>
    </row>
    <row r="70" spans="1:10" x14ac:dyDescent="0.3">
      <c r="A70" s="2" t="s">
        <v>126</v>
      </c>
      <c r="B70" s="2" t="s">
        <v>146</v>
      </c>
      <c r="C70" s="2" t="s">
        <v>12</v>
      </c>
      <c r="D70" s="2" t="s">
        <v>13</v>
      </c>
      <c r="E70" s="3">
        <v>115</v>
      </c>
      <c r="F70" s="3">
        <v>34.799999999999997</v>
      </c>
      <c r="G70" s="4">
        <v>18852750</v>
      </c>
      <c r="H70" s="4">
        <v>24090000</v>
      </c>
      <c r="I70" s="4">
        <f t="shared" si="2"/>
        <v>541745.68965517241</v>
      </c>
      <c r="J70" s="2" t="s">
        <v>147</v>
      </c>
    </row>
    <row r="71" spans="1:10" x14ac:dyDescent="0.3">
      <c r="A71" s="2" t="s">
        <v>126</v>
      </c>
      <c r="B71" s="2" t="s">
        <v>142</v>
      </c>
      <c r="C71" s="2" t="s">
        <v>18</v>
      </c>
      <c r="D71" s="2" t="s">
        <v>32</v>
      </c>
      <c r="E71" s="3"/>
      <c r="F71" s="3"/>
      <c r="G71" s="4">
        <v>2195500</v>
      </c>
      <c r="H71" s="4">
        <v>2816000</v>
      </c>
      <c r="I71" s="4" t="str">
        <f t="shared" si="2"/>
        <v/>
      </c>
      <c r="J71" s="2" t="s">
        <v>148</v>
      </c>
    </row>
    <row r="72" spans="1:10" x14ac:dyDescent="0.3">
      <c r="A72" s="2" t="s">
        <v>126</v>
      </c>
      <c r="B72" s="2" t="s">
        <v>149</v>
      </c>
      <c r="C72" s="2" t="s">
        <v>27</v>
      </c>
      <c r="D72" s="2" t="s">
        <v>13</v>
      </c>
      <c r="E72" s="3"/>
      <c r="F72" s="3"/>
      <c r="G72" s="4">
        <v>3330400</v>
      </c>
      <c r="H72" s="4">
        <v>4268000</v>
      </c>
      <c r="I72" s="4" t="str">
        <f t="shared" si="2"/>
        <v/>
      </c>
      <c r="J72" s="2" t="s">
        <v>150</v>
      </c>
    </row>
    <row r="73" spans="1:10" x14ac:dyDescent="0.3">
      <c r="A73" s="2" t="s">
        <v>126</v>
      </c>
      <c r="B73" s="2" t="s">
        <v>151</v>
      </c>
      <c r="C73" s="2" t="s">
        <v>18</v>
      </c>
      <c r="D73" s="2" t="s">
        <v>13</v>
      </c>
      <c r="E73" s="3"/>
      <c r="F73" s="3"/>
      <c r="G73" s="4">
        <v>1398000</v>
      </c>
      <c r="H73" s="4">
        <v>1683000</v>
      </c>
      <c r="I73" s="4" t="str">
        <f t="shared" si="2"/>
        <v/>
      </c>
      <c r="J73" s="2" t="s">
        <v>152</v>
      </c>
    </row>
    <row r="74" spans="1:10" x14ac:dyDescent="0.3">
      <c r="A74" s="2" t="s">
        <v>126</v>
      </c>
      <c r="B74" s="2" t="s">
        <v>153</v>
      </c>
      <c r="C74" s="2" t="s">
        <v>21</v>
      </c>
      <c r="D74" s="2" t="s">
        <v>13</v>
      </c>
      <c r="E74" s="3"/>
      <c r="F74" s="3"/>
      <c r="G74" s="4">
        <v>2860000</v>
      </c>
      <c r="H74" s="4">
        <v>3652000</v>
      </c>
      <c r="I74" s="4" t="str">
        <f t="shared" si="2"/>
        <v/>
      </c>
      <c r="J74" s="2" t="s">
        <v>154</v>
      </c>
    </row>
    <row r="75" spans="1:10" x14ac:dyDescent="0.3">
      <c r="A75" s="2" t="s">
        <v>126</v>
      </c>
      <c r="B75" s="2" t="s">
        <v>155</v>
      </c>
      <c r="C75" s="2" t="s">
        <v>18</v>
      </c>
      <c r="D75" s="2" t="s">
        <v>13</v>
      </c>
      <c r="E75" s="3">
        <v>31</v>
      </c>
      <c r="F75" s="3">
        <v>9.4</v>
      </c>
      <c r="G75" s="4">
        <v>11690550</v>
      </c>
      <c r="H75" s="4">
        <v>15037000</v>
      </c>
      <c r="I75" s="4">
        <f t="shared" si="2"/>
        <v>1243675.5319148935</v>
      </c>
      <c r="J75" s="2" t="s">
        <v>156</v>
      </c>
    </row>
    <row r="76" spans="1:10" x14ac:dyDescent="0.3">
      <c r="A76" s="2" t="s">
        <v>126</v>
      </c>
      <c r="B76" s="2" t="s">
        <v>157</v>
      </c>
      <c r="C76" s="2" t="s">
        <v>12</v>
      </c>
      <c r="D76" s="2" t="s">
        <v>13</v>
      </c>
      <c r="E76" s="3">
        <v>90</v>
      </c>
      <c r="F76" s="3">
        <v>27.2</v>
      </c>
      <c r="G76" s="4">
        <v>41942100</v>
      </c>
      <c r="H76" s="4">
        <v>52899000</v>
      </c>
      <c r="I76" s="4">
        <f t="shared" si="2"/>
        <v>1541988.9705882354</v>
      </c>
      <c r="J76" s="2" t="s">
        <v>158</v>
      </c>
    </row>
    <row r="77" spans="1:10" x14ac:dyDescent="0.3">
      <c r="A77" s="2" t="s">
        <v>126</v>
      </c>
      <c r="B77" s="2" t="s">
        <v>159</v>
      </c>
      <c r="C77" s="2" t="s">
        <v>12</v>
      </c>
      <c r="D77" s="2" t="s">
        <v>13</v>
      </c>
      <c r="E77" s="3">
        <v>92.2</v>
      </c>
      <c r="F77" s="3">
        <v>27.9</v>
      </c>
      <c r="G77" s="4">
        <v>40199132</v>
      </c>
      <c r="H77" s="4">
        <v>52789000</v>
      </c>
      <c r="I77" s="4">
        <f t="shared" si="2"/>
        <v>1440829.1039426525</v>
      </c>
      <c r="J77" s="2" t="s">
        <v>160</v>
      </c>
    </row>
    <row r="78" spans="1:10" x14ac:dyDescent="0.3">
      <c r="A78" s="2" t="s">
        <v>126</v>
      </c>
      <c r="B78" s="2" t="s">
        <v>161</v>
      </c>
      <c r="C78" s="2" t="s">
        <v>27</v>
      </c>
      <c r="D78" s="2" t="s">
        <v>32</v>
      </c>
      <c r="E78" s="3"/>
      <c r="F78" s="3"/>
      <c r="G78" s="4">
        <v>720000</v>
      </c>
      <c r="H78" s="4">
        <v>902000</v>
      </c>
      <c r="I78" s="4" t="str">
        <f t="shared" si="2"/>
        <v/>
      </c>
      <c r="J78" s="2" t="s">
        <v>162</v>
      </c>
    </row>
    <row r="79" spans="1:10" x14ac:dyDescent="0.3">
      <c r="A79" s="2" t="s">
        <v>126</v>
      </c>
      <c r="B79" s="2" t="s">
        <v>163</v>
      </c>
      <c r="C79" s="2" t="s">
        <v>18</v>
      </c>
      <c r="D79" s="2" t="s">
        <v>13</v>
      </c>
      <c r="E79" s="3">
        <v>87</v>
      </c>
      <c r="F79" s="3">
        <v>26.3</v>
      </c>
      <c r="G79" s="4">
        <v>11995000</v>
      </c>
      <c r="H79" s="4">
        <v>15466000</v>
      </c>
      <c r="I79" s="4">
        <f t="shared" si="2"/>
        <v>456083.65019011404</v>
      </c>
      <c r="J79" s="2" t="s">
        <v>164</v>
      </c>
    </row>
    <row r="80" spans="1:10" x14ac:dyDescent="0.3">
      <c r="A80" s="2" t="s">
        <v>126</v>
      </c>
      <c r="B80" s="2" t="s">
        <v>165</v>
      </c>
      <c r="C80" s="2" t="s">
        <v>59</v>
      </c>
      <c r="D80" s="2" t="s">
        <v>13</v>
      </c>
      <c r="E80" s="3">
        <v>53</v>
      </c>
      <c r="F80" s="3">
        <v>16</v>
      </c>
      <c r="G80" s="4">
        <v>7098250</v>
      </c>
      <c r="H80" s="4">
        <v>9196000</v>
      </c>
      <c r="I80" s="4">
        <f t="shared" si="2"/>
        <v>443640.625</v>
      </c>
      <c r="J80" s="2" t="s">
        <v>166</v>
      </c>
    </row>
    <row r="81" spans="1:10" x14ac:dyDescent="0.3">
      <c r="A81" s="2" t="s">
        <v>126</v>
      </c>
      <c r="B81" s="2" t="s">
        <v>167</v>
      </c>
      <c r="C81" s="2" t="s">
        <v>140</v>
      </c>
      <c r="D81" s="2" t="s">
        <v>13</v>
      </c>
      <c r="E81" s="3"/>
      <c r="F81" s="3"/>
      <c r="G81" s="4">
        <v>34826400</v>
      </c>
      <c r="H81" s="4">
        <v>44418000</v>
      </c>
      <c r="I81" s="4" t="str">
        <f t="shared" si="2"/>
        <v/>
      </c>
      <c r="J81" s="2" t="s">
        <v>168</v>
      </c>
    </row>
    <row r="82" spans="1:10" x14ac:dyDescent="0.3">
      <c r="A82" s="2" t="s">
        <v>126</v>
      </c>
      <c r="B82" s="2" t="s">
        <v>169</v>
      </c>
      <c r="C82" s="2" t="s">
        <v>27</v>
      </c>
      <c r="D82" s="2" t="s">
        <v>13</v>
      </c>
      <c r="E82" s="3">
        <v>44</v>
      </c>
      <c r="F82" s="3">
        <v>13.3</v>
      </c>
      <c r="G82" s="4">
        <v>16769400</v>
      </c>
      <c r="H82" s="4">
        <v>21703000</v>
      </c>
      <c r="I82" s="4">
        <f t="shared" si="2"/>
        <v>1260857.1428571427</v>
      </c>
      <c r="J82" s="2" t="s">
        <v>170</v>
      </c>
    </row>
    <row r="83" spans="1:10" x14ac:dyDescent="0.3">
      <c r="A83" s="2" t="s">
        <v>126</v>
      </c>
      <c r="B83" s="2" t="s">
        <v>171</v>
      </c>
      <c r="C83" s="2" t="s">
        <v>18</v>
      </c>
      <c r="D83" s="2" t="s">
        <v>13</v>
      </c>
      <c r="E83" s="3">
        <v>31</v>
      </c>
      <c r="F83" s="3">
        <v>9.4</v>
      </c>
      <c r="G83" s="4">
        <v>12332450</v>
      </c>
      <c r="H83" s="4">
        <v>15851000</v>
      </c>
      <c r="I83" s="4">
        <f t="shared" si="2"/>
        <v>1311962.7659574468</v>
      </c>
      <c r="J83" s="2" t="s">
        <v>172</v>
      </c>
    </row>
    <row r="84" spans="1:10" x14ac:dyDescent="0.3">
      <c r="A84" s="2" t="s">
        <v>126</v>
      </c>
      <c r="B84" s="2" t="s">
        <v>144</v>
      </c>
      <c r="C84" s="2" t="s">
        <v>21</v>
      </c>
      <c r="D84" s="2" t="s">
        <v>13</v>
      </c>
      <c r="E84" s="3"/>
      <c r="F84" s="3"/>
      <c r="G84" s="4">
        <v>725000</v>
      </c>
      <c r="H84" s="4">
        <v>924000</v>
      </c>
      <c r="I84" s="4" t="str">
        <f t="shared" si="2"/>
        <v/>
      </c>
      <c r="J84" s="2" t="s">
        <v>173</v>
      </c>
    </row>
    <row r="85" spans="1:10" x14ac:dyDescent="0.3">
      <c r="A85" s="2" t="s">
        <v>126</v>
      </c>
      <c r="B85" s="2" t="s">
        <v>174</v>
      </c>
      <c r="C85" s="2" t="s">
        <v>12</v>
      </c>
      <c r="D85" s="2" t="s">
        <v>13</v>
      </c>
      <c r="E85" s="3">
        <v>63.6</v>
      </c>
      <c r="F85" s="3">
        <v>19.2</v>
      </c>
      <c r="G85" s="4">
        <v>55369140</v>
      </c>
      <c r="H85" s="4">
        <v>74767000</v>
      </c>
      <c r="I85" s="4">
        <f t="shared" si="2"/>
        <v>2883809.375</v>
      </c>
      <c r="J85" s="2" t="s">
        <v>175</v>
      </c>
    </row>
    <row r="86" spans="1:10" x14ac:dyDescent="0.3">
      <c r="A86" s="2" t="s">
        <v>126</v>
      </c>
      <c r="B86" s="2" t="s">
        <v>165</v>
      </c>
      <c r="C86" s="2" t="s">
        <v>59</v>
      </c>
      <c r="D86" s="2" t="s">
        <v>32</v>
      </c>
      <c r="E86" s="3"/>
      <c r="F86" s="3"/>
      <c r="G86" s="4">
        <v>960000</v>
      </c>
      <c r="H86" s="4">
        <v>1243000</v>
      </c>
      <c r="I86" s="4" t="str">
        <f t="shared" si="2"/>
        <v/>
      </c>
      <c r="J86" s="2" t="s">
        <v>176</v>
      </c>
    </row>
    <row r="87" spans="1:10" x14ac:dyDescent="0.3">
      <c r="A87" s="2" t="s">
        <v>126</v>
      </c>
      <c r="B87" s="2" t="s">
        <v>177</v>
      </c>
      <c r="C87" s="2" t="s">
        <v>21</v>
      </c>
      <c r="D87" s="2" t="s">
        <v>13</v>
      </c>
      <c r="E87" s="3"/>
      <c r="F87" s="3"/>
      <c r="G87" s="4">
        <v>990000</v>
      </c>
      <c r="H87" s="4">
        <v>1243000</v>
      </c>
      <c r="I87" s="4" t="str">
        <f t="shared" si="2"/>
        <v/>
      </c>
      <c r="J87" s="2" t="s">
        <v>178</v>
      </c>
    </row>
    <row r="88" spans="1:10" x14ac:dyDescent="0.3">
      <c r="A88" s="2" t="s">
        <v>126</v>
      </c>
      <c r="B88" s="2" t="s">
        <v>179</v>
      </c>
      <c r="C88" s="2" t="s">
        <v>12</v>
      </c>
      <c r="D88" s="2" t="s">
        <v>13</v>
      </c>
      <c r="E88" s="3"/>
      <c r="F88" s="3"/>
      <c r="G88" s="4">
        <v>1540000</v>
      </c>
      <c r="H88" s="4">
        <v>1991000</v>
      </c>
      <c r="I88" s="4" t="str">
        <f t="shared" si="2"/>
        <v/>
      </c>
      <c r="J88" s="2" t="s">
        <v>180</v>
      </c>
    </row>
    <row r="89" spans="1:10" x14ac:dyDescent="0.3">
      <c r="A89" s="2" t="s">
        <v>126</v>
      </c>
      <c r="B89" s="2" t="s">
        <v>181</v>
      </c>
      <c r="C89" s="2" t="s">
        <v>47</v>
      </c>
      <c r="D89" s="2" t="s">
        <v>13</v>
      </c>
      <c r="E89" s="3">
        <v>30</v>
      </c>
      <c r="F89" s="3">
        <v>9.1</v>
      </c>
      <c r="G89" s="4">
        <v>17967100</v>
      </c>
      <c r="H89" s="4">
        <v>23078000</v>
      </c>
      <c r="I89" s="4">
        <f t="shared" si="2"/>
        <v>1974406.5934065934</v>
      </c>
      <c r="J89" s="2" t="s">
        <v>182</v>
      </c>
    </row>
    <row r="90" spans="1:10" x14ac:dyDescent="0.3">
      <c r="A90" s="2" t="s">
        <v>126</v>
      </c>
      <c r="B90" s="2" t="s">
        <v>183</v>
      </c>
      <c r="C90" s="2" t="s">
        <v>27</v>
      </c>
      <c r="D90" s="2" t="s">
        <v>13</v>
      </c>
      <c r="E90" s="3">
        <v>105.8</v>
      </c>
      <c r="F90" s="3">
        <v>32</v>
      </c>
      <c r="G90" s="4">
        <v>41689870</v>
      </c>
      <c r="H90" s="4">
        <v>53130000</v>
      </c>
      <c r="I90" s="4">
        <f t="shared" si="2"/>
        <v>1302808.4375</v>
      </c>
      <c r="J90" s="2" t="s">
        <v>184</v>
      </c>
    </row>
    <row r="91" spans="1:10" x14ac:dyDescent="0.3">
      <c r="A91" s="2" t="s">
        <v>126</v>
      </c>
      <c r="B91" s="2" t="s">
        <v>185</v>
      </c>
      <c r="C91" s="2" t="s">
        <v>59</v>
      </c>
      <c r="D91" s="2" t="s">
        <v>13</v>
      </c>
      <c r="E91" s="3">
        <v>34.5</v>
      </c>
      <c r="F91" s="3">
        <v>10.4</v>
      </c>
      <c r="G91" s="4">
        <v>30637225</v>
      </c>
      <c r="H91" s="4">
        <v>39314000</v>
      </c>
      <c r="I91" s="4">
        <f t="shared" si="2"/>
        <v>2945887.019230769</v>
      </c>
      <c r="J91" s="2" t="s">
        <v>186</v>
      </c>
    </row>
    <row r="92" spans="1:10" x14ac:dyDescent="0.3">
      <c r="A92" s="2" t="s">
        <v>126</v>
      </c>
      <c r="B92" s="2" t="s">
        <v>187</v>
      </c>
      <c r="C92" s="2" t="s">
        <v>18</v>
      </c>
      <c r="D92" s="2" t="s">
        <v>13</v>
      </c>
      <c r="E92" s="3">
        <v>205</v>
      </c>
      <c r="F92" s="3">
        <v>62</v>
      </c>
      <c r="G92" s="4">
        <v>79643000</v>
      </c>
      <c r="H92" s="4"/>
      <c r="I92" s="4">
        <f t="shared" si="2"/>
        <v>1284564.5161290322</v>
      </c>
      <c r="J92" s="2" t="s">
        <v>188</v>
      </c>
    </row>
  </sheetData>
  <autoFilter ref="A2:J92" xr:uid="{00000000-0009-0000-0000-000000000000}"/>
  <mergeCells count="1">
    <mergeCell ref="B1:K1"/>
  </mergeCells>
  <phoneticPr fontId="5" type="noConversion"/>
  <pageMargins left="0.75" right="0.75" top="1" bottom="1" header="0.5" footer="0.5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view="pageBreakPreview" zoomScale="60" zoomScaleNormal="100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7" customWidth="1"/>
    <col min="2" max="2" width="34" customWidth="1"/>
    <col min="3" max="3" width="12" customWidth="1"/>
    <col min="4" max="4" width="8" customWidth="1"/>
    <col min="5" max="5" width="16" customWidth="1"/>
    <col min="6" max="7" width="14" customWidth="1"/>
  </cols>
  <sheetData>
    <row r="1" spans="1:7" x14ac:dyDescent="0.3">
      <c r="B1" s="16" t="s">
        <v>364</v>
      </c>
      <c r="C1" s="16"/>
      <c r="D1" s="16"/>
      <c r="E1" s="16"/>
      <c r="F1" s="16"/>
      <c r="G1" s="16"/>
    </row>
    <row r="2" spans="1:7" x14ac:dyDescent="0.3">
      <c r="A2" s="13" t="s">
        <v>0</v>
      </c>
      <c r="B2" s="13" t="s">
        <v>1</v>
      </c>
      <c r="C2" s="13" t="s">
        <v>2</v>
      </c>
      <c r="D2" s="13" t="s">
        <v>5</v>
      </c>
      <c r="E2" s="13" t="s">
        <v>189</v>
      </c>
      <c r="F2" s="13" t="s">
        <v>190</v>
      </c>
      <c r="G2" s="13" t="s">
        <v>191</v>
      </c>
    </row>
    <row r="3" spans="1:7" x14ac:dyDescent="0.3">
      <c r="A3" s="2" t="s">
        <v>10</v>
      </c>
      <c r="B3" s="2" t="s">
        <v>193</v>
      </c>
      <c r="C3" s="2" t="s">
        <v>47</v>
      </c>
      <c r="D3" s="3">
        <v>10</v>
      </c>
      <c r="E3" s="4">
        <v>32538000</v>
      </c>
      <c r="F3" s="4">
        <f>E3/D3</f>
        <v>3253800</v>
      </c>
      <c r="G3" s="4">
        <f>E3/1.1/D3</f>
        <v>2957999.9999999995</v>
      </c>
    </row>
    <row r="4" spans="1:7" x14ac:dyDescent="0.3">
      <c r="A4" s="2" t="s">
        <v>10</v>
      </c>
      <c r="B4" s="2" t="s">
        <v>213</v>
      </c>
      <c r="C4" s="2" t="s">
        <v>12</v>
      </c>
      <c r="D4" s="3">
        <v>18.100000000000001</v>
      </c>
      <c r="E4" s="4">
        <v>10252000</v>
      </c>
      <c r="F4" s="4">
        <f>E4/D4</f>
        <v>566408.8397790055</v>
      </c>
      <c r="G4" s="4">
        <f>E4/1.1/D4</f>
        <v>514917.12707182317</v>
      </c>
    </row>
    <row r="5" spans="1:7" x14ac:dyDescent="0.3">
      <c r="A5" s="2" t="s">
        <v>10</v>
      </c>
      <c r="B5" s="2" t="s">
        <v>219</v>
      </c>
      <c r="C5" s="2" t="s">
        <v>27</v>
      </c>
      <c r="D5" s="3">
        <v>24.2</v>
      </c>
      <c r="E5" s="4">
        <v>33220000</v>
      </c>
      <c r="F5" s="4">
        <f>E5/D5</f>
        <v>1372727.2727272727</v>
      </c>
      <c r="G5" s="4">
        <f>E5/1.1/D5</f>
        <v>1247933.8842975206</v>
      </c>
    </row>
    <row r="6" spans="1:7" x14ac:dyDescent="0.3">
      <c r="A6" s="2" t="s">
        <v>10</v>
      </c>
      <c r="B6" s="2" t="s">
        <v>221</v>
      </c>
      <c r="C6" s="2" t="s">
        <v>27</v>
      </c>
      <c r="D6" s="3">
        <v>6.9</v>
      </c>
      <c r="E6" s="4">
        <v>6402000</v>
      </c>
      <c r="F6" s="4">
        <f>E6/D6</f>
        <v>927826.08695652173</v>
      </c>
      <c r="G6" s="4">
        <f>E6/1.1/D6</f>
        <v>843478.26086956507</v>
      </c>
    </row>
    <row r="7" spans="1:7" x14ac:dyDescent="0.3">
      <c r="A7" s="2" t="s">
        <v>10</v>
      </c>
      <c r="B7" s="2" t="s">
        <v>222</v>
      </c>
      <c r="C7" s="2" t="s">
        <v>27</v>
      </c>
      <c r="D7" s="3">
        <v>28.7</v>
      </c>
      <c r="E7" s="4">
        <v>23287000</v>
      </c>
      <c r="F7" s="4">
        <f>E7/D7</f>
        <v>811393.72822299658</v>
      </c>
      <c r="G7" s="4">
        <f>E7/1.1/D7</f>
        <v>737630.66202090599</v>
      </c>
    </row>
    <row r="8" spans="1:7" x14ac:dyDescent="0.3">
      <c r="A8" s="2" t="s">
        <v>10</v>
      </c>
      <c r="B8" s="2" t="s">
        <v>229</v>
      </c>
      <c r="C8" s="2" t="s">
        <v>18</v>
      </c>
      <c r="D8" s="3">
        <v>43.1</v>
      </c>
      <c r="E8" s="4">
        <v>96162000</v>
      </c>
      <c r="F8" s="4">
        <f>E8/D8</f>
        <v>2231136.8909512758</v>
      </c>
      <c r="G8" s="4">
        <f>E8/1.1/D8</f>
        <v>2028306.26450116</v>
      </c>
    </row>
    <row r="9" spans="1:7" x14ac:dyDescent="0.3">
      <c r="A9" s="2" t="s">
        <v>10</v>
      </c>
      <c r="B9" s="2" t="s">
        <v>230</v>
      </c>
      <c r="C9" s="2" t="s">
        <v>18</v>
      </c>
      <c r="D9" s="3">
        <v>14.5</v>
      </c>
      <c r="E9" s="4">
        <v>25916000</v>
      </c>
      <c r="F9" s="4">
        <f>E9/D9</f>
        <v>1787310.3448275863</v>
      </c>
      <c r="G9" s="4">
        <f>E9/1.1/D9</f>
        <v>1624827.5862068962</v>
      </c>
    </row>
    <row r="10" spans="1:7" x14ac:dyDescent="0.3">
      <c r="A10" s="2" t="s">
        <v>10</v>
      </c>
      <c r="B10" s="2" t="s">
        <v>236</v>
      </c>
      <c r="C10" s="2" t="s">
        <v>18</v>
      </c>
      <c r="D10" s="3">
        <v>27.2</v>
      </c>
      <c r="E10" s="4">
        <v>31856000</v>
      </c>
      <c r="F10" s="4">
        <f>E10/D10</f>
        <v>1171176.4705882354</v>
      </c>
      <c r="G10" s="4">
        <f>E10/1.1/D10</f>
        <v>1064705.882352941</v>
      </c>
    </row>
    <row r="11" spans="1:7" x14ac:dyDescent="0.3">
      <c r="A11" s="2" t="s">
        <v>10</v>
      </c>
      <c r="B11" s="2" t="s">
        <v>238</v>
      </c>
      <c r="C11" s="2" t="s">
        <v>18</v>
      </c>
      <c r="D11" s="3">
        <v>45.4</v>
      </c>
      <c r="E11" s="4">
        <v>31999000</v>
      </c>
      <c r="F11" s="4">
        <f>E11/D11</f>
        <v>704823.78854625556</v>
      </c>
      <c r="G11" s="4">
        <f>E11/1.1/D11</f>
        <v>640748.89867841406</v>
      </c>
    </row>
    <row r="12" spans="1:7" x14ac:dyDescent="0.3">
      <c r="A12" s="2" t="s">
        <v>51</v>
      </c>
      <c r="B12" s="2" t="s">
        <v>192</v>
      </c>
      <c r="C12" s="2" t="s">
        <v>21</v>
      </c>
      <c r="D12" s="3">
        <v>9.6999999999999993</v>
      </c>
      <c r="E12" s="4">
        <v>36905000</v>
      </c>
      <c r="F12" s="4">
        <f>E12/D12</f>
        <v>3804639.1752577322</v>
      </c>
      <c r="G12" s="4">
        <f>E12/1.1/D12</f>
        <v>3458762.8865979379</v>
      </c>
    </row>
    <row r="13" spans="1:7" x14ac:dyDescent="0.3">
      <c r="A13" s="2" t="s">
        <v>51</v>
      </c>
      <c r="B13" s="2" t="s">
        <v>194</v>
      </c>
      <c r="C13" s="2" t="s">
        <v>47</v>
      </c>
      <c r="D13" s="3">
        <v>7.1</v>
      </c>
      <c r="E13" s="4">
        <v>18282000</v>
      </c>
      <c r="F13" s="4">
        <f>E13/D13</f>
        <v>2574929.5774647887</v>
      </c>
      <c r="G13" s="4">
        <f>E13/1.1/D13</f>
        <v>2340845.0704225353</v>
      </c>
    </row>
    <row r="14" spans="1:7" x14ac:dyDescent="0.3">
      <c r="A14" s="2" t="s">
        <v>51</v>
      </c>
      <c r="B14" s="2" t="s">
        <v>197</v>
      </c>
      <c r="C14" s="2" t="s">
        <v>47</v>
      </c>
      <c r="D14" s="3">
        <v>12.9</v>
      </c>
      <c r="E14" s="4">
        <v>29205000</v>
      </c>
      <c r="F14" s="4">
        <f>E14/D14</f>
        <v>2263953.4883720931</v>
      </c>
      <c r="G14" s="4">
        <f>E14/1.1/D14</f>
        <v>2058139.5348837206</v>
      </c>
    </row>
    <row r="15" spans="1:7" x14ac:dyDescent="0.3">
      <c r="A15" s="2" t="s">
        <v>51</v>
      </c>
      <c r="B15" s="2" t="s">
        <v>198</v>
      </c>
      <c r="C15" s="2" t="s">
        <v>47</v>
      </c>
      <c r="D15" s="3">
        <v>13.6</v>
      </c>
      <c r="E15" s="4">
        <v>30437000</v>
      </c>
      <c r="F15" s="4">
        <f>E15/D15</f>
        <v>2238014.7058823528</v>
      </c>
      <c r="G15" s="4">
        <f>E15/1.1/D15</f>
        <v>2034558.8235294116</v>
      </c>
    </row>
    <row r="16" spans="1:7" x14ac:dyDescent="0.3">
      <c r="A16" s="2" t="s">
        <v>51</v>
      </c>
      <c r="B16" s="2" t="s">
        <v>199</v>
      </c>
      <c r="C16" s="2" t="s">
        <v>47</v>
      </c>
      <c r="D16" s="3">
        <v>7.9</v>
      </c>
      <c r="E16" s="4">
        <v>16379000</v>
      </c>
      <c r="F16" s="4">
        <f>E16/D16</f>
        <v>2073291.1392405063</v>
      </c>
      <c r="G16" s="4">
        <f>E16/1.1/D16</f>
        <v>1884810.1265822782</v>
      </c>
    </row>
    <row r="17" spans="1:7" x14ac:dyDescent="0.3">
      <c r="A17" s="2" t="s">
        <v>51</v>
      </c>
      <c r="B17" s="2" t="s">
        <v>200</v>
      </c>
      <c r="C17" s="2" t="s">
        <v>47</v>
      </c>
      <c r="D17" s="3">
        <v>11.8</v>
      </c>
      <c r="E17" s="4">
        <v>21000000</v>
      </c>
      <c r="F17" s="4">
        <f>E17/D17</f>
        <v>1779661.0169491523</v>
      </c>
      <c r="G17" s="4">
        <f>E17/1.1/D17</f>
        <v>1617873.6517719566</v>
      </c>
    </row>
    <row r="18" spans="1:7" x14ac:dyDescent="0.3">
      <c r="A18" s="2" t="s">
        <v>51</v>
      </c>
      <c r="B18" s="2" t="s">
        <v>201</v>
      </c>
      <c r="C18" s="2" t="s">
        <v>47</v>
      </c>
      <c r="D18" s="3">
        <v>23.9</v>
      </c>
      <c r="E18" s="4">
        <v>35673000</v>
      </c>
      <c r="F18" s="4">
        <f>E18/D18</f>
        <v>1492594.1422594143</v>
      </c>
      <c r="G18" s="4">
        <f>E18/1.1/D18</f>
        <v>1356903.7656903765</v>
      </c>
    </row>
    <row r="19" spans="1:7" x14ac:dyDescent="0.3">
      <c r="A19" s="2" t="s">
        <v>51</v>
      </c>
      <c r="B19" s="2" t="s">
        <v>205</v>
      </c>
      <c r="C19" s="2" t="s">
        <v>12</v>
      </c>
      <c r="D19" s="3">
        <v>31</v>
      </c>
      <c r="E19" s="4">
        <v>53119000</v>
      </c>
      <c r="F19" s="4">
        <f>E19/D19</f>
        <v>1713516.1290322582</v>
      </c>
      <c r="G19" s="4">
        <f>E19/1.1/D19</f>
        <v>1557741.9354838708</v>
      </c>
    </row>
    <row r="20" spans="1:7" x14ac:dyDescent="0.3">
      <c r="A20" s="2" t="s">
        <v>51</v>
      </c>
      <c r="B20" s="2" t="s">
        <v>206</v>
      </c>
      <c r="C20" s="2" t="s">
        <v>12</v>
      </c>
      <c r="D20" s="3">
        <v>10.6</v>
      </c>
      <c r="E20" s="4">
        <v>17578000</v>
      </c>
      <c r="F20" s="4">
        <f>E20/D20</f>
        <v>1658301.8867924528</v>
      </c>
      <c r="G20" s="4">
        <f>E20/1.1/D20</f>
        <v>1507547.1698113207</v>
      </c>
    </row>
    <row r="21" spans="1:7" x14ac:dyDescent="0.3">
      <c r="A21" s="2" t="s">
        <v>51</v>
      </c>
      <c r="B21" s="2" t="s">
        <v>207</v>
      </c>
      <c r="C21" s="2" t="s">
        <v>12</v>
      </c>
      <c r="D21" s="3">
        <v>98.6</v>
      </c>
      <c r="E21" s="4">
        <v>160413000</v>
      </c>
      <c r="F21" s="4">
        <f>E21/D21</f>
        <v>1626906.6937119677</v>
      </c>
      <c r="G21" s="4">
        <f>E21/1.1/D21</f>
        <v>1479006.0851926978</v>
      </c>
    </row>
    <row r="22" spans="1:7" x14ac:dyDescent="0.3">
      <c r="A22" s="2" t="s">
        <v>51</v>
      </c>
      <c r="B22" s="2" t="s">
        <v>208</v>
      </c>
      <c r="C22" s="2" t="s">
        <v>12</v>
      </c>
      <c r="D22" s="3">
        <v>34.5</v>
      </c>
      <c r="E22" s="4">
        <v>45001000</v>
      </c>
      <c r="F22" s="4">
        <f>E22/D22</f>
        <v>1304376.8115942029</v>
      </c>
      <c r="G22" s="4">
        <f>E22/1.1/D22</f>
        <v>1185797.1014492754</v>
      </c>
    </row>
    <row r="23" spans="1:7" x14ac:dyDescent="0.3">
      <c r="A23" s="2" t="s">
        <v>51</v>
      </c>
      <c r="B23" s="2" t="s">
        <v>209</v>
      </c>
      <c r="C23" s="2" t="s">
        <v>12</v>
      </c>
      <c r="D23" s="3">
        <v>29.6</v>
      </c>
      <c r="E23" s="4">
        <v>34529000</v>
      </c>
      <c r="F23" s="4">
        <f>E23/D23</f>
        <v>1166520.2702702703</v>
      </c>
      <c r="G23" s="4">
        <f>E23/1.1/D23</f>
        <v>1060472.9729729728</v>
      </c>
    </row>
    <row r="24" spans="1:7" x14ac:dyDescent="0.3">
      <c r="A24" s="2" t="s">
        <v>51</v>
      </c>
      <c r="B24" s="2" t="s">
        <v>210</v>
      </c>
      <c r="C24" s="2" t="s">
        <v>12</v>
      </c>
      <c r="D24" s="3">
        <v>47.5</v>
      </c>
      <c r="E24" s="4">
        <v>40931000</v>
      </c>
      <c r="F24" s="4">
        <f>E24/D24</f>
        <v>861705.26315789472</v>
      </c>
      <c r="G24" s="4">
        <f>E24/1.1/D24</f>
        <v>783368.42105263157</v>
      </c>
    </row>
    <row r="25" spans="1:7" x14ac:dyDescent="0.3">
      <c r="A25" s="2" t="s">
        <v>51</v>
      </c>
      <c r="B25" s="2" t="s">
        <v>211</v>
      </c>
      <c r="C25" s="2" t="s">
        <v>12</v>
      </c>
      <c r="D25" s="3">
        <v>45.4</v>
      </c>
      <c r="E25" s="4">
        <v>32494000</v>
      </c>
      <c r="F25" s="4">
        <f>E25/D25</f>
        <v>715726.87224669603</v>
      </c>
      <c r="G25" s="4">
        <f>E25/1.1/D25</f>
        <v>650660.79295154184</v>
      </c>
    </row>
    <row r="26" spans="1:7" x14ac:dyDescent="0.3">
      <c r="A26" s="2" t="s">
        <v>51</v>
      </c>
      <c r="B26" s="2" t="s">
        <v>214</v>
      </c>
      <c r="C26" s="2" t="s">
        <v>27</v>
      </c>
      <c r="D26" s="3">
        <v>26.6</v>
      </c>
      <c r="E26" s="4">
        <v>72204000</v>
      </c>
      <c r="F26" s="4">
        <f>E26/D26</f>
        <v>2714436.0902255639</v>
      </c>
      <c r="G26" s="4">
        <f>E26/1.1/D26</f>
        <v>2467669.1729323305</v>
      </c>
    </row>
    <row r="27" spans="1:7" x14ac:dyDescent="0.3">
      <c r="A27" s="2" t="s">
        <v>51</v>
      </c>
      <c r="B27" s="2" t="s">
        <v>215</v>
      </c>
      <c r="C27" s="2" t="s">
        <v>27</v>
      </c>
      <c r="D27" s="3">
        <v>25.7</v>
      </c>
      <c r="E27" s="4">
        <v>58190000</v>
      </c>
      <c r="F27" s="4">
        <f>E27/D27</f>
        <v>2264202.3346303501</v>
      </c>
      <c r="G27" s="4">
        <f>E27/1.1/D27</f>
        <v>2058365.7587548636</v>
      </c>
    </row>
    <row r="28" spans="1:7" x14ac:dyDescent="0.3">
      <c r="A28" s="2" t="s">
        <v>51</v>
      </c>
      <c r="B28" s="2" t="s">
        <v>216</v>
      </c>
      <c r="C28" s="2" t="s">
        <v>27</v>
      </c>
      <c r="D28" s="3">
        <v>158.19999999999999</v>
      </c>
      <c r="E28" s="4">
        <v>291236000</v>
      </c>
      <c r="F28" s="4">
        <f>E28/D28</f>
        <v>1840935.5246523391</v>
      </c>
      <c r="G28" s="4">
        <f>E28/1.1/D28</f>
        <v>1673577.7496839443</v>
      </c>
    </row>
    <row r="29" spans="1:7" x14ac:dyDescent="0.3">
      <c r="A29" s="2" t="s">
        <v>51</v>
      </c>
      <c r="B29" s="2" t="s">
        <v>220</v>
      </c>
      <c r="C29" s="2" t="s">
        <v>27</v>
      </c>
      <c r="D29" s="3">
        <v>59.3</v>
      </c>
      <c r="E29" s="4">
        <v>76824000</v>
      </c>
      <c r="F29" s="4">
        <f>E29/D29</f>
        <v>1295514.333895447</v>
      </c>
      <c r="G29" s="4">
        <f>E29/1.1/D29</f>
        <v>1177740.3035413155</v>
      </c>
    </row>
    <row r="30" spans="1:7" x14ac:dyDescent="0.3">
      <c r="A30" s="2" t="s">
        <v>51</v>
      </c>
      <c r="B30" s="2" t="s">
        <v>223</v>
      </c>
      <c r="C30" s="2" t="s">
        <v>27</v>
      </c>
      <c r="D30" s="3">
        <v>15.1</v>
      </c>
      <c r="E30" s="4">
        <v>8085000</v>
      </c>
      <c r="F30" s="4">
        <f>E30/D30</f>
        <v>535430.46357615897</v>
      </c>
      <c r="G30" s="4">
        <f>E30/1.1/D30</f>
        <v>486754.96688741719</v>
      </c>
    </row>
    <row r="31" spans="1:7" x14ac:dyDescent="0.3">
      <c r="A31" s="2" t="s">
        <v>51</v>
      </c>
      <c r="B31" s="2" t="s">
        <v>224</v>
      </c>
      <c r="C31" s="2" t="s">
        <v>59</v>
      </c>
      <c r="D31" s="3">
        <v>39.6</v>
      </c>
      <c r="E31" s="4">
        <v>178607000</v>
      </c>
      <c r="F31" s="4">
        <f>E31/D31</f>
        <v>4510277.777777778</v>
      </c>
      <c r="G31" s="4">
        <f>E31/1.1/D31</f>
        <v>4100252.5252525252</v>
      </c>
    </row>
    <row r="32" spans="1:7" x14ac:dyDescent="0.3">
      <c r="A32" s="2" t="s">
        <v>51</v>
      </c>
      <c r="B32" s="2" t="s">
        <v>226</v>
      </c>
      <c r="C32" s="2" t="s">
        <v>59</v>
      </c>
      <c r="D32" s="3">
        <v>18.5</v>
      </c>
      <c r="E32" s="4">
        <v>29469000</v>
      </c>
      <c r="F32" s="4">
        <f>E32/D32</f>
        <v>1592918.9189189188</v>
      </c>
      <c r="G32" s="4">
        <f>E32/1.1/D32</f>
        <v>1448108.1081081079</v>
      </c>
    </row>
    <row r="33" spans="1:7" x14ac:dyDescent="0.3">
      <c r="A33" s="2" t="s">
        <v>51</v>
      </c>
      <c r="B33" s="2" t="s">
        <v>227</v>
      </c>
      <c r="C33" s="2" t="s">
        <v>59</v>
      </c>
      <c r="D33" s="3">
        <v>110.4</v>
      </c>
      <c r="E33" s="4">
        <v>99320000</v>
      </c>
      <c r="F33" s="4">
        <f>E33/D33</f>
        <v>899637.68115942029</v>
      </c>
      <c r="G33" s="4">
        <f>E33/1.1/D33</f>
        <v>817852.43741765467</v>
      </c>
    </row>
    <row r="34" spans="1:7" x14ac:dyDescent="0.3">
      <c r="A34" s="2" t="s">
        <v>51</v>
      </c>
      <c r="B34" s="2" t="s">
        <v>233</v>
      </c>
      <c r="C34" s="2" t="s">
        <v>18</v>
      </c>
      <c r="D34" s="3">
        <v>12.4</v>
      </c>
      <c r="E34" s="4">
        <v>18282000</v>
      </c>
      <c r="F34" s="4">
        <f>E34/D34</f>
        <v>1474354.8387096773</v>
      </c>
      <c r="G34" s="4">
        <f>E34/1.1/D34</f>
        <v>1340322.5806451612</v>
      </c>
    </row>
    <row r="35" spans="1:7" x14ac:dyDescent="0.3">
      <c r="A35" s="2" t="s">
        <v>51</v>
      </c>
      <c r="B35" s="2" t="s">
        <v>234</v>
      </c>
      <c r="C35" s="2" t="s">
        <v>18</v>
      </c>
      <c r="D35" s="3">
        <v>24.2</v>
      </c>
      <c r="E35" s="4">
        <v>33500000</v>
      </c>
      <c r="F35" s="4">
        <f>E35/D35</f>
        <v>1384297.5206611571</v>
      </c>
      <c r="G35" s="4">
        <f>E35/1.1/D35</f>
        <v>1258452.2915101426</v>
      </c>
    </row>
    <row r="36" spans="1:7" x14ac:dyDescent="0.3">
      <c r="A36" s="2" t="s">
        <v>51</v>
      </c>
      <c r="B36" s="2" t="s">
        <v>235</v>
      </c>
      <c r="C36" s="2" t="s">
        <v>18</v>
      </c>
      <c r="D36" s="3">
        <v>25.7</v>
      </c>
      <c r="E36" s="4">
        <v>30338000</v>
      </c>
      <c r="F36" s="4">
        <f>E36/D36</f>
        <v>1180466.9260700389</v>
      </c>
      <c r="G36" s="4">
        <f>E36/1.1/D36</f>
        <v>1073151.7509727625</v>
      </c>
    </row>
    <row r="37" spans="1:7" x14ac:dyDescent="0.3">
      <c r="A37" s="2" t="s">
        <v>126</v>
      </c>
      <c r="B37" s="2" t="s">
        <v>195</v>
      </c>
      <c r="C37" s="2" t="s">
        <v>47</v>
      </c>
      <c r="D37" s="3">
        <v>12.1</v>
      </c>
      <c r="E37" s="4">
        <v>30800000</v>
      </c>
      <c r="F37" s="4">
        <f>E37/D37</f>
        <v>2545454.5454545454</v>
      </c>
      <c r="G37" s="4">
        <f>E37/1.1/D37</f>
        <v>2314049.5867768591</v>
      </c>
    </row>
    <row r="38" spans="1:7" x14ac:dyDescent="0.3">
      <c r="A38" s="2" t="s">
        <v>126</v>
      </c>
      <c r="B38" s="2" t="s">
        <v>196</v>
      </c>
      <c r="C38" s="2" t="s">
        <v>47</v>
      </c>
      <c r="D38" s="3">
        <v>9.1</v>
      </c>
      <c r="E38" s="4">
        <v>23078000</v>
      </c>
      <c r="F38" s="4">
        <f>E38/D38</f>
        <v>2536043.9560439563</v>
      </c>
      <c r="G38" s="4">
        <f>E38/1.1/D38</f>
        <v>2305494.5054945056</v>
      </c>
    </row>
    <row r="39" spans="1:7" x14ac:dyDescent="0.3">
      <c r="A39" s="2" t="s">
        <v>126</v>
      </c>
      <c r="B39" s="2" t="s">
        <v>202</v>
      </c>
      <c r="C39" s="2" t="s">
        <v>12</v>
      </c>
      <c r="D39" s="3">
        <v>19.2</v>
      </c>
      <c r="E39" s="4">
        <v>74767000</v>
      </c>
      <c r="F39" s="4">
        <f>E39/D39</f>
        <v>3894114.5833333335</v>
      </c>
      <c r="G39" s="4">
        <f>E39/1.1/D39</f>
        <v>3540104.166666667</v>
      </c>
    </row>
    <row r="40" spans="1:7" x14ac:dyDescent="0.3">
      <c r="A40" s="2" t="s">
        <v>126</v>
      </c>
      <c r="B40" s="2" t="s">
        <v>203</v>
      </c>
      <c r="C40" s="2" t="s">
        <v>12</v>
      </c>
      <c r="D40" s="3">
        <v>27.2</v>
      </c>
      <c r="E40" s="4">
        <v>52899000</v>
      </c>
      <c r="F40" s="4">
        <f>E40/D40</f>
        <v>1944816.1764705882</v>
      </c>
      <c r="G40" s="4">
        <f>E40/1.1/D40</f>
        <v>1768014.7058823528</v>
      </c>
    </row>
    <row r="41" spans="1:7" x14ac:dyDescent="0.3">
      <c r="A41" s="2" t="s">
        <v>126</v>
      </c>
      <c r="B41" s="2" t="s">
        <v>204</v>
      </c>
      <c r="C41" s="2" t="s">
        <v>12</v>
      </c>
      <c r="D41" s="3">
        <v>27.9</v>
      </c>
      <c r="E41" s="4">
        <v>52789000</v>
      </c>
      <c r="F41" s="4">
        <f>E41/D41</f>
        <v>1892078.8530465951</v>
      </c>
      <c r="G41" s="4">
        <f>E41/1.1/D41</f>
        <v>1720071.6845878134</v>
      </c>
    </row>
    <row r="42" spans="1:7" x14ac:dyDescent="0.3">
      <c r="A42" s="2" t="s">
        <v>126</v>
      </c>
      <c r="B42" s="2" t="s">
        <v>212</v>
      </c>
      <c r="C42" s="2" t="s">
        <v>12</v>
      </c>
      <c r="D42" s="3">
        <v>34.799999999999997</v>
      </c>
      <c r="E42" s="4">
        <v>24090000</v>
      </c>
      <c r="F42" s="4">
        <f>E42/D42</f>
        <v>692241.37931034493</v>
      </c>
      <c r="G42" s="4">
        <f>E42/1.1/D42</f>
        <v>629310.3448275862</v>
      </c>
    </row>
    <row r="43" spans="1:7" x14ac:dyDescent="0.3">
      <c r="A43" s="2" t="s">
        <v>126</v>
      </c>
      <c r="B43" s="2" t="s">
        <v>217</v>
      </c>
      <c r="C43" s="2" t="s">
        <v>27</v>
      </c>
      <c r="D43" s="3">
        <v>32</v>
      </c>
      <c r="E43" s="4">
        <v>53130000</v>
      </c>
      <c r="F43" s="4">
        <f>E43/D43</f>
        <v>1660312.5</v>
      </c>
      <c r="G43" s="4">
        <f>E43/1.1/D43</f>
        <v>1509374.9999999998</v>
      </c>
    </row>
    <row r="44" spans="1:7" x14ac:dyDescent="0.3">
      <c r="A44" s="2" t="s">
        <v>126</v>
      </c>
      <c r="B44" s="2" t="s">
        <v>218</v>
      </c>
      <c r="C44" s="2" t="s">
        <v>27</v>
      </c>
      <c r="D44" s="3">
        <v>13.3</v>
      </c>
      <c r="E44" s="4">
        <v>21703000</v>
      </c>
      <c r="F44" s="4">
        <f>E44/D44</f>
        <v>1631804.5112781953</v>
      </c>
      <c r="G44" s="4">
        <f>E44/1.1/D44</f>
        <v>1483458.6466165413</v>
      </c>
    </row>
    <row r="45" spans="1:7" x14ac:dyDescent="0.3">
      <c r="A45" s="2" t="s">
        <v>126</v>
      </c>
      <c r="B45" s="2" t="s">
        <v>225</v>
      </c>
      <c r="C45" s="2" t="s">
        <v>59</v>
      </c>
      <c r="D45" s="3">
        <v>10.4</v>
      </c>
      <c r="E45" s="4">
        <v>39314000</v>
      </c>
      <c r="F45" s="4">
        <f>E45/D45</f>
        <v>3780192.3076923075</v>
      </c>
      <c r="G45" s="4">
        <f>E45/1.1/D45</f>
        <v>3436538.4615384615</v>
      </c>
    </row>
    <row r="46" spans="1:7" x14ac:dyDescent="0.3">
      <c r="A46" s="2" t="s">
        <v>126</v>
      </c>
      <c r="B46" s="2" t="s">
        <v>228</v>
      </c>
      <c r="C46" s="2" t="s">
        <v>59</v>
      </c>
      <c r="D46" s="3">
        <v>16</v>
      </c>
      <c r="E46" s="4">
        <v>9196000</v>
      </c>
      <c r="F46" s="4">
        <f>E46/D46</f>
        <v>574750</v>
      </c>
      <c r="G46" s="4">
        <f>E46/1.1/D46</f>
        <v>522499.99999999994</v>
      </c>
    </row>
    <row r="47" spans="1:7" x14ac:dyDescent="0.3">
      <c r="A47" s="2" t="s">
        <v>126</v>
      </c>
      <c r="B47" s="2" t="s">
        <v>231</v>
      </c>
      <c r="C47" s="2" t="s">
        <v>18</v>
      </c>
      <c r="D47" s="3">
        <v>9.4</v>
      </c>
      <c r="E47" s="4">
        <v>15851000</v>
      </c>
      <c r="F47" s="4">
        <f>E47/D47</f>
        <v>1686276.5957446808</v>
      </c>
      <c r="G47" s="4">
        <f>E47/1.1/D47</f>
        <v>1532978.723404255</v>
      </c>
    </row>
    <row r="48" spans="1:7" x14ac:dyDescent="0.3">
      <c r="A48" s="2" t="s">
        <v>126</v>
      </c>
      <c r="B48" s="2" t="s">
        <v>232</v>
      </c>
      <c r="C48" s="2" t="s">
        <v>18</v>
      </c>
      <c r="D48" s="3">
        <v>9.4</v>
      </c>
      <c r="E48" s="4">
        <v>15037000</v>
      </c>
      <c r="F48" s="4">
        <f>E48/D48</f>
        <v>1599680.8510638296</v>
      </c>
      <c r="G48" s="4">
        <f>E48/1.1/D48</f>
        <v>1454255.3191489358</v>
      </c>
    </row>
    <row r="49" spans="1:7" x14ac:dyDescent="0.3">
      <c r="A49" s="2" t="s">
        <v>126</v>
      </c>
      <c r="B49" s="2" t="s">
        <v>237</v>
      </c>
      <c r="C49" s="2" t="s">
        <v>18</v>
      </c>
      <c r="D49" s="3">
        <v>12.2</v>
      </c>
      <c r="E49" s="4">
        <v>11836000</v>
      </c>
      <c r="F49" s="4">
        <f>E49/D49</f>
        <v>970163.93442622956</v>
      </c>
      <c r="G49" s="4">
        <f>E49/1.1/D49</f>
        <v>881967.21311475418</v>
      </c>
    </row>
    <row r="50" spans="1:7" x14ac:dyDescent="0.3">
      <c r="A50" s="2" t="s">
        <v>126</v>
      </c>
      <c r="B50" s="2" t="s">
        <v>239</v>
      </c>
      <c r="C50" s="2" t="s">
        <v>18</v>
      </c>
      <c r="D50" s="3">
        <v>26.3</v>
      </c>
      <c r="E50" s="4">
        <v>15466000</v>
      </c>
      <c r="F50" s="4">
        <f>E50/D50</f>
        <v>588060.83650190115</v>
      </c>
      <c r="G50" s="4">
        <f>E50/1.1/D50</f>
        <v>534600.76045627368</v>
      </c>
    </row>
    <row r="52" spans="1:7" x14ac:dyDescent="0.3">
      <c r="A52" s="14" t="s">
        <v>240</v>
      </c>
    </row>
    <row r="53" spans="1:7" x14ac:dyDescent="0.3">
      <c r="A53" s="13" t="s">
        <v>2</v>
      </c>
      <c r="B53" s="13" t="s">
        <v>241</v>
      </c>
      <c r="C53" s="13" t="s">
        <v>242</v>
      </c>
      <c r="D53" s="13" t="s">
        <v>243</v>
      </c>
      <c r="E53" s="13" t="s">
        <v>244</v>
      </c>
    </row>
    <row r="54" spans="1:7" x14ac:dyDescent="0.3">
      <c r="A54" s="2" t="s">
        <v>12</v>
      </c>
      <c r="B54" s="2">
        <v>12</v>
      </c>
      <c r="C54" s="4">
        <v>1465641.7526530849</v>
      </c>
      <c r="D54" s="4">
        <v>566408.8397790055</v>
      </c>
      <c r="E54" s="4">
        <v>3894114.583333333</v>
      </c>
    </row>
    <row r="55" spans="1:7" x14ac:dyDescent="0.3">
      <c r="A55" s="2" t="s">
        <v>18</v>
      </c>
      <c r="B55" s="2">
        <v>11</v>
      </c>
      <c r="C55" s="4">
        <v>1384297.5206611571</v>
      </c>
      <c r="D55" s="4">
        <v>588060.83650190115</v>
      </c>
      <c r="E55" s="4">
        <v>2231136.8909512758</v>
      </c>
    </row>
    <row r="56" spans="1:7" x14ac:dyDescent="0.3">
      <c r="A56" s="2" t="s">
        <v>27</v>
      </c>
      <c r="B56" s="2">
        <v>10</v>
      </c>
      <c r="C56" s="4">
        <v>1502265.8920027339</v>
      </c>
      <c r="D56" s="4">
        <v>535430.46357615897</v>
      </c>
      <c r="E56" s="4">
        <v>2714436.0902255639</v>
      </c>
    </row>
    <row r="57" spans="1:7" x14ac:dyDescent="0.3">
      <c r="A57" s="2" t="s">
        <v>47</v>
      </c>
      <c r="B57" s="2">
        <v>9</v>
      </c>
      <c r="C57" s="4">
        <v>2263953.4883720931</v>
      </c>
      <c r="D57" s="4">
        <v>1492594.1422594141</v>
      </c>
      <c r="E57" s="4">
        <v>3253800</v>
      </c>
    </row>
    <row r="58" spans="1:7" x14ac:dyDescent="0.3">
      <c r="A58" s="2" t="s">
        <v>59</v>
      </c>
      <c r="B58" s="2">
        <v>5</v>
      </c>
      <c r="C58" s="4">
        <v>1592918.9189189191</v>
      </c>
      <c r="D58" s="4">
        <v>574750</v>
      </c>
      <c r="E58" s="4">
        <v>4510277.777777778</v>
      </c>
    </row>
    <row r="59" spans="1:7" x14ac:dyDescent="0.3">
      <c r="A59" s="2" t="s">
        <v>21</v>
      </c>
      <c r="B59" s="2">
        <v>1</v>
      </c>
      <c r="C59" s="4">
        <v>3804639.1752577322</v>
      </c>
      <c r="D59" s="4">
        <v>3804639.1752577322</v>
      </c>
      <c r="E59" s="4">
        <v>3804639.1752577322</v>
      </c>
    </row>
    <row r="60" spans="1:7" x14ac:dyDescent="0.3">
      <c r="A60" s="5" t="s">
        <v>245</v>
      </c>
      <c r="B60" s="5">
        <v>48</v>
      </c>
      <c r="C60" s="6">
        <v>1629355.602495081</v>
      </c>
      <c r="D60" s="6">
        <v>535430.46357615897</v>
      </c>
      <c r="E60" s="6">
        <v>4510277.777777778</v>
      </c>
    </row>
    <row r="62" spans="1:7" x14ac:dyDescent="0.3">
      <c r="A62" s="7" t="s">
        <v>246</v>
      </c>
    </row>
  </sheetData>
  <autoFilter ref="A2:G50" xr:uid="{00000000-0009-0000-0000-000001000000}">
    <sortState xmlns:xlrd2="http://schemas.microsoft.com/office/spreadsheetml/2017/richdata2" ref="A3:G50">
      <sortCondition ref="A2:A50"/>
    </sortState>
  </autoFilter>
  <mergeCells count="1">
    <mergeCell ref="B1:G1"/>
  </mergeCells>
  <phoneticPr fontId="5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view="pageBreakPreview" zoomScale="60" zoomScaleNormal="100" workbookViewId="0">
      <selection activeCell="A2" sqref="A2"/>
    </sheetView>
  </sheetViews>
  <sheetFormatPr defaultRowHeight="16.5" x14ac:dyDescent="0.3"/>
  <cols>
    <col min="1" max="1" width="14" customWidth="1"/>
    <col min="2" max="2" width="6" customWidth="1"/>
    <col min="3" max="4" width="14" customWidth="1"/>
    <col min="5" max="6" width="12" customWidth="1"/>
    <col min="7" max="7" width="10" customWidth="1"/>
  </cols>
  <sheetData>
    <row r="1" spans="1:9" x14ac:dyDescent="0.3">
      <c r="A1" s="15" t="s">
        <v>365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" t="s">
        <v>2</v>
      </c>
      <c r="B2" s="1" t="s">
        <v>241</v>
      </c>
      <c r="C2" s="1" t="s">
        <v>247</v>
      </c>
      <c r="D2" s="1" t="s">
        <v>248</v>
      </c>
      <c r="E2" s="1" t="s">
        <v>243</v>
      </c>
      <c r="F2" s="1" t="s">
        <v>244</v>
      </c>
      <c r="G2" s="1" t="s">
        <v>249</v>
      </c>
    </row>
    <row r="3" spans="1:9" x14ac:dyDescent="0.3">
      <c r="A3" s="2" t="s">
        <v>18</v>
      </c>
      <c r="B3" s="2">
        <v>12</v>
      </c>
      <c r="C3" s="4">
        <v>1110880.131964809</v>
      </c>
      <c r="D3" s="4">
        <v>1065633.111083132</v>
      </c>
      <c r="E3" s="4">
        <v>456083.65019011399</v>
      </c>
      <c r="F3" s="4">
        <v>1733997.0997679811</v>
      </c>
      <c r="G3" s="4">
        <v>25.983333333333331</v>
      </c>
    </row>
    <row r="4" spans="1:9" x14ac:dyDescent="0.3">
      <c r="A4" s="2" t="s">
        <v>12</v>
      </c>
      <c r="B4" s="2">
        <v>12</v>
      </c>
      <c r="C4" s="4">
        <v>1133039.822735691</v>
      </c>
      <c r="D4" s="4">
        <v>1156941.238098016</v>
      </c>
      <c r="E4" s="4">
        <v>439088.3977900552</v>
      </c>
      <c r="F4" s="4">
        <v>2883809.375</v>
      </c>
      <c r="G4" s="4">
        <v>35.366666666666667</v>
      </c>
    </row>
    <row r="5" spans="1:9" x14ac:dyDescent="0.3">
      <c r="A5" s="2" t="s">
        <v>27</v>
      </c>
      <c r="B5" s="2">
        <v>10</v>
      </c>
      <c r="C5" s="4">
        <v>1162162.042502952</v>
      </c>
      <c r="D5" s="4">
        <v>1172370.9842319931</v>
      </c>
      <c r="E5" s="4">
        <v>414966.88741721847</v>
      </c>
      <c r="F5" s="4">
        <v>2121443.6090225559</v>
      </c>
      <c r="G5" s="4">
        <v>39</v>
      </c>
    </row>
    <row r="6" spans="1:9" x14ac:dyDescent="0.3">
      <c r="A6" s="2" t="s">
        <v>47</v>
      </c>
      <c r="B6" s="2">
        <v>9</v>
      </c>
      <c r="C6" s="4">
        <v>1745301.470588235</v>
      </c>
      <c r="D6" s="4">
        <v>1800105.737157003</v>
      </c>
      <c r="E6" s="4">
        <v>1161694.5606694559</v>
      </c>
      <c r="F6" s="4">
        <v>2535255</v>
      </c>
      <c r="G6" s="4">
        <v>12.044444444444441</v>
      </c>
    </row>
    <row r="7" spans="1:9" x14ac:dyDescent="0.3">
      <c r="A7" s="2" t="s">
        <v>59</v>
      </c>
      <c r="B7" s="2">
        <v>5</v>
      </c>
      <c r="C7" s="4">
        <v>1238448.648648649</v>
      </c>
      <c r="D7" s="4">
        <v>1755195.1981894099</v>
      </c>
      <c r="E7" s="4">
        <v>443640.625</v>
      </c>
      <c r="F7" s="4">
        <v>3444444.444444444</v>
      </c>
      <c r="G7" s="4">
        <v>38.979999999999997</v>
      </c>
    </row>
    <row r="8" spans="1:9" x14ac:dyDescent="0.3">
      <c r="A8" s="2" t="s">
        <v>21</v>
      </c>
      <c r="B8" s="2">
        <v>1</v>
      </c>
      <c r="C8" s="4">
        <v>2877325.7731958758</v>
      </c>
      <c r="D8" s="4">
        <v>2877325.7731958758</v>
      </c>
      <c r="E8" s="4">
        <v>2877325.7731958758</v>
      </c>
      <c r="F8" s="4">
        <v>2877325.7731958758</v>
      </c>
      <c r="G8" s="4">
        <v>9.6999999999999993</v>
      </c>
    </row>
    <row r="9" spans="1:9" x14ac:dyDescent="0.3">
      <c r="A9" s="5" t="s">
        <v>245</v>
      </c>
      <c r="B9" s="5">
        <v>49</v>
      </c>
      <c r="C9" s="6">
        <v>1260857.142857143</v>
      </c>
      <c r="D9" s="6">
        <v>1352017.4577765239</v>
      </c>
      <c r="E9" s="6">
        <v>414966.88741721847</v>
      </c>
      <c r="F9" s="6">
        <v>3444444.444444444</v>
      </c>
      <c r="G9" s="6">
        <v>29.37142857142857</v>
      </c>
    </row>
    <row r="11" spans="1:9" x14ac:dyDescent="0.3">
      <c r="A11" s="7" t="s">
        <v>250</v>
      </c>
    </row>
  </sheetData>
  <mergeCells count="1">
    <mergeCell ref="A1:I1"/>
  </mergeCells>
  <phoneticPr fontId="5" type="noConversion"/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view="pageBreakPreview" topLeftCell="A4" zoomScale="60" zoomScaleNormal="100" workbookViewId="0">
      <selection activeCell="A2" sqref="A2"/>
    </sheetView>
  </sheetViews>
  <sheetFormatPr defaultRowHeight="16.5" x14ac:dyDescent="0.3"/>
  <cols>
    <col min="1" max="2" width="10" customWidth="1"/>
    <col min="3" max="3" width="8" customWidth="1"/>
    <col min="4" max="4" width="9" customWidth="1"/>
    <col min="5" max="5" width="14" customWidth="1"/>
    <col min="6" max="7" width="9" customWidth="1"/>
    <col min="8" max="8" width="15" customWidth="1"/>
    <col min="9" max="9" width="9" customWidth="1"/>
  </cols>
  <sheetData>
    <row r="1" spans="1:9" x14ac:dyDescent="0.3">
      <c r="A1" s="16" t="s">
        <v>366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251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258</v>
      </c>
      <c r="I2" s="1" t="s">
        <v>259</v>
      </c>
    </row>
    <row r="3" spans="1:9" x14ac:dyDescent="0.3">
      <c r="A3" s="2" t="s">
        <v>260</v>
      </c>
      <c r="B3" s="2">
        <v>63</v>
      </c>
      <c r="C3" s="8">
        <v>0.7</v>
      </c>
      <c r="D3" s="8">
        <v>0.2425530783797723</v>
      </c>
      <c r="E3" s="4">
        <v>392889.70588235301</v>
      </c>
      <c r="F3" s="8">
        <v>0.42192588011834431</v>
      </c>
      <c r="G3" s="8">
        <v>0.51099288062486092</v>
      </c>
      <c r="H3" s="2">
        <v>0.66</v>
      </c>
      <c r="I3" s="4">
        <v>839</v>
      </c>
    </row>
    <row r="4" spans="1:9" x14ac:dyDescent="0.3">
      <c r="A4" s="2" t="s">
        <v>261</v>
      </c>
      <c r="B4" s="2">
        <v>58</v>
      </c>
      <c r="C4" s="8">
        <v>0.64444444444444449</v>
      </c>
      <c r="D4" s="8">
        <v>0.1213343454516958</v>
      </c>
      <c r="E4" s="4">
        <v>164470.9685598377</v>
      </c>
      <c r="F4" s="8">
        <v>0.53535986317203865</v>
      </c>
      <c r="G4" s="8">
        <v>0.43966543855674489</v>
      </c>
      <c r="H4" s="2">
        <v>0.28999999999999998</v>
      </c>
      <c r="I4" s="4">
        <v>379.5</v>
      </c>
    </row>
    <row r="5" spans="1:9" x14ac:dyDescent="0.3">
      <c r="A5" s="2" t="s">
        <v>262</v>
      </c>
      <c r="B5" s="2">
        <v>43</v>
      </c>
      <c r="C5" s="8">
        <v>0.4777777777777778</v>
      </c>
      <c r="D5" s="8">
        <v>9.3652960333621152E-2</v>
      </c>
      <c r="E5" s="4">
        <v>127375.4818673432</v>
      </c>
      <c r="F5" s="8">
        <v>0.98507979450666106</v>
      </c>
      <c r="G5" s="8">
        <v>1.273676078699665E-2</v>
      </c>
      <c r="H5" s="2">
        <v>0.11</v>
      </c>
      <c r="I5" s="4">
        <v>9</v>
      </c>
    </row>
    <row r="6" spans="1:9" x14ac:dyDescent="0.3">
      <c r="A6" s="2" t="s">
        <v>263</v>
      </c>
      <c r="B6" s="2">
        <v>23</v>
      </c>
      <c r="C6" s="8">
        <v>0.25555555555555548</v>
      </c>
      <c r="D6" s="8">
        <v>5.0576218957168947E-2</v>
      </c>
      <c r="E6" s="4">
        <v>189127.9395296752</v>
      </c>
      <c r="F6" s="8">
        <v>0.43505005775895261</v>
      </c>
      <c r="G6" s="8">
        <v>0.48719676549865232</v>
      </c>
      <c r="H6" s="2">
        <v>0.32</v>
      </c>
      <c r="I6" s="4">
        <v>184</v>
      </c>
    </row>
    <row r="7" spans="1:9" x14ac:dyDescent="0.3">
      <c r="A7" s="2" t="s">
        <v>264</v>
      </c>
      <c r="B7" s="2">
        <v>36</v>
      </c>
      <c r="C7" s="8">
        <v>0.4</v>
      </c>
      <c r="D7" s="8">
        <v>4.3330109342810598E-2</v>
      </c>
      <c r="E7" s="4">
        <v>87129.929908986291</v>
      </c>
      <c r="F7" s="8">
        <v>0.30394282953357982</v>
      </c>
      <c r="G7" s="8">
        <v>0.43540793509893588</v>
      </c>
      <c r="H7" s="2">
        <v>0.17</v>
      </c>
      <c r="I7" s="4">
        <v>163</v>
      </c>
    </row>
    <row r="8" spans="1:9" x14ac:dyDescent="0.3">
      <c r="A8" s="2" t="s">
        <v>265</v>
      </c>
      <c r="B8" s="2">
        <v>15</v>
      </c>
      <c r="C8" s="8">
        <v>0.16666666666666671</v>
      </c>
      <c r="D8" s="8">
        <v>4.3083460204153483E-2</v>
      </c>
      <c r="E8" s="4">
        <v>164857.49019287349</v>
      </c>
      <c r="F8" s="8">
        <v>0.50320034715630169</v>
      </c>
      <c r="G8" s="8">
        <v>0.42863406652021008</v>
      </c>
      <c r="H8" s="2">
        <v>0.22</v>
      </c>
      <c r="I8" s="4">
        <v>127</v>
      </c>
    </row>
    <row r="9" spans="1:9" x14ac:dyDescent="0.3">
      <c r="A9" s="2" t="s">
        <v>266</v>
      </c>
      <c r="B9" s="2">
        <v>20</v>
      </c>
      <c r="C9" s="8">
        <v>0.22222222222222221</v>
      </c>
      <c r="D9" s="8">
        <v>4.1747533296215708E-2</v>
      </c>
      <c r="E9" s="4">
        <v>118843.75</v>
      </c>
      <c r="F9" s="8">
        <v>0.50981089607155983</v>
      </c>
      <c r="G9" s="8">
        <v>0.46054357903821153</v>
      </c>
      <c r="H9" s="2">
        <v>0.17</v>
      </c>
      <c r="I9" s="4">
        <v>98</v>
      </c>
    </row>
    <row r="10" spans="1:9" x14ac:dyDescent="0.3">
      <c r="A10" s="2" t="s">
        <v>267</v>
      </c>
      <c r="B10" s="2">
        <v>68</v>
      </c>
      <c r="C10" s="8">
        <v>0.75555555555555554</v>
      </c>
      <c r="D10" s="8">
        <v>4.0340696951836078E-2</v>
      </c>
      <c r="E10" s="4">
        <v>52746.875</v>
      </c>
      <c r="F10" s="8">
        <v>0.26233824879665812</v>
      </c>
      <c r="G10" s="8">
        <v>0.448863310295115</v>
      </c>
      <c r="H10" s="2"/>
      <c r="I10" s="4"/>
    </row>
    <row r="11" spans="1:9" x14ac:dyDescent="0.3">
      <c r="A11" s="2" t="s">
        <v>268</v>
      </c>
      <c r="B11" s="2">
        <v>15</v>
      </c>
      <c r="C11" s="8">
        <v>0.16666666666666671</v>
      </c>
      <c r="D11" s="8">
        <v>3.9821225919395922E-2</v>
      </c>
      <c r="E11" s="4">
        <v>197730.2379988303</v>
      </c>
      <c r="F11" s="8">
        <v>0.989118474141093</v>
      </c>
      <c r="G11" s="8">
        <v>1.0881525858906961E-2</v>
      </c>
      <c r="H11" s="2">
        <v>0.04</v>
      </c>
      <c r="I11" s="4">
        <v>1</v>
      </c>
    </row>
    <row r="12" spans="1:9" x14ac:dyDescent="0.3">
      <c r="A12" s="2" t="s">
        <v>269</v>
      </c>
      <c r="B12" s="2">
        <v>19</v>
      </c>
      <c r="C12" s="8">
        <v>0.21111111111111111</v>
      </c>
      <c r="D12" s="8">
        <v>3.9785684294599298E-2</v>
      </c>
      <c r="E12" s="4">
        <v>107715.9350160571</v>
      </c>
      <c r="F12" s="8">
        <v>0.86820367854913916</v>
      </c>
      <c r="G12" s="8">
        <v>0.1199260863712569</v>
      </c>
      <c r="H12" s="2">
        <v>7.0000000000000007E-2</v>
      </c>
      <c r="I12" s="4">
        <v>36</v>
      </c>
    </row>
    <row r="13" spans="1:9" x14ac:dyDescent="0.3">
      <c r="A13" s="2" t="s">
        <v>270</v>
      </c>
      <c r="B13" s="2">
        <v>28</v>
      </c>
      <c r="C13" s="8">
        <v>0.31111111111111112</v>
      </c>
      <c r="D13" s="8">
        <v>3.6248853469176737E-2</v>
      </c>
      <c r="E13" s="4">
        <v>113305.0847457627</v>
      </c>
      <c r="F13" s="8">
        <v>0.63173886826622228</v>
      </c>
      <c r="G13" s="8">
        <v>0.33672430074233273</v>
      </c>
      <c r="H13" s="2">
        <v>0.11</v>
      </c>
      <c r="I13" s="4">
        <v>84</v>
      </c>
    </row>
    <row r="14" spans="1:9" x14ac:dyDescent="0.3">
      <c r="A14" s="2" t="s">
        <v>271</v>
      </c>
      <c r="B14" s="2">
        <v>31</v>
      </c>
      <c r="C14" s="8">
        <v>0.34444444444444439</v>
      </c>
      <c r="D14" s="8">
        <v>3.043775010151455E-2</v>
      </c>
      <c r="E14" s="4">
        <v>41021.735617323851</v>
      </c>
      <c r="F14" s="8">
        <v>0.38855031431450637</v>
      </c>
      <c r="G14" s="8">
        <v>0.58160180430922792</v>
      </c>
      <c r="H14" s="2">
        <v>0.1</v>
      </c>
      <c r="I14" s="4">
        <v>125</v>
      </c>
    </row>
    <row r="15" spans="1:9" x14ac:dyDescent="0.3">
      <c r="A15" s="2" t="s">
        <v>272</v>
      </c>
      <c r="B15" s="2">
        <v>22</v>
      </c>
      <c r="C15" s="8">
        <v>0.24444444444444441</v>
      </c>
      <c r="D15" s="8">
        <v>2.1642171707495141E-2</v>
      </c>
      <c r="E15" s="4">
        <v>83333.333333333343</v>
      </c>
      <c r="F15" s="8">
        <v>0.58831535493740372</v>
      </c>
      <c r="G15" s="8">
        <v>0.35184414474202219</v>
      </c>
      <c r="H15" s="2">
        <v>0.1</v>
      </c>
      <c r="I15" s="4">
        <v>61</v>
      </c>
    </row>
    <row r="16" spans="1:9" x14ac:dyDescent="0.3">
      <c r="A16" s="2" t="s">
        <v>273</v>
      </c>
      <c r="B16" s="2">
        <v>25</v>
      </c>
      <c r="C16" s="8">
        <v>0.27777777777777779</v>
      </c>
      <c r="D16" s="8">
        <v>1.9360934954281681E-2</v>
      </c>
      <c r="E16" s="4">
        <v>85652.173913043473</v>
      </c>
      <c r="F16" s="8">
        <v>0.38128049087159888</v>
      </c>
      <c r="G16" s="8">
        <v>0.5814011970024644</v>
      </c>
      <c r="H16" s="2">
        <v>0.18</v>
      </c>
      <c r="I16" s="4">
        <v>83</v>
      </c>
    </row>
    <row r="17" spans="1:9" x14ac:dyDescent="0.3">
      <c r="A17" s="2" t="s">
        <v>274</v>
      </c>
      <c r="B17" s="2">
        <v>17</v>
      </c>
      <c r="C17" s="8">
        <v>0.18888888888888891</v>
      </c>
      <c r="D17" s="8">
        <v>1.5268048105842339E-2</v>
      </c>
      <c r="E17" s="4">
        <v>45774.735752424538</v>
      </c>
      <c r="F17" s="8">
        <v>0.70886019922895449</v>
      </c>
      <c r="G17" s="8">
        <v>0.26307815896797843</v>
      </c>
      <c r="H17" s="2">
        <v>0.08</v>
      </c>
      <c r="I17" s="4">
        <v>32</v>
      </c>
    </row>
    <row r="18" spans="1:9" x14ac:dyDescent="0.3">
      <c r="A18" s="2" t="s">
        <v>275</v>
      </c>
      <c r="B18" s="2">
        <v>6</v>
      </c>
      <c r="C18" s="8">
        <v>6.6666666666666666E-2</v>
      </c>
      <c r="D18" s="8">
        <v>1.312070200882505E-2</v>
      </c>
      <c r="E18" s="4">
        <v>110627.1777003484</v>
      </c>
      <c r="F18" s="8">
        <v>0.66121191880960328</v>
      </c>
      <c r="G18" s="8">
        <v>0.31466844780882408</v>
      </c>
      <c r="H18" s="2">
        <v>7.0000000000000007E-2</v>
      </c>
      <c r="I18" s="4">
        <v>29</v>
      </c>
    </row>
    <row r="19" spans="1:9" x14ac:dyDescent="0.3">
      <c r="A19" s="2" t="s">
        <v>276</v>
      </c>
      <c r="B19" s="2">
        <v>3</v>
      </c>
      <c r="C19" s="8">
        <v>3.3333333333333333E-2</v>
      </c>
      <c r="D19" s="8">
        <v>1.288359555299004E-2</v>
      </c>
      <c r="E19" s="4">
        <v>260053.5857104772</v>
      </c>
      <c r="F19" s="8">
        <v>0.98866298843624822</v>
      </c>
      <c r="G19" s="8">
        <v>0</v>
      </c>
      <c r="H19" s="2"/>
      <c r="I19" s="4"/>
    </row>
    <row r="20" spans="1:9" x14ac:dyDescent="0.3">
      <c r="A20" s="2" t="s">
        <v>277</v>
      </c>
      <c r="B20" s="2">
        <v>13</v>
      </c>
      <c r="C20" s="8">
        <v>0.1444444444444444</v>
      </c>
      <c r="D20" s="8">
        <v>1.0791703154343789E-2</v>
      </c>
      <c r="E20" s="4">
        <v>34490.431930016399</v>
      </c>
      <c r="F20" s="8">
        <v>0.52561198985806712</v>
      </c>
      <c r="G20" s="8">
        <v>0.45250706055383622</v>
      </c>
      <c r="H20" s="2">
        <v>7.0000000000000007E-2</v>
      </c>
      <c r="I20" s="4">
        <v>36</v>
      </c>
    </row>
    <row r="21" spans="1:9" x14ac:dyDescent="0.3">
      <c r="A21" s="2" t="s">
        <v>278</v>
      </c>
      <c r="B21" s="2">
        <v>11</v>
      </c>
      <c r="C21" s="8">
        <v>0.1222222222222222</v>
      </c>
      <c r="D21" s="8">
        <v>8.7941177793017349E-3</v>
      </c>
      <c r="E21" s="4">
        <v>40778.897928703373</v>
      </c>
      <c r="F21" s="8">
        <v>0.95570934256055362</v>
      </c>
      <c r="G21" s="8">
        <v>2.4913494809688581E-2</v>
      </c>
      <c r="H21" s="2">
        <v>0.02</v>
      </c>
      <c r="I21" s="4">
        <v>2</v>
      </c>
    </row>
    <row r="22" spans="1:9" x14ac:dyDescent="0.3">
      <c r="A22" s="2" t="s">
        <v>279</v>
      </c>
      <c r="B22" s="2">
        <v>1</v>
      </c>
      <c r="C22" s="8">
        <v>1.111111111111111E-2</v>
      </c>
      <c r="D22" s="8">
        <v>8.2231634861647303E-3</v>
      </c>
      <c r="E22" s="4">
        <v>879677.08333333337</v>
      </c>
      <c r="F22" s="8">
        <v>0.57962794112422877</v>
      </c>
      <c r="G22" s="8">
        <v>0.37300619308695188</v>
      </c>
      <c r="H22" s="2">
        <v>1.0900000000000001</v>
      </c>
      <c r="I22" s="4">
        <v>21</v>
      </c>
    </row>
    <row r="23" spans="1:9" x14ac:dyDescent="0.3">
      <c r="A23" s="2" t="s">
        <v>280</v>
      </c>
      <c r="B23" s="2">
        <v>2</v>
      </c>
      <c r="C23" s="8">
        <v>2.222222222222222E-2</v>
      </c>
      <c r="D23" s="8">
        <v>7.7407711320757527E-3</v>
      </c>
      <c r="E23" s="4">
        <v>165788.34913899921</v>
      </c>
      <c r="F23" s="8">
        <v>0.86665828039499337</v>
      </c>
      <c r="G23" s="8">
        <v>0.11321466758915651</v>
      </c>
      <c r="H23" s="2"/>
      <c r="I23" s="4"/>
    </row>
    <row r="24" spans="1:9" x14ac:dyDescent="0.3">
      <c r="A24" s="2" t="s">
        <v>281</v>
      </c>
      <c r="B24" s="2">
        <v>1</v>
      </c>
      <c r="C24" s="8">
        <v>1.111111111111111E-2</v>
      </c>
      <c r="D24" s="8">
        <v>6.6078209827367829E-3</v>
      </c>
      <c r="E24" s="4">
        <v>342727.27272727271</v>
      </c>
      <c r="F24" s="8">
        <v>0.67160330091364573</v>
      </c>
      <c r="G24" s="8">
        <v>0.1809608016504568</v>
      </c>
      <c r="H24" s="2"/>
      <c r="I24" s="4"/>
    </row>
    <row r="25" spans="1:9" x14ac:dyDescent="0.3">
      <c r="A25" s="2" t="s">
        <v>282</v>
      </c>
      <c r="B25" s="2">
        <v>1</v>
      </c>
      <c r="C25" s="8">
        <v>1.111111111111111E-2</v>
      </c>
      <c r="D25" s="8">
        <v>5.1997883949033924E-3</v>
      </c>
      <c r="E25" s="4">
        <v>392647.0588235294</v>
      </c>
      <c r="F25" s="8">
        <v>1</v>
      </c>
      <c r="G25" s="8">
        <v>0</v>
      </c>
      <c r="H25" s="2"/>
      <c r="I25" s="4"/>
    </row>
    <row r="26" spans="1:9" x14ac:dyDescent="0.3">
      <c r="A26" s="2" t="s">
        <v>283</v>
      </c>
      <c r="B26" s="2">
        <v>1</v>
      </c>
      <c r="C26" s="8">
        <v>1.111111111111111E-2</v>
      </c>
      <c r="D26" s="8">
        <v>5.1109343329118319E-3</v>
      </c>
      <c r="E26" s="4">
        <v>365766.55052264809</v>
      </c>
      <c r="F26" s="8">
        <v>0.70945463205525128</v>
      </c>
      <c r="G26" s="8">
        <v>0.29054536794474872</v>
      </c>
      <c r="H26" s="2">
        <v>0.42</v>
      </c>
      <c r="I26" s="4">
        <v>12</v>
      </c>
    </row>
    <row r="27" spans="1:9" x14ac:dyDescent="0.3">
      <c r="A27" s="2" t="s">
        <v>284</v>
      </c>
      <c r="B27" s="2">
        <v>1</v>
      </c>
      <c r="C27" s="8">
        <v>1.111111111111111E-2</v>
      </c>
      <c r="D27" s="8">
        <v>3.4570316009374098E-3</v>
      </c>
      <c r="E27" s="4"/>
      <c r="F27" s="8">
        <v>0.47186817829730299</v>
      </c>
      <c r="G27" s="8">
        <v>0.38025491162594183</v>
      </c>
      <c r="H27" s="2"/>
      <c r="I27" s="4">
        <v>9</v>
      </c>
    </row>
    <row r="28" spans="1:9" x14ac:dyDescent="0.3">
      <c r="A28" s="2" t="s">
        <v>285</v>
      </c>
      <c r="B28" s="2">
        <v>9</v>
      </c>
      <c r="C28" s="8">
        <v>0.1</v>
      </c>
      <c r="D28" s="8">
        <v>3.254493026753907E-3</v>
      </c>
      <c r="E28" s="4">
        <v>17218.75</v>
      </c>
      <c r="F28" s="8">
        <v>0.85638417233899322</v>
      </c>
      <c r="G28" s="8">
        <v>0.14211982945620469</v>
      </c>
      <c r="H28" s="2">
        <v>0.03</v>
      </c>
      <c r="I28" s="4">
        <v>7</v>
      </c>
    </row>
    <row r="29" spans="1:9" x14ac:dyDescent="0.3">
      <c r="A29" s="2" t="s">
        <v>286</v>
      </c>
      <c r="B29" s="2">
        <v>5</v>
      </c>
      <c r="C29" s="8">
        <v>5.5555555555555552E-2</v>
      </c>
      <c r="D29" s="8">
        <v>3.233315087090845E-3</v>
      </c>
      <c r="E29" s="4">
        <v>41912.632821723731</v>
      </c>
      <c r="F29" s="8">
        <v>0.85770189498512428</v>
      </c>
      <c r="G29" s="8">
        <v>0.13627491755009261</v>
      </c>
      <c r="H29" s="2"/>
      <c r="I29" s="4"/>
    </row>
    <row r="30" spans="1:9" x14ac:dyDescent="0.3">
      <c r="A30" s="2" t="s">
        <v>287</v>
      </c>
      <c r="B30" s="2">
        <v>1</v>
      </c>
      <c r="C30" s="8">
        <v>1.111111111111111E-2</v>
      </c>
      <c r="D30" s="8">
        <v>3.0018066805970849E-3</v>
      </c>
      <c r="E30" s="4">
        <v>321119.79166666669</v>
      </c>
      <c r="F30" s="8">
        <v>0.5150433865866515</v>
      </c>
      <c r="G30" s="8">
        <v>0.38926283350904223</v>
      </c>
      <c r="H30" s="2">
        <v>0.42</v>
      </c>
      <c r="I30" s="4">
        <v>8</v>
      </c>
    </row>
    <row r="31" spans="1:9" x14ac:dyDescent="0.3">
      <c r="A31" s="2" t="s">
        <v>288</v>
      </c>
      <c r="B31" s="2">
        <v>4</v>
      </c>
      <c r="C31" s="8">
        <v>4.4444444444444453E-2</v>
      </c>
      <c r="D31" s="8">
        <v>2.9655347484416261E-3</v>
      </c>
      <c r="E31" s="4">
        <v>97459.459459459453</v>
      </c>
      <c r="F31" s="8">
        <v>0.67657199146281399</v>
      </c>
      <c r="G31" s="8">
        <v>0.29715974388441962</v>
      </c>
      <c r="H31" s="2">
        <v>0.11</v>
      </c>
      <c r="I31" s="4">
        <v>6</v>
      </c>
    </row>
    <row r="32" spans="1:9" x14ac:dyDescent="0.3">
      <c r="A32" s="2" t="s">
        <v>289</v>
      </c>
      <c r="B32" s="2">
        <v>1</v>
      </c>
      <c r="C32" s="8">
        <v>1.111111111111111E-2</v>
      </c>
      <c r="D32" s="8">
        <v>2.0318611337500308E-3</v>
      </c>
      <c r="E32" s="4">
        <v>430237.11340206192</v>
      </c>
      <c r="F32" s="8">
        <v>0.3075024560899049</v>
      </c>
      <c r="G32" s="8">
        <v>0.57508446553087489</v>
      </c>
      <c r="H32" s="2">
        <v>0.82</v>
      </c>
      <c r="I32" s="4">
        <v>8</v>
      </c>
    </row>
    <row r="33" spans="1:9" x14ac:dyDescent="0.3">
      <c r="A33" s="2" t="s">
        <v>290</v>
      </c>
      <c r="B33" s="2">
        <v>2</v>
      </c>
      <c r="C33" s="8">
        <v>2.222222222222222E-2</v>
      </c>
      <c r="D33" s="8">
        <v>1.829176498094761E-3</v>
      </c>
      <c r="E33" s="4">
        <v>91187.845303867391</v>
      </c>
      <c r="F33" s="8">
        <v>0.33457545914293318</v>
      </c>
      <c r="G33" s="8">
        <v>0.66542454085706682</v>
      </c>
      <c r="H33" s="2">
        <v>0.22</v>
      </c>
      <c r="I33" s="4">
        <v>9</v>
      </c>
    </row>
    <row r="34" spans="1:9" x14ac:dyDescent="0.3">
      <c r="A34" s="2" t="s">
        <v>291</v>
      </c>
      <c r="B34" s="2">
        <v>3</v>
      </c>
      <c r="C34" s="8">
        <v>3.3333333333333333E-2</v>
      </c>
      <c r="D34" s="8">
        <v>1.8257683970868651E-3</v>
      </c>
      <c r="E34" s="4"/>
      <c r="F34" s="8">
        <v>0.38933333333333331</v>
      </c>
      <c r="G34" s="8">
        <v>0.57066666666666666</v>
      </c>
      <c r="H34" s="2"/>
      <c r="I34" s="4">
        <v>8</v>
      </c>
    </row>
    <row r="35" spans="1:9" x14ac:dyDescent="0.3">
      <c r="A35" s="2" t="s">
        <v>292</v>
      </c>
      <c r="B35" s="2">
        <v>1</v>
      </c>
      <c r="C35" s="8">
        <v>1.111111111111111E-2</v>
      </c>
      <c r="D35" s="8">
        <v>1.7040505039477411E-3</v>
      </c>
      <c r="E35" s="4"/>
      <c r="F35" s="8">
        <v>1</v>
      </c>
      <c r="G35" s="8">
        <v>0</v>
      </c>
      <c r="H35" s="2"/>
      <c r="I35" s="4"/>
    </row>
    <row r="36" spans="1:9" x14ac:dyDescent="0.3">
      <c r="A36" s="2" t="s">
        <v>293</v>
      </c>
      <c r="B36" s="2">
        <v>1</v>
      </c>
      <c r="C36" s="8">
        <v>1.111111111111111E-2</v>
      </c>
      <c r="D36" s="8">
        <v>1.555067802745453E-3</v>
      </c>
      <c r="E36" s="4"/>
      <c r="F36" s="8">
        <v>0.33625547902316838</v>
      </c>
      <c r="G36" s="8">
        <v>0.56355666875391364</v>
      </c>
      <c r="H36" s="2"/>
      <c r="I36" s="4">
        <v>6</v>
      </c>
    </row>
    <row r="37" spans="1:9" x14ac:dyDescent="0.3">
      <c r="A37" s="2" t="s">
        <v>294</v>
      </c>
      <c r="B37" s="2">
        <v>1</v>
      </c>
      <c r="C37" s="8">
        <v>1.111111111111111E-2</v>
      </c>
      <c r="D37" s="8">
        <v>1.5024856729093511E-3</v>
      </c>
      <c r="E37" s="4">
        <v>166810.8108108108</v>
      </c>
      <c r="F37" s="8">
        <v>0.71289695398574204</v>
      </c>
      <c r="G37" s="8">
        <v>0.24303305249513929</v>
      </c>
      <c r="H37" s="2">
        <v>0.16</v>
      </c>
      <c r="I37" s="4">
        <v>3</v>
      </c>
    </row>
    <row r="38" spans="1:9" x14ac:dyDescent="0.3">
      <c r="A38" s="2" t="s">
        <v>295</v>
      </c>
      <c r="B38" s="2">
        <v>1</v>
      </c>
      <c r="C38" s="8">
        <v>1.111111111111111E-2</v>
      </c>
      <c r="D38" s="8">
        <v>1.369569733601427E-3</v>
      </c>
      <c r="E38" s="4">
        <v>95033.783783783772</v>
      </c>
      <c r="F38" s="8">
        <v>0.54141485958051905</v>
      </c>
      <c r="G38" s="8">
        <v>0.43725559900462141</v>
      </c>
      <c r="H38" s="2">
        <v>0.14000000000000001</v>
      </c>
      <c r="I38" s="4">
        <v>4</v>
      </c>
    </row>
    <row r="39" spans="1:9" x14ac:dyDescent="0.3">
      <c r="A39" s="2" t="s">
        <v>296</v>
      </c>
      <c r="B39" s="2">
        <v>1</v>
      </c>
      <c r="C39" s="8">
        <v>1.111111111111111E-2</v>
      </c>
      <c r="D39" s="8">
        <v>1.2634317307841109E-3</v>
      </c>
      <c r="E39" s="4">
        <v>43760.539629005063</v>
      </c>
      <c r="F39" s="8">
        <v>0.86512524084778419</v>
      </c>
      <c r="G39" s="8">
        <v>0.13487475915221581</v>
      </c>
      <c r="H39" s="2">
        <v>0.02</v>
      </c>
      <c r="I39" s="4">
        <v>1</v>
      </c>
    </row>
    <row r="40" spans="1:9" x14ac:dyDescent="0.3">
      <c r="A40" s="2" t="s">
        <v>297</v>
      </c>
      <c r="B40" s="2">
        <v>1</v>
      </c>
      <c r="C40" s="8">
        <v>1.111111111111111E-2</v>
      </c>
      <c r="D40" s="8">
        <v>1.251259941470198E-3</v>
      </c>
      <c r="E40" s="4"/>
      <c r="F40" s="8">
        <v>0.68482490272373542</v>
      </c>
      <c r="G40" s="8">
        <v>0.29182879377431908</v>
      </c>
      <c r="H40" s="2"/>
      <c r="I40" s="4">
        <v>3</v>
      </c>
    </row>
    <row r="41" spans="1:9" x14ac:dyDescent="0.3">
      <c r="A41" s="2" t="s">
        <v>298</v>
      </c>
      <c r="B41" s="2">
        <v>1</v>
      </c>
      <c r="C41" s="8">
        <v>1.111111111111111E-2</v>
      </c>
      <c r="D41" s="8">
        <v>1.095461038252119E-3</v>
      </c>
      <c r="E41" s="4"/>
      <c r="F41" s="8">
        <v>1</v>
      </c>
      <c r="G41" s="8">
        <v>0</v>
      </c>
      <c r="H41" s="2"/>
      <c r="I41" s="4"/>
    </row>
    <row r="42" spans="1:9" x14ac:dyDescent="0.3">
      <c r="A42" s="2" t="s">
        <v>299</v>
      </c>
      <c r="B42" s="2">
        <v>1</v>
      </c>
      <c r="C42" s="8">
        <v>1.111111111111111E-2</v>
      </c>
      <c r="D42" s="8">
        <v>1.078907404785198E-3</v>
      </c>
      <c r="E42" s="4">
        <v>228453.6082474227</v>
      </c>
      <c r="F42" s="8">
        <v>0.21028880866425989</v>
      </c>
      <c r="G42" s="8">
        <v>0.67689530685920574</v>
      </c>
      <c r="H42" s="2">
        <v>0.52</v>
      </c>
      <c r="I42" s="4">
        <v>5</v>
      </c>
    </row>
    <row r="43" spans="1:9" x14ac:dyDescent="0.3">
      <c r="A43" s="2" t="s">
        <v>300</v>
      </c>
      <c r="B43" s="2">
        <v>2</v>
      </c>
      <c r="C43" s="8">
        <v>2.222222222222222E-2</v>
      </c>
      <c r="D43" s="8">
        <v>1.071117459624294E-3</v>
      </c>
      <c r="E43" s="4">
        <v>55248.618784530379</v>
      </c>
      <c r="F43" s="8">
        <v>0.5</v>
      </c>
      <c r="G43" s="8">
        <v>0.5</v>
      </c>
      <c r="H43" s="2">
        <v>0.11</v>
      </c>
      <c r="I43" s="4">
        <v>5</v>
      </c>
    </row>
    <row r="44" spans="1:9" x14ac:dyDescent="0.3">
      <c r="A44" s="2" t="s">
        <v>301</v>
      </c>
      <c r="B44" s="2">
        <v>2</v>
      </c>
      <c r="C44" s="8">
        <v>2.222222222222222E-2</v>
      </c>
      <c r="D44" s="8">
        <v>5.5016487698884213E-4</v>
      </c>
      <c r="E44" s="4"/>
      <c r="F44" s="8">
        <v>0.82300884955752207</v>
      </c>
      <c r="G44" s="8">
        <v>0.13274336283185839</v>
      </c>
      <c r="H44" s="2"/>
      <c r="I44" s="4"/>
    </row>
  </sheetData>
  <mergeCells count="1">
    <mergeCell ref="A1:I1"/>
  </mergeCells>
  <phoneticPr fontId="5" type="noConversion"/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view="pageBreakPreview" zoomScale="60" zoomScaleNormal="100" workbookViewId="0">
      <selection activeCell="A2" sqref="A2"/>
    </sheetView>
  </sheetViews>
  <sheetFormatPr defaultRowHeight="16.5" x14ac:dyDescent="0.3"/>
  <cols>
    <col min="1" max="1" width="16" customWidth="1"/>
    <col min="2" max="2" width="14" customWidth="1"/>
    <col min="3" max="3" width="52" customWidth="1"/>
  </cols>
  <sheetData>
    <row r="1" spans="1:3" x14ac:dyDescent="0.3">
      <c r="A1" s="16" t="s">
        <v>367</v>
      </c>
      <c r="B1" s="16"/>
      <c r="C1" s="16"/>
    </row>
    <row r="2" spans="1:3" x14ac:dyDescent="0.3">
      <c r="A2" s="1" t="s">
        <v>302</v>
      </c>
      <c r="B2" s="1" t="s">
        <v>303</v>
      </c>
      <c r="C2" s="1" t="s">
        <v>304</v>
      </c>
    </row>
    <row r="3" spans="1:3" x14ac:dyDescent="0.3">
      <c r="A3" s="2" t="s">
        <v>305</v>
      </c>
      <c r="B3" s="9">
        <v>1.01E-2</v>
      </c>
      <c r="C3" s="2" t="s">
        <v>306</v>
      </c>
    </row>
    <row r="4" spans="1:3" x14ac:dyDescent="0.3">
      <c r="A4" s="2" t="s">
        <v>307</v>
      </c>
      <c r="B4" s="9">
        <v>3.56E-2</v>
      </c>
      <c r="C4" s="2" t="s">
        <v>308</v>
      </c>
    </row>
    <row r="5" spans="1:3" x14ac:dyDescent="0.3">
      <c r="A5" s="2" t="s">
        <v>309</v>
      </c>
      <c r="B5" s="9">
        <v>0.05</v>
      </c>
      <c r="C5" s="2" t="s">
        <v>310</v>
      </c>
    </row>
    <row r="6" spans="1:3" x14ac:dyDescent="0.3">
      <c r="A6" s="2" t="s">
        <v>311</v>
      </c>
      <c r="B6" s="9">
        <v>0.1</v>
      </c>
      <c r="C6" s="2" t="s">
        <v>312</v>
      </c>
    </row>
    <row r="7" spans="1:3" x14ac:dyDescent="0.3">
      <c r="A7" s="2" t="s">
        <v>313</v>
      </c>
      <c r="B7" s="9">
        <v>0.1</v>
      </c>
      <c r="C7" s="2" t="s">
        <v>314</v>
      </c>
    </row>
    <row r="8" spans="1:3" x14ac:dyDescent="0.3">
      <c r="A8" s="2" t="s">
        <v>315</v>
      </c>
      <c r="B8" s="2" t="s">
        <v>316</v>
      </c>
      <c r="C8" s="2" t="s">
        <v>317</v>
      </c>
    </row>
    <row r="9" spans="1:3" x14ac:dyDescent="0.3">
      <c r="A9" s="2" t="s">
        <v>318</v>
      </c>
      <c r="B9" s="4">
        <v>300000</v>
      </c>
      <c r="C9" s="2" t="s">
        <v>319</v>
      </c>
    </row>
  </sheetData>
  <mergeCells count="1">
    <mergeCell ref="A1:C1"/>
  </mergeCells>
  <phoneticPr fontId="5" type="noConversion"/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3"/>
  <sheetViews>
    <sheetView view="pageBreakPreview" zoomScale="60" zoomScaleNormal="100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7" customWidth="1"/>
    <col min="2" max="2" width="34" customWidth="1"/>
    <col min="3" max="3" width="12" customWidth="1"/>
    <col min="4" max="5" width="16" customWidth="1"/>
    <col min="6" max="6" width="13" customWidth="1"/>
    <col min="7" max="7" width="8" customWidth="1"/>
  </cols>
  <sheetData>
    <row r="1" spans="1:7" x14ac:dyDescent="0.3">
      <c r="B1" s="16" t="s">
        <v>368</v>
      </c>
      <c r="C1" s="16"/>
      <c r="D1" s="16"/>
      <c r="E1" s="16"/>
      <c r="F1" s="16"/>
      <c r="G1" s="16"/>
    </row>
    <row r="2" spans="1:7" x14ac:dyDescent="0.3">
      <c r="A2" s="10" t="s">
        <v>0</v>
      </c>
      <c r="B2" s="10" t="s">
        <v>1</v>
      </c>
      <c r="C2" s="10" t="s">
        <v>2</v>
      </c>
      <c r="D2" s="10" t="s">
        <v>320</v>
      </c>
      <c r="E2" s="10" t="s">
        <v>321</v>
      </c>
      <c r="F2" s="10" t="s">
        <v>322</v>
      </c>
      <c r="G2" s="10" t="s">
        <v>323</v>
      </c>
    </row>
    <row r="3" spans="1:7" x14ac:dyDescent="0.3">
      <c r="A3" s="2" t="s">
        <v>10</v>
      </c>
      <c r="B3" s="2" t="s">
        <v>324</v>
      </c>
      <c r="C3" s="2" t="s">
        <v>12</v>
      </c>
      <c r="D3" s="4">
        <v>27090000</v>
      </c>
      <c r="E3" s="4">
        <v>16213120</v>
      </c>
      <c r="F3" s="4">
        <f t="shared" ref="F3:F34" si="0">D3-E3</f>
        <v>10876880</v>
      </c>
      <c r="G3" s="8">
        <f t="shared" ref="G3:G34" si="1">IF(D3&gt;0,F3/D3,"")</f>
        <v>0.40150904392764858</v>
      </c>
    </row>
    <row r="4" spans="1:7" x14ac:dyDescent="0.3">
      <c r="A4" s="2" t="s">
        <v>10</v>
      </c>
      <c r="B4" s="2" t="s">
        <v>324</v>
      </c>
      <c r="C4" s="2" t="s">
        <v>12</v>
      </c>
      <c r="D4" s="4">
        <v>6760000</v>
      </c>
      <c r="E4" s="4">
        <v>3570000</v>
      </c>
      <c r="F4" s="4">
        <f t="shared" si="0"/>
        <v>3190000</v>
      </c>
      <c r="G4" s="8">
        <f t="shared" si="1"/>
        <v>0.47189349112426038</v>
      </c>
    </row>
    <row r="5" spans="1:7" x14ac:dyDescent="0.3">
      <c r="A5" s="2" t="s">
        <v>10</v>
      </c>
      <c r="B5" s="2" t="s">
        <v>325</v>
      </c>
      <c r="C5" s="2" t="s">
        <v>27</v>
      </c>
      <c r="D5" s="4">
        <v>72740000</v>
      </c>
      <c r="E5" s="4">
        <v>59532765</v>
      </c>
      <c r="F5" s="4">
        <f t="shared" si="0"/>
        <v>13207235</v>
      </c>
      <c r="G5" s="8">
        <f t="shared" si="1"/>
        <v>0.18156770690129229</v>
      </c>
    </row>
    <row r="6" spans="1:7" x14ac:dyDescent="0.3">
      <c r="A6" s="2" t="s">
        <v>10</v>
      </c>
      <c r="B6" s="2" t="s">
        <v>325</v>
      </c>
      <c r="C6" s="2" t="s">
        <v>27</v>
      </c>
      <c r="D6" s="4">
        <v>14720000</v>
      </c>
      <c r="E6" s="4">
        <v>10449360</v>
      </c>
      <c r="F6" s="4">
        <f t="shared" si="0"/>
        <v>4270640</v>
      </c>
      <c r="G6" s="8">
        <f t="shared" si="1"/>
        <v>0.29012500000000002</v>
      </c>
    </row>
    <row r="7" spans="1:7" x14ac:dyDescent="0.3">
      <c r="A7" s="2" t="s">
        <v>10</v>
      </c>
      <c r="B7" s="2" t="s">
        <v>193</v>
      </c>
      <c r="C7" s="2" t="s">
        <v>47</v>
      </c>
      <c r="D7" s="4">
        <v>29580000</v>
      </c>
      <c r="E7" s="4">
        <v>17577972</v>
      </c>
      <c r="F7" s="4">
        <f t="shared" si="0"/>
        <v>12002028</v>
      </c>
      <c r="G7" s="8">
        <f t="shared" si="1"/>
        <v>0.40574807302231236</v>
      </c>
    </row>
    <row r="8" spans="1:7" x14ac:dyDescent="0.3">
      <c r="A8" s="2" t="s">
        <v>10</v>
      </c>
      <c r="B8" s="2" t="s">
        <v>221</v>
      </c>
      <c r="C8" s="2" t="s">
        <v>27</v>
      </c>
      <c r="D8" s="4">
        <v>5820000</v>
      </c>
      <c r="E8" s="4">
        <v>2773776</v>
      </c>
      <c r="F8" s="4">
        <f t="shared" si="0"/>
        <v>3046224</v>
      </c>
      <c r="G8" s="8">
        <f t="shared" si="1"/>
        <v>0.52340618556701035</v>
      </c>
    </row>
    <row r="9" spans="1:7" x14ac:dyDescent="0.3">
      <c r="A9" s="2" t="s">
        <v>10</v>
      </c>
      <c r="B9" s="2" t="s">
        <v>238</v>
      </c>
      <c r="C9" s="2" t="s">
        <v>18</v>
      </c>
      <c r="D9" s="4">
        <v>29090000</v>
      </c>
      <c r="E9" s="4">
        <v>23008891</v>
      </c>
      <c r="F9" s="4">
        <f t="shared" si="0"/>
        <v>6081109</v>
      </c>
      <c r="G9" s="8">
        <f t="shared" si="1"/>
        <v>0.20904465452045376</v>
      </c>
    </row>
    <row r="10" spans="1:7" x14ac:dyDescent="0.3">
      <c r="A10" s="2" t="s">
        <v>10</v>
      </c>
      <c r="B10" s="2" t="s">
        <v>326</v>
      </c>
      <c r="C10" s="2" t="s">
        <v>18</v>
      </c>
      <c r="D10" s="4">
        <v>11390000</v>
      </c>
      <c r="E10" s="4">
        <v>4968794</v>
      </c>
      <c r="F10" s="4">
        <f t="shared" si="0"/>
        <v>6421206</v>
      </c>
      <c r="G10" s="8">
        <f t="shared" si="1"/>
        <v>0.56375820895522388</v>
      </c>
    </row>
    <row r="11" spans="1:7" x14ac:dyDescent="0.3">
      <c r="A11" s="2" t="s">
        <v>10</v>
      </c>
      <c r="B11" s="2" t="s">
        <v>327</v>
      </c>
      <c r="C11" s="2" t="s">
        <v>18</v>
      </c>
      <c r="D11" s="4">
        <v>34210000</v>
      </c>
      <c r="E11" s="4">
        <v>26497773</v>
      </c>
      <c r="F11" s="4">
        <f t="shared" si="0"/>
        <v>7712227</v>
      </c>
      <c r="G11" s="8">
        <f t="shared" si="1"/>
        <v>0.22543779596609179</v>
      </c>
    </row>
    <row r="12" spans="1:7" x14ac:dyDescent="0.3">
      <c r="A12" s="2" t="s">
        <v>10</v>
      </c>
      <c r="B12" s="2" t="s">
        <v>236</v>
      </c>
      <c r="C12" s="2" t="s">
        <v>27</v>
      </c>
      <c r="D12" s="4">
        <v>28960000</v>
      </c>
      <c r="E12" s="4">
        <v>26207491</v>
      </c>
      <c r="F12" s="4">
        <f t="shared" si="0"/>
        <v>2752509</v>
      </c>
      <c r="G12" s="8">
        <f t="shared" si="1"/>
        <v>9.5045200276243094E-2</v>
      </c>
    </row>
    <row r="13" spans="1:7" x14ac:dyDescent="0.3">
      <c r="A13" s="2" t="s">
        <v>10</v>
      </c>
      <c r="B13" s="2" t="s">
        <v>328</v>
      </c>
      <c r="C13" s="2" t="s">
        <v>18</v>
      </c>
      <c r="D13" s="4">
        <v>14980000</v>
      </c>
      <c r="E13" s="4">
        <v>9866305</v>
      </c>
      <c r="F13" s="4">
        <f t="shared" si="0"/>
        <v>5113695</v>
      </c>
      <c r="G13" s="8">
        <f t="shared" si="1"/>
        <v>0.34136815754339117</v>
      </c>
    </row>
    <row r="14" spans="1:7" x14ac:dyDescent="0.3">
      <c r="A14" s="2" t="s">
        <v>10</v>
      </c>
      <c r="B14" s="2" t="s">
        <v>329</v>
      </c>
      <c r="C14" s="2" t="s">
        <v>18</v>
      </c>
      <c r="D14" s="4">
        <v>3550000</v>
      </c>
      <c r="E14" s="4">
        <v>1712411</v>
      </c>
      <c r="F14" s="4">
        <f t="shared" si="0"/>
        <v>1837589</v>
      </c>
      <c r="G14" s="8">
        <f t="shared" si="1"/>
        <v>0.51763070422535207</v>
      </c>
    </row>
    <row r="15" spans="1:7" x14ac:dyDescent="0.3">
      <c r="A15" s="2" t="s">
        <v>10</v>
      </c>
      <c r="B15" s="2" t="s">
        <v>330</v>
      </c>
      <c r="C15" s="2" t="s">
        <v>18</v>
      </c>
      <c r="D15" s="4">
        <v>44660000</v>
      </c>
      <c r="E15" s="4">
        <v>31173079</v>
      </c>
      <c r="F15" s="4">
        <f t="shared" si="0"/>
        <v>13486921</v>
      </c>
      <c r="G15" s="8">
        <f t="shared" si="1"/>
        <v>0.30199106583072099</v>
      </c>
    </row>
    <row r="16" spans="1:7" x14ac:dyDescent="0.3">
      <c r="A16" s="2" t="s">
        <v>10</v>
      </c>
      <c r="B16" s="2" t="s">
        <v>331</v>
      </c>
      <c r="C16" s="2" t="s">
        <v>12</v>
      </c>
      <c r="D16" s="4">
        <v>24850000</v>
      </c>
      <c r="E16" s="4">
        <v>12806462</v>
      </c>
      <c r="F16" s="4">
        <f t="shared" si="0"/>
        <v>12043538</v>
      </c>
      <c r="G16" s="8">
        <f t="shared" si="1"/>
        <v>0.48464941649899396</v>
      </c>
    </row>
    <row r="17" spans="1:7" x14ac:dyDescent="0.3">
      <c r="A17" s="2" t="s">
        <v>10</v>
      </c>
      <c r="B17" s="2" t="s">
        <v>332</v>
      </c>
      <c r="C17" s="2" t="s">
        <v>27</v>
      </c>
      <c r="D17" s="4">
        <v>34490000</v>
      </c>
      <c r="E17" s="4">
        <v>26670044</v>
      </c>
      <c r="F17" s="4">
        <f t="shared" si="0"/>
        <v>7819956</v>
      </c>
      <c r="G17" s="8">
        <f t="shared" si="1"/>
        <v>0.22673111046680197</v>
      </c>
    </row>
    <row r="18" spans="1:7" x14ac:dyDescent="0.3">
      <c r="A18" s="2" t="s">
        <v>10</v>
      </c>
      <c r="B18" s="2" t="s">
        <v>333</v>
      </c>
      <c r="C18" s="2" t="s">
        <v>18</v>
      </c>
      <c r="D18" s="4">
        <v>13780000</v>
      </c>
      <c r="E18" s="4">
        <v>7392312</v>
      </c>
      <c r="F18" s="4">
        <f t="shared" si="0"/>
        <v>6387688</v>
      </c>
      <c r="G18" s="8">
        <f t="shared" si="1"/>
        <v>0.46354775036284468</v>
      </c>
    </row>
    <row r="19" spans="1:7" x14ac:dyDescent="0.3">
      <c r="A19" s="2" t="s">
        <v>10</v>
      </c>
      <c r="B19" s="2" t="s">
        <v>229</v>
      </c>
      <c r="C19" s="2" t="s">
        <v>18</v>
      </c>
      <c r="D19" s="4">
        <v>87420000</v>
      </c>
      <c r="E19" s="4">
        <v>65263808</v>
      </c>
      <c r="F19" s="4">
        <f t="shared" si="0"/>
        <v>22156192</v>
      </c>
      <c r="G19" s="8">
        <f t="shared" si="1"/>
        <v>0.25344534431480209</v>
      </c>
    </row>
    <row r="20" spans="1:7" x14ac:dyDescent="0.3">
      <c r="A20" s="2" t="s">
        <v>10</v>
      </c>
      <c r="B20" s="2" t="s">
        <v>334</v>
      </c>
      <c r="C20" s="2" t="s">
        <v>18</v>
      </c>
      <c r="D20" s="4">
        <v>19030000</v>
      </c>
      <c r="E20" s="4">
        <v>12250503</v>
      </c>
      <c r="F20" s="4">
        <f t="shared" si="0"/>
        <v>6779497</v>
      </c>
      <c r="G20" s="8">
        <f t="shared" si="1"/>
        <v>0.35625312664214398</v>
      </c>
    </row>
    <row r="21" spans="1:7" x14ac:dyDescent="0.3">
      <c r="A21" s="2" t="s">
        <v>10</v>
      </c>
      <c r="B21" s="2" t="s">
        <v>230</v>
      </c>
      <c r="C21" s="2" t="s">
        <v>18</v>
      </c>
      <c r="D21" s="4">
        <v>23560000</v>
      </c>
      <c r="E21" s="4">
        <v>13721500</v>
      </c>
      <c r="F21" s="4">
        <f t="shared" si="0"/>
        <v>9838500</v>
      </c>
      <c r="G21" s="8">
        <f t="shared" si="1"/>
        <v>0.41759337860780987</v>
      </c>
    </row>
    <row r="22" spans="1:7" x14ac:dyDescent="0.3">
      <c r="A22" s="2" t="s">
        <v>10</v>
      </c>
      <c r="B22" s="2" t="s">
        <v>335</v>
      </c>
      <c r="C22" s="2" t="s">
        <v>47</v>
      </c>
      <c r="D22" s="4">
        <v>20210000</v>
      </c>
      <c r="E22" s="4">
        <v>16549880</v>
      </c>
      <c r="F22" s="4">
        <f t="shared" si="0"/>
        <v>3660120</v>
      </c>
      <c r="G22" s="8">
        <f t="shared" si="1"/>
        <v>0.18110440376051459</v>
      </c>
    </row>
    <row r="23" spans="1:7" x14ac:dyDescent="0.3">
      <c r="A23" s="2" t="s">
        <v>10</v>
      </c>
      <c r="B23" s="2" t="s">
        <v>336</v>
      </c>
      <c r="C23" s="2" t="s">
        <v>27</v>
      </c>
      <c r="D23" s="4">
        <v>41000000</v>
      </c>
      <c r="E23" s="4">
        <v>36610821</v>
      </c>
      <c r="F23" s="4">
        <f t="shared" si="0"/>
        <v>4389179</v>
      </c>
      <c r="G23" s="8">
        <f t="shared" si="1"/>
        <v>0.10705314634146341</v>
      </c>
    </row>
    <row r="24" spans="1:7" x14ac:dyDescent="0.3">
      <c r="A24" s="2" t="s">
        <v>10</v>
      </c>
      <c r="B24" s="2" t="s">
        <v>219</v>
      </c>
      <c r="C24" s="2" t="s">
        <v>27</v>
      </c>
      <c r="D24" s="4">
        <v>30200000</v>
      </c>
      <c r="E24" s="4">
        <v>20003674</v>
      </c>
      <c r="F24" s="4">
        <f t="shared" si="0"/>
        <v>10196326</v>
      </c>
      <c r="G24" s="8">
        <f t="shared" si="1"/>
        <v>0.33762668874172186</v>
      </c>
    </row>
    <row r="25" spans="1:7" x14ac:dyDescent="0.3">
      <c r="A25" s="2" t="s">
        <v>10</v>
      </c>
      <c r="B25" s="2" t="s">
        <v>337</v>
      </c>
      <c r="C25" s="2" t="s">
        <v>21</v>
      </c>
      <c r="D25" s="4">
        <v>19330000</v>
      </c>
      <c r="E25" s="4">
        <v>6730000</v>
      </c>
      <c r="F25" s="4">
        <f t="shared" si="0"/>
        <v>12600000</v>
      </c>
      <c r="G25" s="8">
        <f t="shared" si="1"/>
        <v>0.65183652353854116</v>
      </c>
    </row>
    <row r="26" spans="1:7" x14ac:dyDescent="0.3">
      <c r="A26" s="2" t="s">
        <v>10</v>
      </c>
      <c r="B26" s="2" t="s">
        <v>222</v>
      </c>
      <c r="C26" s="2" t="s">
        <v>21</v>
      </c>
      <c r="D26" s="4">
        <v>21170000</v>
      </c>
      <c r="E26" s="4">
        <v>22058801</v>
      </c>
      <c r="F26" s="4">
        <f t="shared" si="0"/>
        <v>-888801</v>
      </c>
      <c r="G26" s="8">
        <f t="shared" si="1"/>
        <v>-4.1983986773736416E-2</v>
      </c>
    </row>
    <row r="27" spans="1:7" x14ac:dyDescent="0.3">
      <c r="A27" s="2" t="s">
        <v>51</v>
      </c>
      <c r="B27" s="2" t="s">
        <v>234</v>
      </c>
      <c r="C27" s="2" t="s">
        <v>18</v>
      </c>
      <c r="D27" s="4">
        <v>30480000</v>
      </c>
      <c r="E27" s="4">
        <v>14490359</v>
      </c>
      <c r="F27" s="4">
        <f t="shared" si="0"/>
        <v>15989641</v>
      </c>
      <c r="G27" s="8">
        <f t="shared" si="1"/>
        <v>0.52459452099737536</v>
      </c>
    </row>
    <row r="28" spans="1:7" x14ac:dyDescent="0.3">
      <c r="A28" s="2" t="s">
        <v>51</v>
      </c>
      <c r="B28" s="2" t="s">
        <v>338</v>
      </c>
      <c r="C28" s="2" t="s">
        <v>27</v>
      </c>
      <c r="D28" s="4">
        <v>64960000</v>
      </c>
      <c r="E28" s="4">
        <v>59675015</v>
      </c>
      <c r="F28" s="4">
        <f t="shared" si="0"/>
        <v>5284985</v>
      </c>
      <c r="G28" s="8">
        <f t="shared" si="1"/>
        <v>8.1357527709359612E-2</v>
      </c>
    </row>
    <row r="29" spans="1:7" x14ac:dyDescent="0.3">
      <c r="A29" s="2" t="s">
        <v>51</v>
      </c>
      <c r="B29" s="2" t="s">
        <v>339</v>
      </c>
      <c r="C29" s="2" t="s">
        <v>12</v>
      </c>
      <c r="D29" s="4">
        <v>80820000</v>
      </c>
      <c r="E29" s="4">
        <v>57372918</v>
      </c>
      <c r="F29" s="4">
        <f t="shared" si="0"/>
        <v>23447082</v>
      </c>
      <c r="G29" s="8">
        <f t="shared" si="1"/>
        <v>0.29011484780994801</v>
      </c>
    </row>
    <row r="30" spans="1:7" x14ac:dyDescent="0.3">
      <c r="A30" s="2" t="s">
        <v>51</v>
      </c>
      <c r="B30" s="2" t="s">
        <v>207</v>
      </c>
      <c r="C30" s="2" t="s">
        <v>12</v>
      </c>
      <c r="D30" s="4">
        <v>145830000</v>
      </c>
      <c r="E30" s="4">
        <v>101635848</v>
      </c>
      <c r="F30" s="4">
        <f t="shared" si="0"/>
        <v>44194152</v>
      </c>
      <c r="G30" s="8">
        <f t="shared" si="1"/>
        <v>0.3030525406295001</v>
      </c>
    </row>
    <row r="31" spans="1:7" x14ac:dyDescent="0.3">
      <c r="A31" s="2" t="s">
        <v>51</v>
      </c>
      <c r="B31" s="2" t="s">
        <v>214</v>
      </c>
      <c r="C31" s="2" t="s">
        <v>27</v>
      </c>
      <c r="D31" s="4">
        <v>65640000</v>
      </c>
      <c r="E31" s="4">
        <v>48199673</v>
      </c>
      <c r="F31" s="4">
        <f t="shared" si="0"/>
        <v>17440327</v>
      </c>
      <c r="G31" s="8">
        <f t="shared" si="1"/>
        <v>0.265696633150518</v>
      </c>
    </row>
    <row r="32" spans="1:7" x14ac:dyDescent="0.3">
      <c r="A32" s="2" t="s">
        <v>51</v>
      </c>
      <c r="B32" s="2" t="s">
        <v>224</v>
      </c>
      <c r="C32" s="2" t="s">
        <v>59</v>
      </c>
      <c r="D32" s="4">
        <v>162370000</v>
      </c>
      <c r="E32" s="4">
        <v>106355111</v>
      </c>
      <c r="F32" s="4">
        <f t="shared" si="0"/>
        <v>56014889</v>
      </c>
      <c r="G32" s="8">
        <f t="shared" si="1"/>
        <v>0.34498299562727103</v>
      </c>
    </row>
    <row r="33" spans="1:7" x14ac:dyDescent="0.3">
      <c r="A33" s="2" t="s">
        <v>51</v>
      </c>
      <c r="B33" s="2" t="s">
        <v>233</v>
      </c>
      <c r="C33" s="2" t="s">
        <v>18</v>
      </c>
      <c r="D33" s="4">
        <v>16620000</v>
      </c>
      <c r="E33" s="4">
        <v>8458747</v>
      </c>
      <c r="F33" s="4">
        <f t="shared" si="0"/>
        <v>8161253</v>
      </c>
      <c r="G33" s="8">
        <f t="shared" si="1"/>
        <v>0.49105012033694345</v>
      </c>
    </row>
    <row r="34" spans="1:7" x14ac:dyDescent="0.3">
      <c r="A34" s="2" t="s">
        <v>51</v>
      </c>
      <c r="B34" s="2" t="s">
        <v>340</v>
      </c>
      <c r="C34" s="2" t="s">
        <v>12</v>
      </c>
      <c r="D34" s="4">
        <v>8160000</v>
      </c>
      <c r="E34" s="4">
        <v>8187878</v>
      </c>
      <c r="F34" s="4">
        <f t="shared" si="0"/>
        <v>-27878</v>
      </c>
      <c r="G34" s="8">
        <f t="shared" si="1"/>
        <v>-3.4164215686274509E-3</v>
      </c>
    </row>
    <row r="35" spans="1:7" x14ac:dyDescent="0.3">
      <c r="A35" s="2" t="s">
        <v>51</v>
      </c>
      <c r="B35" s="2" t="s">
        <v>209</v>
      </c>
      <c r="C35" s="2" t="s">
        <v>12</v>
      </c>
      <c r="D35" s="4">
        <v>31390000</v>
      </c>
      <c r="E35" s="4">
        <v>20216027</v>
      </c>
      <c r="F35" s="4">
        <f t="shared" ref="F35:F66" si="2">D35-E35</f>
        <v>11173973</v>
      </c>
      <c r="G35" s="8">
        <f t="shared" ref="G35:G66" si="3">IF(D35&gt;0,F35/D35,"")</f>
        <v>0.35597237973877033</v>
      </c>
    </row>
    <row r="36" spans="1:7" x14ac:dyDescent="0.3">
      <c r="A36" s="2" t="s">
        <v>51</v>
      </c>
      <c r="B36" s="2" t="s">
        <v>199</v>
      </c>
      <c r="C36" s="2" t="s">
        <v>47</v>
      </c>
      <c r="D36" s="4">
        <v>14890000</v>
      </c>
      <c r="E36" s="4">
        <v>10820839</v>
      </c>
      <c r="F36" s="4">
        <f t="shared" si="2"/>
        <v>4069161</v>
      </c>
      <c r="G36" s="8">
        <f t="shared" si="3"/>
        <v>0.27328146406984555</v>
      </c>
    </row>
    <row r="37" spans="1:7" x14ac:dyDescent="0.3">
      <c r="A37" s="2" t="s">
        <v>51</v>
      </c>
      <c r="B37" s="2" t="s">
        <v>208</v>
      </c>
      <c r="C37" s="2" t="s">
        <v>12</v>
      </c>
      <c r="D37" s="4">
        <v>40910000</v>
      </c>
      <c r="E37" s="4">
        <v>26822204</v>
      </c>
      <c r="F37" s="4">
        <f t="shared" si="2"/>
        <v>14087796</v>
      </c>
      <c r="G37" s="8">
        <f t="shared" si="3"/>
        <v>0.34436069420679538</v>
      </c>
    </row>
    <row r="38" spans="1:7" x14ac:dyDescent="0.3">
      <c r="A38" s="2" t="s">
        <v>51</v>
      </c>
      <c r="B38" s="2" t="s">
        <v>341</v>
      </c>
      <c r="C38" s="2" t="s">
        <v>27</v>
      </c>
      <c r="D38" s="4">
        <v>2300000</v>
      </c>
      <c r="E38" s="4">
        <v>1470000</v>
      </c>
      <c r="F38" s="4">
        <f t="shared" si="2"/>
        <v>830000</v>
      </c>
      <c r="G38" s="8">
        <f t="shared" si="3"/>
        <v>0.36086956521739133</v>
      </c>
    </row>
    <row r="39" spans="1:7" x14ac:dyDescent="0.3">
      <c r="A39" s="2" t="s">
        <v>51</v>
      </c>
      <c r="B39" s="2" t="s">
        <v>342</v>
      </c>
      <c r="C39" s="2" t="s">
        <v>27</v>
      </c>
      <c r="D39" s="4">
        <v>5570000</v>
      </c>
      <c r="E39" s="4">
        <v>3340368</v>
      </c>
      <c r="F39" s="4">
        <f t="shared" si="2"/>
        <v>2229632</v>
      </c>
      <c r="G39" s="8">
        <f t="shared" si="3"/>
        <v>0.40029299820466785</v>
      </c>
    </row>
    <row r="40" spans="1:7" x14ac:dyDescent="0.3">
      <c r="A40" s="2" t="s">
        <v>51</v>
      </c>
      <c r="B40" s="2" t="s">
        <v>192</v>
      </c>
      <c r="C40" s="2" t="s">
        <v>21</v>
      </c>
      <c r="D40" s="4">
        <v>33550000</v>
      </c>
      <c r="E40" s="4">
        <v>16913289</v>
      </c>
      <c r="F40" s="4">
        <f t="shared" si="2"/>
        <v>16636711</v>
      </c>
      <c r="G40" s="8">
        <f t="shared" si="3"/>
        <v>0.49587812220566319</v>
      </c>
    </row>
    <row r="41" spans="1:7" x14ac:dyDescent="0.3">
      <c r="A41" s="2" t="s">
        <v>51</v>
      </c>
      <c r="B41" s="2" t="s">
        <v>226</v>
      </c>
      <c r="C41" s="2" t="s">
        <v>59</v>
      </c>
      <c r="D41" s="4">
        <v>26790000</v>
      </c>
      <c r="E41" s="4">
        <v>18754207</v>
      </c>
      <c r="F41" s="4">
        <f t="shared" si="2"/>
        <v>8035793</v>
      </c>
      <c r="G41" s="8">
        <f t="shared" si="3"/>
        <v>0.29995494587532662</v>
      </c>
    </row>
    <row r="42" spans="1:7" x14ac:dyDescent="0.3">
      <c r="A42" s="2" t="s">
        <v>51</v>
      </c>
      <c r="B42" s="2" t="s">
        <v>205</v>
      </c>
      <c r="C42" s="2" t="s">
        <v>12</v>
      </c>
      <c r="D42" s="4">
        <v>48290000</v>
      </c>
      <c r="E42" s="4">
        <v>46666890</v>
      </c>
      <c r="F42" s="4">
        <f t="shared" si="2"/>
        <v>1623110</v>
      </c>
      <c r="G42" s="8">
        <f t="shared" si="3"/>
        <v>3.3611720853178713E-2</v>
      </c>
    </row>
    <row r="43" spans="1:7" x14ac:dyDescent="0.3">
      <c r="A43" s="2" t="s">
        <v>51</v>
      </c>
      <c r="B43" s="2" t="s">
        <v>201</v>
      </c>
      <c r="C43" s="2" t="s">
        <v>47</v>
      </c>
      <c r="D43" s="4">
        <v>32430000</v>
      </c>
      <c r="E43" s="4">
        <v>25999544</v>
      </c>
      <c r="F43" s="4">
        <f t="shared" si="2"/>
        <v>6430456</v>
      </c>
      <c r="G43" s="8">
        <f t="shared" si="3"/>
        <v>0.1982872648781992</v>
      </c>
    </row>
    <row r="44" spans="1:7" x14ac:dyDescent="0.3">
      <c r="A44" s="2" t="s">
        <v>51</v>
      </c>
      <c r="B44" s="2" t="s">
        <v>194</v>
      </c>
      <c r="C44" s="2" t="s">
        <v>47</v>
      </c>
      <c r="D44" s="4">
        <v>16620000</v>
      </c>
      <c r="E44" s="4">
        <v>9649539</v>
      </c>
      <c r="F44" s="4">
        <f t="shared" si="2"/>
        <v>6970461</v>
      </c>
      <c r="G44" s="8">
        <f t="shared" si="3"/>
        <v>0.41940198555956681</v>
      </c>
    </row>
    <row r="45" spans="1:7" x14ac:dyDescent="0.3">
      <c r="A45" s="2" t="s">
        <v>51</v>
      </c>
      <c r="B45" s="2" t="s">
        <v>215</v>
      </c>
      <c r="C45" s="2" t="s">
        <v>27</v>
      </c>
      <c r="D45" s="4">
        <v>47350000</v>
      </c>
      <c r="E45" s="4">
        <v>30129641</v>
      </c>
      <c r="F45" s="4">
        <f t="shared" si="2"/>
        <v>17220359</v>
      </c>
      <c r="G45" s="8">
        <f t="shared" si="3"/>
        <v>0.36368234424498413</v>
      </c>
    </row>
    <row r="46" spans="1:7" x14ac:dyDescent="0.3">
      <c r="A46" s="2" t="s">
        <v>51</v>
      </c>
      <c r="B46" s="2" t="s">
        <v>343</v>
      </c>
      <c r="C46" s="2" t="s">
        <v>21</v>
      </c>
      <c r="D46" s="4">
        <v>1380000</v>
      </c>
      <c r="E46" s="4">
        <v>1200000</v>
      </c>
      <c r="F46" s="4">
        <f t="shared" si="2"/>
        <v>180000</v>
      </c>
      <c r="G46" s="8">
        <f t="shared" si="3"/>
        <v>0.13043478260869565</v>
      </c>
    </row>
    <row r="47" spans="1:7" x14ac:dyDescent="0.3">
      <c r="A47" s="2" t="s">
        <v>51</v>
      </c>
      <c r="B47" s="2" t="s">
        <v>343</v>
      </c>
      <c r="C47" s="2" t="s">
        <v>21</v>
      </c>
      <c r="D47" s="4">
        <v>6890000</v>
      </c>
      <c r="E47" s="4">
        <v>3331279</v>
      </c>
      <c r="F47" s="4">
        <f t="shared" si="2"/>
        <v>3558721</v>
      </c>
      <c r="G47" s="8">
        <f t="shared" si="3"/>
        <v>0.51650522496371554</v>
      </c>
    </row>
    <row r="48" spans="1:7" x14ac:dyDescent="0.3">
      <c r="A48" s="2" t="s">
        <v>51</v>
      </c>
      <c r="B48" s="2" t="s">
        <v>344</v>
      </c>
      <c r="C48" s="2" t="s">
        <v>18</v>
      </c>
      <c r="D48" s="4">
        <v>30580000</v>
      </c>
      <c r="E48" s="4">
        <v>19189266</v>
      </c>
      <c r="F48" s="4">
        <f t="shared" si="2"/>
        <v>11390734</v>
      </c>
      <c r="G48" s="8">
        <f t="shared" si="3"/>
        <v>0.37248966644865927</v>
      </c>
    </row>
    <row r="49" spans="1:7" x14ac:dyDescent="0.3">
      <c r="A49" s="2" t="s">
        <v>51</v>
      </c>
      <c r="B49" s="2" t="s">
        <v>220</v>
      </c>
      <c r="C49" s="2" t="s">
        <v>59</v>
      </c>
      <c r="D49" s="4">
        <v>69840000</v>
      </c>
      <c r="E49" s="4">
        <v>38409741</v>
      </c>
      <c r="F49" s="4">
        <f t="shared" si="2"/>
        <v>31430259</v>
      </c>
      <c r="G49" s="8">
        <f t="shared" si="3"/>
        <v>0.45003234536082476</v>
      </c>
    </row>
    <row r="50" spans="1:7" x14ac:dyDescent="0.3">
      <c r="A50" s="2" t="s">
        <v>51</v>
      </c>
      <c r="B50" s="2" t="s">
        <v>227</v>
      </c>
      <c r="C50" s="2" t="s">
        <v>59</v>
      </c>
      <c r="D50" s="4">
        <v>90820000</v>
      </c>
      <c r="E50" s="4">
        <v>71663206</v>
      </c>
      <c r="F50" s="4">
        <f t="shared" si="2"/>
        <v>19156794</v>
      </c>
      <c r="G50" s="8">
        <f t="shared" si="3"/>
        <v>0.21093144681788153</v>
      </c>
    </row>
    <row r="51" spans="1:7" x14ac:dyDescent="0.3">
      <c r="A51" s="2" t="s">
        <v>51</v>
      </c>
      <c r="B51" s="2" t="s">
        <v>210</v>
      </c>
      <c r="C51" s="2" t="s">
        <v>12</v>
      </c>
      <c r="D51" s="4">
        <v>37210000</v>
      </c>
      <c r="E51" s="4">
        <v>26191292</v>
      </c>
      <c r="F51" s="4">
        <f t="shared" si="2"/>
        <v>11018708</v>
      </c>
      <c r="G51" s="8">
        <f t="shared" si="3"/>
        <v>0.29612222520827736</v>
      </c>
    </row>
    <row r="52" spans="1:7" x14ac:dyDescent="0.3">
      <c r="A52" s="2" t="s">
        <v>51</v>
      </c>
      <c r="B52" s="2" t="s">
        <v>223</v>
      </c>
      <c r="C52" s="2" t="s">
        <v>27</v>
      </c>
      <c r="D52" s="4">
        <v>7350000</v>
      </c>
      <c r="E52" s="4">
        <v>3469474</v>
      </c>
      <c r="F52" s="4">
        <f t="shared" si="2"/>
        <v>3880526</v>
      </c>
      <c r="G52" s="8">
        <f t="shared" si="3"/>
        <v>0.52796272108843534</v>
      </c>
    </row>
    <row r="53" spans="1:7" x14ac:dyDescent="0.3">
      <c r="A53" s="2" t="s">
        <v>51</v>
      </c>
      <c r="B53" s="2" t="s">
        <v>345</v>
      </c>
      <c r="C53" s="2" t="s">
        <v>27</v>
      </c>
      <c r="D53" s="4">
        <v>19840000</v>
      </c>
      <c r="E53" s="4">
        <v>10738217</v>
      </c>
      <c r="F53" s="4">
        <f t="shared" si="2"/>
        <v>9101783</v>
      </c>
      <c r="G53" s="8">
        <f t="shared" si="3"/>
        <v>0.45875922379032258</v>
      </c>
    </row>
    <row r="54" spans="1:7" x14ac:dyDescent="0.3">
      <c r="A54" s="2" t="s">
        <v>51</v>
      </c>
      <c r="B54" s="2" t="s">
        <v>197</v>
      </c>
      <c r="C54" s="2" t="s">
        <v>47</v>
      </c>
      <c r="D54" s="4">
        <v>26550000</v>
      </c>
      <c r="E54" s="4">
        <v>16357034</v>
      </c>
      <c r="F54" s="4">
        <f t="shared" si="2"/>
        <v>10192966</v>
      </c>
      <c r="G54" s="8">
        <f t="shared" si="3"/>
        <v>0.38391585687382296</v>
      </c>
    </row>
    <row r="55" spans="1:7" x14ac:dyDescent="0.3">
      <c r="A55" s="2" t="s">
        <v>51</v>
      </c>
      <c r="B55" s="2" t="s">
        <v>346</v>
      </c>
      <c r="C55" s="2" t="s">
        <v>21</v>
      </c>
      <c r="D55" s="4">
        <v>7290000</v>
      </c>
      <c r="E55" s="4">
        <v>5810000</v>
      </c>
      <c r="F55" s="4">
        <f t="shared" si="2"/>
        <v>1480000</v>
      </c>
      <c r="G55" s="8">
        <f t="shared" si="3"/>
        <v>0.20301783264746229</v>
      </c>
    </row>
    <row r="56" spans="1:7" x14ac:dyDescent="0.3">
      <c r="A56" s="2" t="s">
        <v>51</v>
      </c>
      <c r="B56" s="2" t="s">
        <v>200</v>
      </c>
      <c r="C56" s="2" t="s">
        <v>47</v>
      </c>
      <c r="D56" s="4">
        <v>19440000</v>
      </c>
      <c r="E56" s="4">
        <v>11325656</v>
      </c>
      <c r="F56" s="4">
        <f t="shared" si="2"/>
        <v>8114344</v>
      </c>
      <c r="G56" s="8">
        <f t="shared" si="3"/>
        <v>0.41740452674897122</v>
      </c>
    </row>
    <row r="57" spans="1:7" x14ac:dyDescent="0.3">
      <c r="A57" s="2" t="s">
        <v>51</v>
      </c>
      <c r="B57" s="2" t="s">
        <v>235</v>
      </c>
      <c r="C57" s="2" t="s">
        <v>18</v>
      </c>
      <c r="D57" s="4">
        <v>27580000</v>
      </c>
      <c r="E57" s="4">
        <v>19911516</v>
      </c>
      <c r="F57" s="4">
        <f t="shared" si="2"/>
        <v>7668484</v>
      </c>
      <c r="G57" s="8">
        <f t="shared" si="3"/>
        <v>0.27804510514865843</v>
      </c>
    </row>
    <row r="58" spans="1:7" x14ac:dyDescent="0.3">
      <c r="A58" s="2" t="s">
        <v>126</v>
      </c>
      <c r="B58" s="2" t="s">
        <v>347</v>
      </c>
      <c r="C58" s="2" t="s">
        <v>18</v>
      </c>
      <c r="D58" s="4">
        <v>9870000</v>
      </c>
      <c r="E58" s="4">
        <v>7462680</v>
      </c>
      <c r="F58" s="4">
        <f t="shared" si="2"/>
        <v>2407320</v>
      </c>
      <c r="G58" s="8">
        <f t="shared" si="3"/>
        <v>0.24390273556231004</v>
      </c>
    </row>
    <row r="59" spans="1:7" x14ac:dyDescent="0.3">
      <c r="A59" s="2" t="s">
        <v>126</v>
      </c>
      <c r="B59" s="2" t="s">
        <v>348</v>
      </c>
      <c r="C59" s="2" t="s">
        <v>18</v>
      </c>
      <c r="D59" s="4">
        <v>9110000</v>
      </c>
      <c r="E59" s="4">
        <v>4709568</v>
      </c>
      <c r="F59" s="4">
        <f t="shared" si="2"/>
        <v>4400432</v>
      </c>
      <c r="G59" s="8">
        <f t="shared" si="3"/>
        <v>0.4830331503841932</v>
      </c>
    </row>
    <row r="60" spans="1:7" x14ac:dyDescent="0.3">
      <c r="A60" s="2" t="s">
        <v>126</v>
      </c>
      <c r="B60" s="2" t="s">
        <v>349</v>
      </c>
      <c r="C60" s="2" t="s">
        <v>140</v>
      </c>
      <c r="D60" s="4">
        <v>12140000</v>
      </c>
      <c r="E60" s="4">
        <v>6629289</v>
      </c>
      <c r="F60" s="4">
        <f t="shared" si="2"/>
        <v>5510711</v>
      </c>
      <c r="G60" s="8">
        <f t="shared" si="3"/>
        <v>0.45393006589785834</v>
      </c>
    </row>
    <row r="61" spans="1:7" x14ac:dyDescent="0.3">
      <c r="A61" s="2" t="s">
        <v>126</v>
      </c>
      <c r="B61" s="2" t="s">
        <v>350</v>
      </c>
      <c r="C61" s="2" t="s">
        <v>27</v>
      </c>
      <c r="D61" s="4">
        <v>3880000</v>
      </c>
      <c r="E61" s="4">
        <v>1550870</v>
      </c>
      <c r="F61" s="4">
        <f t="shared" si="2"/>
        <v>2329130</v>
      </c>
      <c r="G61" s="8">
        <f t="shared" si="3"/>
        <v>0.60029123711340204</v>
      </c>
    </row>
    <row r="62" spans="1:7" x14ac:dyDescent="0.3">
      <c r="A62" s="2" t="s">
        <v>126</v>
      </c>
      <c r="B62" s="2" t="s">
        <v>195</v>
      </c>
      <c r="C62" s="2" t="s">
        <v>47</v>
      </c>
      <c r="D62" s="4">
        <v>28000000</v>
      </c>
      <c r="E62" s="4">
        <v>15061912</v>
      </c>
      <c r="F62" s="4">
        <f t="shared" si="2"/>
        <v>12938088</v>
      </c>
      <c r="G62" s="8">
        <f t="shared" si="3"/>
        <v>0.46207457142857145</v>
      </c>
    </row>
    <row r="63" spans="1:7" x14ac:dyDescent="0.3">
      <c r="A63" s="2" t="s">
        <v>126</v>
      </c>
      <c r="B63" s="2" t="s">
        <v>351</v>
      </c>
      <c r="C63" s="2" t="s">
        <v>21</v>
      </c>
      <c r="D63" s="4">
        <v>7740000</v>
      </c>
      <c r="E63" s="4">
        <v>4075119</v>
      </c>
      <c r="F63" s="4">
        <f t="shared" si="2"/>
        <v>3664881</v>
      </c>
      <c r="G63" s="8">
        <f t="shared" si="3"/>
        <v>0.4734988372093023</v>
      </c>
    </row>
    <row r="64" spans="1:7" x14ac:dyDescent="0.3">
      <c r="A64" s="2" t="s">
        <v>126</v>
      </c>
      <c r="B64" s="2" t="s">
        <v>232</v>
      </c>
      <c r="C64" s="2" t="s">
        <v>18</v>
      </c>
      <c r="D64" s="4">
        <v>13890000</v>
      </c>
      <c r="E64" s="4">
        <v>7841094</v>
      </c>
      <c r="F64" s="4">
        <f t="shared" si="2"/>
        <v>6048906</v>
      </c>
      <c r="G64" s="8">
        <f t="shared" si="3"/>
        <v>0.43548639308855291</v>
      </c>
    </row>
    <row r="65" spans="1:7" x14ac:dyDescent="0.3">
      <c r="A65" s="2" t="s">
        <v>126</v>
      </c>
      <c r="B65" s="2" t="s">
        <v>352</v>
      </c>
      <c r="C65" s="2" t="s">
        <v>18</v>
      </c>
      <c r="D65" s="4">
        <v>1530000</v>
      </c>
      <c r="E65" s="4">
        <v>988122</v>
      </c>
      <c r="F65" s="4">
        <f t="shared" si="2"/>
        <v>541878</v>
      </c>
      <c r="G65" s="8">
        <f t="shared" si="3"/>
        <v>0.35416862745098038</v>
      </c>
    </row>
    <row r="66" spans="1:7" x14ac:dyDescent="0.3">
      <c r="A66" s="2" t="s">
        <v>126</v>
      </c>
      <c r="B66" s="2" t="s">
        <v>237</v>
      </c>
      <c r="C66" s="2" t="s">
        <v>18</v>
      </c>
      <c r="D66" s="4">
        <v>10760000</v>
      </c>
      <c r="E66" s="4">
        <v>4936089</v>
      </c>
      <c r="F66" s="4">
        <f t="shared" si="2"/>
        <v>5823911</v>
      </c>
      <c r="G66" s="8">
        <f t="shared" si="3"/>
        <v>0.54125566914498147</v>
      </c>
    </row>
    <row r="67" spans="1:7" x14ac:dyDescent="0.3">
      <c r="A67" s="2" t="s">
        <v>126</v>
      </c>
      <c r="B67" s="2" t="s">
        <v>239</v>
      </c>
      <c r="C67" s="2" t="s">
        <v>18</v>
      </c>
      <c r="D67" s="4">
        <v>14060000</v>
      </c>
      <c r="E67" s="4">
        <v>8073840</v>
      </c>
      <c r="F67" s="4">
        <f t="shared" ref="F67:F98" si="4">D67-E67</f>
        <v>5986160</v>
      </c>
      <c r="G67" s="8">
        <f t="shared" ref="G67:G98" si="5">IF(D67&gt;0,F67/D67,"")</f>
        <v>0.42575817923186343</v>
      </c>
    </row>
    <row r="68" spans="1:7" x14ac:dyDescent="0.3">
      <c r="A68" s="2" t="s">
        <v>126</v>
      </c>
      <c r="B68" s="2" t="s">
        <v>212</v>
      </c>
      <c r="C68" s="2" t="s">
        <v>12</v>
      </c>
      <c r="D68" s="4">
        <v>21900000</v>
      </c>
      <c r="E68" s="4">
        <v>11859389</v>
      </c>
      <c r="F68" s="4">
        <f t="shared" si="4"/>
        <v>10040611</v>
      </c>
      <c r="G68" s="8">
        <f t="shared" si="5"/>
        <v>0.45847538812785388</v>
      </c>
    </row>
    <row r="69" spans="1:7" x14ac:dyDescent="0.3">
      <c r="A69" s="2" t="s">
        <v>126</v>
      </c>
      <c r="B69" s="2" t="s">
        <v>353</v>
      </c>
      <c r="C69" s="2" t="s">
        <v>18</v>
      </c>
      <c r="D69" s="4">
        <v>4420000</v>
      </c>
      <c r="E69" s="4">
        <v>2099303</v>
      </c>
      <c r="F69" s="4">
        <f t="shared" si="4"/>
        <v>2320697</v>
      </c>
      <c r="G69" s="8">
        <f t="shared" si="5"/>
        <v>0.52504457013574657</v>
      </c>
    </row>
    <row r="70" spans="1:7" x14ac:dyDescent="0.3">
      <c r="A70" s="2" t="s">
        <v>126</v>
      </c>
      <c r="B70" s="2" t="s">
        <v>354</v>
      </c>
      <c r="C70" s="2" t="s">
        <v>12</v>
      </c>
      <c r="D70" s="4">
        <v>9630000</v>
      </c>
      <c r="E70" s="4">
        <v>4725247</v>
      </c>
      <c r="F70" s="4">
        <f t="shared" si="4"/>
        <v>4904753</v>
      </c>
      <c r="G70" s="8">
        <f t="shared" si="5"/>
        <v>0.50932014537902393</v>
      </c>
    </row>
    <row r="71" spans="1:7" x14ac:dyDescent="0.3">
      <c r="A71" s="5" t="s">
        <v>355</v>
      </c>
      <c r="B71" s="5"/>
      <c r="C71" s="5"/>
      <c r="D71" s="6">
        <f>SUM(D3:D70)</f>
        <v>2025260000</v>
      </c>
      <c r="E71" s="6">
        <f>SUM(E3:E70)</f>
        <v>1396376842</v>
      </c>
      <c r="F71" s="6">
        <f>SUM(F3:F70)</f>
        <v>628883158</v>
      </c>
      <c r="G71" s="11">
        <f>F71/D71</f>
        <v>0.31051971499955561</v>
      </c>
    </row>
    <row r="73" spans="1:7" x14ac:dyDescent="0.3">
      <c r="A73" s="7" t="s">
        <v>356</v>
      </c>
    </row>
  </sheetData>
  <autoFilter ref="A2:G70" xr:uid="{00000000-0009-0000-0000-000005000000}"/>
  <mergeCells count="1">
    <mergeCell ref="B1:G1"/>
  </mergeCells>
  <phoneticPr fontId="5" type="noConversion"/>
  <pageMargins left="0.75" right="0.75" top="1" bottom="1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tabSelected="1" workbookViewId="0">
      <selection activeCell="A2" sqref="A2"/>
    </sheetView>
  </sheetViews>
  <sheetFormatPr defaultRowHeight="16.5" x14ac:dyDescent="0.3"/>
  <cols>
    <col min="1" max="1" width="10" customWidth="1"/>
    <col min="2" max="2" width="12" customWidth="1"/>
    <col min="3" max="3" width="17" customWidth="1"/>
    <col min="4" max="4" width="16" customWidth="1"/>
  </cols>
  <sheetData>
    <row r="1" spans="1:4" x14ac:dyDescent="0.3">
      <c r="A1" s="16" t="s">
        <v>369</v>
      </c>
      <c r="B1" s="16"/>
      <c r="C1" s="16"/>
      <c r="D1" s="16"/>
    </row>
    <row r="2" spans="1:4" x14ac:dyDescent="0.3">
      <c r="A2" s="10" t="s">
        <v>251</v>
      </c>
      <c r="B2" s="10" t="s">
        <v>357</v>
      </c>
      <c r="C2" s="10" t="s">
        <v>358</v>
      </c>
      <c r="D2" s="10" t="s">
        <v>359</v>
      </c>
    </row>
    <row r="3" spans="1:4" x14ac:dyDescent="0.3">
      <c r="A3" s="2" t="s">
        <v>260</v>
      </c>
      <c r="B3" s="2">
        <v>56</v>
      </c>
      <c r="C3" s="12">
        <v>0.66450855342317172</v>
      </c>
      <c r="D3" s="2"/>
    </row>
    <row r="4" spans="1:4" x14ac:dyDescent="0.3">
      <c r="A4" s="2" t="s">
        <v>267</v>
      </c>
      <c r="B4" s="2">
        <v>53</v>
      </c>
      <c r="C4" s="12">
        <v>0.43288834951456312</v>
      </c>
      <c r="D4" s="2" t="s">
        <v>360</v>
      </c>
    </row>
    <row r="5" spans="1:4" x14ac:dyDescent="0.3">
      <c r="A5" s="2" t="s">
        <v>261</v>
      </c>
      <c r="B5" s="2">
        <v>51</v>
      </c>
      <c r="C5" s="12">
        <v>0.76050468804259752</v>
      </c>
      <c r="D5" s="2"/>
    </row>
    <row r="6" spans="1:4" x14ac:dyDescent="0.3">
      <c r="A6" s="2" t="s">
        <v>262</v>
      </c>
      <c r="B6" s="2">
        <v>41</v>
      </c>
      <c r="C6" s="12">
        <v>0.87179487179487181</v>
      </c>
      <c r="D6" s="2"/>
    </row>
    <row r="7" spans="1:4" x14ac:dyDescent="0.3">
      <c r="A7" s="2" t="s">
        <v>264</v>
      </c>
      <c r="B7" s="2">
        <v>23</v>
      </c>
      <c r="C7" s="12">
        <v>0.57858823529411763</v>
      </c>
      <c r="D7" s="2" t="s">
        <v>360</v>
      </c>
    </row>
    <row r="8" spans="1:4" x14ac:dyDescent="0.3">
      <c r="A8" s="2" t="s">
        <v>270</v>
      </c>
      <c r="B8" s="2">
        <v>22</v>
      </c>
      <c r="C8" s="12">
        <v>0.4523075510820973</v>
      </c>
      <c r="D8" s="2" t="s">
        <v>360</v>
      </c>
    </row>
    <row r="9" spans="1:4" x14ac:dyDescent="0.3">
      <c r="A9" s="2" t="s">
        <v>273</v>
      </c>
      <c r="B9" s="2">
        <v>22</v>
      </c>
      <c r="C9" s="12">
        <v>0.61750928571428565</v>
      </c>
      <c r="D9" s="2"/>
    </row>
    <row r="10" spans="1:4" x14ac:dyDescent="0.3">
      <c r="A10" s="2" t="s">
        <v>263</v>
      </c>
      <c r="B10" s="2">
        <v>22</v>
      </c>
      <c r="C10" s="12">
        <v>0.64548219248031391</v>
      </c>
      <c r="D10" s="2"/>
    </row>
    <row r="11" spans="1:4" x14ac:dyDescent="0.3">
      <c r="A11" s="2" t="s">
        <v>271</v>
      </c>
      <c r="B11" s="2">
        <v>21</v>
      </c>
      <c r="C11" s="12">
        <v>0.8539325842696629</v>
      </c>
      <c r="D11" s="2"/>
    </row>
    <row r="12" spans="1:4" x14ac:dyDescent="0.3">
      <c r="A12" s="2" t="s">
        <v>269</v>
      </c>
      <c r="B12" s="2">
        <v>20</v>
      </c>
      <c r="C12" s="12">
        <v>0.80318386861654356</v>
      </c>
      <c r="D12" s="2"/>
    </row>
    <row r="13" spans="1:4" x14ac:dyDescent="0.3">
      <c r="A13" s="2" t="s">
        <v>272</v>
      </c>
      <c r="B13" s="2">
        <v>18</v>
      </c>
      <c r="C13" s="12">
        <v>0.63418020030765088</v>
      </c>
      <c r="D13" s="2"/>
    </row>
    <row r="14" spans="1:4" x14ac:dyDescent="0.3">
      <c r="A14" s="2" t="s">
        <v>266</v>
      </c>
      <c r="B14" s="2">
        <v>18</v>
      </c>
      <c r="C14" s="12">
        <v>0.69939525108480316</v>
      </c>
      <c r="D14" s="2"/>
    </row>
    <row r="15" spans="1:4" x14ac:dyDescent="0.3">
      <c r="A15" s="2" t="s">
        <v>265</v>
      </c>
      <c r="B15" s="2">
        <v>13</v>
      </c>
      <c r="C15" s="12">
        <v>0.6294937099454071</v>
      </c>
      <c r="D15" s="2"/>
    </row>
    <row r="16" spans="1:4" x14ac:dyDescent="0.3">
      <c r="A16" s="2" t="s">
        <v>268</v>
      </c>
      <c r="B16" s="2">
        <v>13</v>
      </c>
      <c r="C16" s="12">
        <v>0.9689698927211905</v>
      </c>
      <c r="D16" s="2"/>
    </row>
    <row r="17" spans="1:4" x14ac:dyDescent="0.3">
      <c r="A17" s="2" t="s">
        <v>277</v>
      </c>
      <c r="B17" s="2">
        <v>9</v>
      </c>
      <c r="C17" s="12">
        <v>1.31234995998933</v>
      </c>
      <c r="D17" s="2" t="s">
        <v>361</v>
      </c>
    </row>
    <row r="18" spans="1:4" x14ac:dyDescent="0.3">
      <c r="A18" s="2" t="s">
        <v>275</v>
      </c>
      <c r="B18" s="2">
        <v>8</v>
      </c>
      <c r="C18" s="12">
        <v>0.86707591377694471</v>
      </c>
      <c r="D18" s="2"/>
    </row>
    <row r="19" spans="1:4" x14ac:dyDescent="0.3">
      <c r="A19" s="2" t="s">
        <v>278</v>
      </c>
      <c r="B19" s="2">
        <v>7</v>
      </c>
      <c r="C19" s="12">
        <v>0.86423841059602646</v>
      </c>
      <c r="D19" s="2"/>
    </row>
    <row r="20" spans="1:4" x14ac:dyDescent="0.3">
      <c r="A20" s="2" t="s">
        <v>285</v>
      </c>
      <c r="B20" s="2">
        <v>6</v>
      </c>
      <c r="C20" s="12">
        <v>0.80730340009315327</v>
      </c>
      <c r="D20" s="2"/>
    </row>
    <row r="21" spans="1:4" x14ac:dyDescent="0.3">
      <c r="A21" s="2" t="s">
        <v>274</v>
      </c>
      <c r="B21" s="2">
        <v>6</v>
      </c>
      <c r="C21" s="12">
        <v>0.6276624424452466</v>
      </c>
      <c r="D21" s="2"/>
    </row>
    <row r="23" spans="1:4" x14ac:dyDescent="0.3">
      <c r="A23" s="7" t="s">
        <v>362</v>
      </c>
    </row>
  </sheetData>
  <mergeCells count="1">
    <mergeCell ref="A1:D1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프로젝트별</vt:lpstr>
      <vt:lpstr>평당가(견적총액)</vt:lpstr>
      <vt:lpstr>업종별 평당가</vt:lpstr>
      <vt:lpstr>공종별 통계</vt:lpstr>
      <vt:lpstr>견적 기준</vt:lpstr>
      <vt:lpstr>현장별 손익</vt:lpstr>
      <vt:lpstr>공종별 손익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소연 이</cp:lastModifiedBy>
  <cp:lastPrinted>2026-07-02T07:12:45Z</cp:lastPrinted>
  <dcterms:created xsi:type="dcterms:W3CDTF">2026-07-02T02:12:38Z</dcterms:created>
  <dcterms:modified xsi:type="dcterms:W3CDTF">2026-07-02T07:16:59Z</dcterms:modified>
</cp:coreProperties>
</file>