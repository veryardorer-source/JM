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별" sheetId="1" state="visible" r:id="rId1"/>
    <sheet xmlns:r="http://schemas.openxmlformats.org/officeDocument/2006/relationships" name="업종별 평당가" sheetId="2" state="visible" r:id="rId2"/>
    <sheet xmlns:r="http://schemas.openxmlformats.org/officeDocument/2006/relationships" name="공종별 통계" sheetId="3" state="visible" r:id="rId3"/>
    <sheet xmlns:r="http://schemas.openxmlformats.org/officeDocument/2006/relationships" name="견적 기준" sheetId="4" state="visible" r:id="rId4"/>
  </sheets>
  <definedNames>
    <definedName name="_xlnm._FilterDatabase" localSheetId="0" hidden="1">'프로젝트별'!$A$1:$J$91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4" fillId="0" borderId="0" pivotButton="0" quotePrefix="0" xfId="0"/>
    <xf numFmtId="165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9" customWidth="1" min="4" max="4"/>
    <col width="9" customWidth="1" min="5" max="5"/>
    <col width="7" customWidth="1" min="6" max="6"/>
    <col width="13" customWidth="1" min="7" max="7"/>
    <col width="13" customWidth="1" min="8" max="8"/>
    <col width="12" customWidth="1" min="9" max="9"/>
    <col width="40" customWidth="1" min="10" max="10"/>
  </cols>
  <sheetData>
    <row r="1">
      <c r="A1" s="1" t="inlineStr">
        <is>
          <t>연도</t>
        </is>
      </c>
      <c r="B1" s="1" t="inlineStr">
        <is>
          <t>현장명</t>
        </is>
      </c>
      <c r="C1" s="1" t="inlineStr">
        <is>
          <t>업종</t>
        </is>
      </c>
      <c r="D1" s="1" t="inlineStr">
        <is>
          <t>구분</t>
        </is>
      </c>
      <c r="E1" s="1" t="inlineStr">
        <is>
          <t>면적(㎡)</t>
        </is>
      </c>
      <c r="F1" s="1" t="inlineStr">
        <is>
          <t>평수</t>
        </is>
      </c>
      <c r="G1" s="1" t="inlineStr">
        <is>
          <t>직접공사비</t>
        </is>
      </c>
      <c r="H1" s="1" t="inlineStr">
        <is>
          <t>총액(VAT포함)</t>
        </is>
      </c>
      <c r="I1" s="1" t="inlineStr">
        <is>
          <t>평당 직접비</t>
        </is>
      </c>
      <c r="J1" s="1" t="inlineStr">
        <is>
          <t>파일명</t>
        </is>
      </c>
    </row>
    <row r="2">
      <c r="A2" s="2" t="inlineStr">
        <is>
          <t>2024년</t>
        </is>
      </c>
      <c r="B2" s="2" t="inlineStr">
        <is>
          <t>202411_HK대구사업단</t>
        </is>
      </c>
      <c r="C2" s="2" t="inlineStr">
        <is>
          <t>사무실</t>
        </is>
      </c>
      <c r="D2" s="2" t="inlineStr">
        <is>
          <t>본공사</t>
        </is>
      </c>
      <c r="E2" s="3" t="n">
        <v>100</v>
      </c>
      <c r="F2" s="3" t="n">
        <v>30.2</v>
      </c>
      <c r="G2" s="4" t="n">
        <v>10246500</v>
      </c>
      <c r="H2" s="4" t="n">
        <v>13222000</v>
      </c>
      <c r="I2" s="4">
        <f>IF(F2&gt;0,G2/F2,"")</f>
        <v/>
      </c>
      <c r="J2" s="2" t="inlineStr">
        <is>
          <t>240911_대구HK금융파트너스(철거포함)-최종본.xlsb</t>
        </is>
      </c>
    </row>
    <row r="3">
      <c r="A3" s="2" t="inlineStr">
        <is>
          <t>2024년</t>
        </is>
      </c>
      <c r="B3" s="2" t="inlineStr">
        <is>
          <t>202411_HK금융파트너스 대구사업단 안동</t>
        </is>
      </c>
      <c r="C3" s="2" t="inlineStr">
        <is>
          <t>사무실</t>
        </is>
      </c>
      <c r="D3" s="2" t="inlineStr">
        <is>
          <t>본공사</t>
        </is>
      </c>
      <c r="E3" s="3" t="n">
        <v>60</v>
      </c>
      <c r="F3" s="3" t="n">
        <v>18.1</v>
      </c>
      <c r="G3" s="4" t="n">
        <v>7947500</v>
      </c>
      <c r="H3" s="4" t="n">
        <v>10252000</v>
      </c>
      <c r="I3" s="4">
        <f>IF(F3&gt;0,G3/F3,"")</f>
        <v/>
      </c>
      <c r="J3" s="2" t="inlineStr">
        <is>
          <t>240911_안동HK금융파트너스-최종본.xlsb</t>
        </is>
      </c>
    </row>
    <row r="4">
      <c r="A4" s="2" t="inlineStr">
        <is>
          <t>2024년</t>
        </is>
      </c>
      <c r="B4" s="2" t="inlineStr">
        <is>
          <t>202409_문소영수학관리</t>
        </is>
      </c>
      <c r="C4" s="2" t="inlineStr">
        <is>
          <t>학원/교습소</t>
        </is>
      </c>
      <c r="D4" s="2" t="inlineStr">
        <is>
          <t>본공사</t>
        </is>
      </c>
      <c r="E4" s="3" t="n">
        <v>150</v>
      </c>
      <c r="F4" s="3" t="n">
        <v>45.4</v>
      </c>
      <c r="G4" s="4" t="n">
        <v>25733000</v>
      </c>
      <c r="H4" s="4" t="n">
        <v>31999000</v>
      </c>
      <c r="I4" s="4">
        <f>IF(F4&gt;0,G4/F4,"")</f>
        <v/>
      </c>
      <c r="J4" s="2" t="inlineStr">
        <is>
          <t>240925_315대로 5층학원(최종본).xlsb</t>
        </is>
      </c>
    </row>
    <row r="5">
      <c r="A5" s="2" t="inlineStr">
        <is>
          <t>2024년</t>
        </is>
      </c>
      <c r="B5" s="2" t="inlineStr">
        <is>
          <t>202410_현대크랭크 계단,왁스,안내판</t>
        </is>
      </c>
      <c r="C5" s="2" t="inlineStr">
        <is>
          <t>부분공사/기타</t>
        </is>
      </c>
      <c r="D5" s="2" t="inlineStr">
        <is>
          <t>본공사</t>
        </is>
      </c>
      <c r="E5" s="3" t="n"/>
      <c r="F5" s="3" t="n"/>
      <c r="G5" s="4" t="n">
        <v>675000</v>
      </c>
      <c r="H5" s="4" t="n">
        <v>869000</v>
      </c>
      <c r="I5" s="4">
        <f>IF(F5&gt;0,G5/F5,"")</f>
        <v/>
      </c>
      <c r="J5" s="2" t="inlineStr">
        <is>
          <t>241018_HD현대플랭크샤프트(왁스).xlsb</t>
        </is>
      </c>
    </row>
    <row r="6">
      <c r="A6" s="2" t="inlineStr">
        <is>
          <t>2024년</t>
        </is>
      </c>
      <c r="B6" s="2" t="inlineStr">
        <is>
          <t>202411_진주음악학원</t>
        </is>
      </c>
      <c r="C6" s="2" t="inlineStr">
        <is>
          <t>학원/교습소</t>
        </is>
      </c>
      <c r="D6" s="2" t="inlineStr">
        <is>
          <t>본공사</t>
        </is>
      </c>
      <c r="E6" s="3" t="n">
        <v>142.5</v>
      </c>
      <c r="F6" s="3" t="n">
        <v>43.1</v>
      </c>
      <c r="G6" s="4" t="n">
        <v>74735275</v>
      </c>
      <c r="H6" s="4" t="n">
        <v>96162000</v>
      </c>
      <c r="I6" s="4">
        <f>IF(F6&gt;0,G6/F6,"")</f>
        <v/>
      </c>
      <c r="J6" s="2" t="inlineStr">
        <is>
          <t>241025_진주음악학원-최종본.xlsb</t>
        </is>
      </c>
    </row>
    <row r="7">
      <c r="A7" s="2" t="inlineStr">
        <is>
          <t>2024년</t>
        </is>
      </c>
      <c r="B7" s="2" t="inlineStr">
        <is>
          <t>202411_현대크랭크 탈의실 샤워실 보수공사</t>
        </is>
      </c>
      <c r="C7" s="2" t="inlineStr">
        <is>
          <t>부분공사/기타</t>
        </is>
      </c>
      <c r="D7" s="2" t="inlineStr">
        <is>
          <t>본공사</t>
        </is>
      </c>
      <c r="E7" s="3" t="n"/>
      <c r="F7" s="3" t="n"/>
      <c r="G7" s="4" t="n">
        <v>12540000</v>
      </c>
      <c r="H7" s="4" t="n">
        <v>15862000</v>
      </c>
      <c r="I7" s="4">
        <f>IF(F7&gt;0,G7/F7,"")</f>
        <v/>
      </c>
      <c r="J7" s="2" t="inlineStr">
        <is>
          <t>241105_HD크랭크샤프트 샤워실 및 탈의실(가구).xls</t>
        </is>
      </c>
    </row>
    <row r="8">
      <c r="A8" s="2" t="inlineStr">
        <is>
          <t>2024년</t>
        </is>
      </c>
      <c r="B8" s="2" t="inlineStr">
        <is>
          <t>202411_현대크랭크 탈의실 샤워실 보수공사</t>
        </is>
      </c>
      <c r="C8" s="2" t="inlineStr">
        <is>
          <t>상업/기타</t>
        </is>
      </c>
      <c r="D8" s="2" t="inlineStr">
        <is>
          <t>본공사</t>
        </is>
      </c>
      <c r="E8" s="3" t="n">
        <v>95</v>
      </c>
      <c r="F8" s="3" t="n">
        <v>28.7</v>
      </c>
      <c r="G8" s="4" t="n">
        <v>18207000</v>
      </c>
      <c r="H8" s="4" t="n">
        <v>23287000</v>
      </c>
      <c r="I8" s="4">
        <f>IF(F8&gt;0,G8/F8,"")</f>
        <v/>
      </c>
      <c r="J8" s="2" t="inlineStr">
        <is>
          <t>241105_HD크랭크샤프트 샤워실 및 탈의실(인테리어).xls</t>
        </is>
      </c>
    </row>
    <row r="9">
      <c r="A9" s="2" t="inlineStr">
        <is>
          <t>2024년</t>
        </is>
      </c>
      <c r="B9" s="2" t="inlineStr">
        <is>
          <t>202411_부산대학교생명자원과학대학</t>
        </is>
      </c>
      <c r="C9" s="2" t="inlineStr">
        <is>
          <t>학원/교습소</t>
        </is>
      </c>
      <c r="D9" s="2" t="inlineStr">
        <is>
          <t>본공사</t>
        </is>
      </c>
      <c r="E9" s="3" t="n"/>
      <c r="F9" s="3" t="n"/>
      <c r="G9" s="4" t="n">
        <v>4440000</v>
      </c>
      <c r="H9" s="4" t="n">
        <v>5610000</v>
      </c>
      <c r="I9" s="4">
        <f>IF(F9&gt;0,G9/F9,"")</f>
        <v/>
      </c>
      <c r="J9" s="2" t="inlineStr">
        <is>
          <t>241108_부산대바이오소재학과 가구(제출용).xlsb</t>
        </is>
      </c>
    </row>
    <row r="10">
      <c r="A10" s="2" t="inlineStr">
        <is>
          <t>2024년</t>
        </is>
      </c>
      <c r="B10" s="2" t="inlineStr">
        <is>
          <t>202411_부산대학교생명자원과학대학</t>
        </is>
      </c>
      <c r="C10" s="2" t="inlineStr">
        <is>
          <t>학원/교습소</t>
        </is>
      </c>
      <c r="D10" s="2" t="inlineStr">
        <is>
          <t>본공사</t>
        </is>
      </c>
      <c r="E10" s="3" t="n">
        <v>90</v>
      </c>
      <c r="F10" s="3" t="n">
        <v>27.2</v>
      </c>
      <c r="G10" s="4" t="n">
        <v>24730900</v>
      </c>
      <c r="H10" s="4" t="n">
        <v>31856000</v>
      </c>
      <c r="I10" s="4">
        <f>IF(F10&gt;0,G10/F10,"")</f>
        <v/>
      </c>
      <c r="J10" s="2" t="inlineStr">
        <is>
          <t>241108_부산바이오소재과학과인테리어(제출용).xlsb</t>
        </is>
      </c>
    </row>
    <row r="11">
      <c r="A11" s="2" t="inlineStr">
        <is>
          <t>2024년</t>
        </is>
      </c>
      <c r="B11" s="2" t="inlineStr">
        <is>
          <t>202409_문소영수학관리</t>
        </is>
      </c>
      <c r="C11" s="2" t="inlineStr">
        <is>
          <t>학원/교습소</t>
        </is>
      </c>
      <c r="D11" s="2" t="inlineStr">
        <is>
          <t>추가공사</t>
        </is>
      </c>
      <c r="E11" s="3" t="n"/>
      <c r="F11" s="3" t="n"/>
      <c r="G11" s="4" t="n">
        <v>2945000</v>
      </c>
      <c r="H11" s="4" t="n">
        <v>3553000</v>
      </c>
      <c r="I11" s="4">
        <f>IF(F11&gt;0,G11/F11,"")</f>
        <v/>
      </c>
      <c r="J11" s="2" t="inlineStr">
        <is>
          <t>241111_315대로5층학원(추가공사).xlsb</t>
        </is>
      </c>
    </row>
    <row r="12">
      <c r="A12" s="2" t="inlineStr">
        <is>
          <t>2024년</t>
        </is>
      </c>
      <c r="B12" s="2" t="inlineStr">
        <is>
          <t>202411_디오오토갤러리</t>
        </is>
      </c>
      <c r="C12" s="2" t="inlineStr">
        <is>
          <t>상업/기타</t>
        </is>
      </c>
      <c r="D12" s="2" t="inlineStr">
        <is>
          <t>본공사</t>
        </is>
      </c>
      <c r="E12" s="3" t="n">
        <v>22.8</v>
      </c>
      <c r="F12" s="3" t="n">
        <v>6.9</v>
      </c>
      <c r="G12" s="4" t="n">
        <v>4962580</v>
      </c>
      <c r="H12" s="4" t="n">
        <v>6402000</v>
      </c>
      <c r="I12" s="4">
        <f>IF(F12&gt;0,G12/F12,"")</f>
        <v/>
      </c>
      <c r="J12" s="2" t="inlineStr">
        <is>
          <t>241111_디오오토갤러리.xlsb</t>
        </is>
      </c>
    </row>
    <row r="13">
      <c r="A13" s="2" t="inlineStr">
        <is>
          <t>2024년</t>
        </is>
      </c>
      <c r="B13" s="2" t="inlineStr">
        <is>
          <t>202412_진해교습소</t>
        </is>
      </c>
      <c r="C13" s="2" t="inlineStr">
        <is>
          <t>학원/교습소</t>
        </is>
      </c>
      <c r="D13" s="2" t="inlineStr">
        <is>
          <t>본공사</t>
        </is>
      </c>
      <c r="E13" s="3" t="n">
        <v>47.86</v>
      </c>
      <c r="F13" s="3" t="n">
        <v>14.5</v>
      </c>
      <c r="G13" s="4" t="n">
        <v>20107837</v>
      </c>
      <c r="H13" s="4" t="n">
        <v>25916000</v>
      </c>
      <c r="I13" s="4">
        <f>IF(F13&gt;0,G13/F13,"")</f>
        <v/>
      </c>
      <c r="J13" s="2" t="inlineStr">
        <is>
          <t>241127_진해자은동교습소견적서.xlsb</t>
        </is>
      </c>
    </row>
    <row r="14">
      <c r="A14" s="2" t="inlineStr">
        <is>
          <t>2024년</t>
        </is>
      </c>
      <c r="B14" s="2" t="inlineStr">
        <is>
          <t>202412_터보링크</t>
        </is>
      </c>
      <c r="C14" s="2" t="inlineStr">
        <is>
          <t>상업/기타</t>
        </is>
      </c>
      <c r="D14" s="2" t="inlineStr">
        <is>
          <t>본공사</t>
        </is>
      </c>
      <c r="E14" s="3" t="n">
        <v>80</v>
      </c>
      <c r="F14" s="3" t="n">
        <v>24.2</v>
      </c>
      <c r="G14" s="4" t="n">
        <v>25735900</v>
      </c>
      <c r="H14" s="4" t="n">
        <v>33220000</v>
      </c>
      <c r="I14" s="4">
        <f>IF(F14&gt;0,G14/F14,"")</f>
        <v/>
      </c>
      <c r="J14" s="2" t="inlineStr">
        <is>
          <t>241209_터보링크(목공사) - 최종본.xlsb</t>
        </is>
      </c>
    </row>
    <row r="15">
      <c r="A15" s="2" t="inlineStr">
        <is>
          <t>2024년</t>
        </is>
      </c>
      <c r="B15" s="2" t="inlineStr">
        <is>
          <t>202412_북면교습소</t>
        </is>
      </c>
      <c r="C15" s="2" t="inlineStr">
        <is>
          <t>학원/교습소</t>
        </is>
      </c>
      <c r="D15" s="2" t="inlineStr">
        <is>
          <t>본공사</t>
        </is>
      </c>
      <c r="E15" s="3" t="n"/>
      <c r="F15" s="3" t="n"/>
      <c r="G15" s="4" t="n">
        <v>3020600</v>
      </c>
      <c r="H15" s="4" t="n">
        <v>3905000</v>
      </c>
      <c r="I15" s="4">
        <f>IF(F15&gt;0,G15/F15,"")</f>
        <v/>
      </c>
      <c r="J15" s="2" t="inlineStr">
        <is>
          <t>241210_북면교습소인테리어.xlsx</t>
        </is>
      </c>
    </row>
    <row r="16">
      <c r="A16" s="2" t="inlineStr">
        <is>
          <t>2024년</t>
        </is>
      </c>
      <c r="B16" s="2" t="inlineStr">
        <is>
          <t>202412_사파동변호사사무실</t>
        </is>
      </c>
      <c r="C16" s="2" t="inlineStr">
        <is>
          <t>사무실</t>
        </is>
      </c>
      <c r="D16" s="2" t="inlineStr">
        <is>
          <t>본공사</t>
        </is>
      </c>
      <c r="E16" s="3" t="n"/>
      <c r="F16" s="3" t="n"/>
      <c r="G16" s="4" t="n">
        <v>21395000</v>
      </c>
      <c r="H16" s="4" t="n">
        <v>27335000</v>
      </c>
      <c r="I16" s="4">
        <f>IF(F16&gt;0,G16/F16,"")</f>
        <v/>
      </c>
      <c r="J16" s="2" t="inlineStr">
        <is>
          <t>241211_사파동변호사사무실.xlsb</t>
        </is>
      </c>
    </row>
    <row r="17">
      <c r="A17" s="2" t="inlineStr">
        <is>
          <t>2024년</t>
        </is>
      </c>
      <c r="B17" s="2" t="inlineStr">
        <is>
          <t>202411_진주음악학원</t>
        </is>
      </c>
      <c r="C17" s="2" t="inlineStr">
        <is>
          <t>학원/교습소</t>
        </is>
      </c>
      <c r="D17" s="2" t="inlineStr">
        <is>
          <t>추가공사</t>
        </is>
      </c>
      <c r="E17" s="3" t="n"/>
      <c r="F17" s="3" t="n"/>
      <c r="G17" s="4" t="n">
        <v>2450000</v>
      </c>
      <c r="H17" s="4" t="n">
        <v>3091000</v>
      </c>
      <c r="I17" s="4">
        <f>IF(F17&gt;0,G17/F17,"")</f>
        <v/>
      </c>
      <c r="J17" s="2" t="inlineStr">
        <is>
          <t>241224_진주윤앤오음악학원 추가견적서.xlsb</t>
        </is>
      </c>
    </row>
    <row r="18">
      <c r="A18" s="2" t="inlineStr">
        <is>
          <t>2024년</t>
        </is>
      </c>
      <c r="B18" s="2" t="inlineStr">
        <is>
          <t>202412_진해교습소</t>
        </is>
      </c>
      <c r="C18" s="2" t="inlineStr">
        <is>
          <t>학원/교습소</t>
        </is>
      </c>
      <c r="D18" s="2" t="inlineStr">
        <is>
          <t>추가공사</t>
        </is>
      </c>
      <c r="E18" s="3" t="n"/>
      <c r="F18" s="3" t="n"/>
      <c r="G18" s="4" t="n">
        <v>946900</v>
      </c>
      <c r="H18" s="4" t="n">
        <v>1188000</v>
      </c>
      <c r="I18" s="4">
        <f>IF(F18&gt;0,G18/F18,"")</f>
        <v/>
      </c>
      <c r="J18" s="2" t="inlineStr">
        <is>
          <t>241226_진해자은동교습소 추가견적서.xlsb</t>
        </is>
      </c>
    </row>
    <row r="19">
      <c r="A19" s="2" t="inlineStr">
        <is>
          <t>2024년</t>
        </is>
      </c>
      <c r="B19" s="2" t="inlineStr">
        <is>
          <t>202412_더 젤 네일샾</t>
        </is>
      </c>
      <c r="C19" s="2" t="inlineStr">
        <is>
          <t>뷰티/미용</t>
        </is>
      </c>
      <c r="D19" s="2" t="inlineStr">
        <is>
          <t>본공사</t>
        </is>
      </c>
      <c r="E19" s="3" t="n">
        <v>33</v>
      </c>
      <c r="F19" s="3" t="n">
        <v>10</v>
      </c>
      <c r="G19" s="4" t="n">
        <v>25352550</v>
      </c>
      <c r="H19" s="4" t="n">
        <v>32538000</v>
      </c>
      <c r="I19" s="4">
        <f>IF(F19&gt;0,G19/F19,"")</f>
        <v/>
      </c>
      <c r="J19" s="2" t="inlineStr">
        <is>
          <t>241226_합성동뷰티샾(최종본).xlsb</t>
        </is>
      </c>
    </row>
    <row r="20">
      <c r="A20" s="2" t="inlineStr">
        <is>
          <t>2024년</t>
        </is>
      </c>
      <c r="B20" s="2" t="inlineStr">
        <is>
          <t>202412_블루돌핀어학원</t>
        </is>
      </c>
      <c r="C20" s="2" t="inlineStr">
        <is>
          <t>학원/교습소</t>
        </is>
      </c>
      <c r="D20" s="2" t="inlineStr">
        <is>
          <t>추가공사</t>
        </is>
      </c>
      <c r="E20" s="3" t="n"/>
      <c r="F20" s="3" t="n"/>
      <c r="G20" s="4" t="n">
        <v>500000</v>
      </c>
      <c r="H20" s="4" t="n">
        <v>627000</v>
      </c>
      <c r="I20" s="4">
        <f>IF(F20&gt;0,G20/F20,"")</f>
        <v/>
      </c>
      <c r="J20" s="2" t="inlineStr">
        <is>
          <t>250113_에일린의 뜰 404호(블루돌핀)_추가견적서.xlsb</t>
        </is>
      </c>
    </row>
    <row r="21">
      <c r="A21" s="2" t="inlineStr">
        <is>
          <t>2025년</t>
        </is>
      </c>
      <c r="B21" s="2" t="inlineStr">
        <is>
          <t>250124_지엔티 가구</t>
        </is>
      </c>
      <c r="C21" s="2" t="inlineStr">
        <is>
          <t>부분공사/기타</t>
        </is>
      </c>
      <c r="D21" s="2" t="inlineStr">
        <is>
          <t>본공사</t>
        </is>
      </c>
      <c r="E21" s="3" t="n"/>
      <c r="F21" s="3" t="n"/>
      <c r="G21" s="4" t="n">
        <v>644600</v>
      </c>
      <c r="H21" s="4" t="n">
        <v>814000</v>
      </c>
      <c r="I21" s="4">
        <f>IF(F21&gt;0,G21/F21,"")</f>
        <v/>
      </c>
      <c r="J21" s="2" t="inlineStr">
        <is>
          <t>0124_가구견적서.xlsb</t>
        </is>
      </c>
    </row>
    <row r="22">
      <c r="A22" s="2" t="inlineStr">
        <is>
          <t>2025년</t>
        </is>
      </c>
      <c r="B22" s="2" t="inlineStr">
        <is>
          <t>241227_현대크랭크샤프트가구</t>
        </is>
      </c>
      <c r="C22" s="2" t="inlineStr">
        <is>
          <t>부분공사/기타</t>
        </is>
      </c>
      <c r="D22" s="2" t="inlineStr">
        <is>
          <t>본공사</t>
        </is>
      </c>
      <c r="E22" s="3" t="n"/>
      <c r="F22" s="3" t="n"/>
      <c r="G22" s="4" t="n">
        <v>6630000</v>
      </c>
      <c r="H22" s="4" t="n">
        <v>8019000</v>
      </c>
      <c r="I22" s="4">
        <f>IF(F22&gt;0,G22/F22,"")</f>
        <v/>
      </c>
      <c r="J22" s="2" t="inlineStr">
        <is>
          <t>241227_현대크랭크샤프트 가구-최종본.xlsb</t>
        </is>
      </c>
    </row>
    <row r="23">
      <c r="A23" s="2" t="inlineStr">
        <is>
          <t>2025년</t>
        </is>
      </c>
      <c r="B23" s="2" t="inlineStr">
        <is>
          <t>202501_라온메디칼 사무실</t>
        </is>
      </c>
      <c r="C23" s="2" t="inlineStr">
        <is>
          <t>사무실</t>
        </is>
      </c>
      <c r="D23" s="2" t="inlineStr">
        <is>
          <t>본공사</t>
        </is>
      </c>
      <c r="E23" s="3" t="n">
        <v>98</v>
      </c>
      <c r="F23" s="3" t="n">
        <v>29.6</v>
      </c>
      <c r="G23" s="4" t="n">
        <v>26870100</v>
      </c>
      <c r="H23" s="4" t="n">
        <v>34529000</v>
      </c>
      <c r="I23" s="4">
        <f>IF(F23&gt;0,G23/F23,"")</f>
        <v/>
      </c>
      <c r="J23" s="2" t="inlineStr">
        <is>
          <t>250120_서상동 메디컬사무실.xlsb</t>
        </is>
      </c>
    </row>
    <row r="24">
      <c r="A24" s="2" t="inlineStr">
        <is>
          <t>2025년</t>
        </is>
      </c>
      <c r="B24" s="2" t="inlineStr">
        <is>
          <t>250124_양산타코야끼</t>
        </is>
      </c>
      <c r="C24" s="2" t="inlineStr">
        <is>
          <t>식음료</t>
        </is>
      </c>
      <c r="D24" s="2" t="inlineStr">
        <is>
          <t>본공사</t>
        </is>
      </c>
      <c r="E24" s="3" t="n">
        <v>61</v>
      </c>
      <c r="F24" s="3" t="n">
        <v>18.5</v>
      </c>
      <c r="G24" s="4" t="n">
        <v>22911300</v>
      </c>
      <c r="H24" s="4" t="n">
        <v>29469000</v>
      </c>
      <c r="I24" s="4">
        <f>IF(F24&gt;0,G24/F24,"")</f>
        <v/>
      </c>
      <c r="J24" s="2" t="inlineStr">
        <is>
          <t>250124_양산타꼬야끼_최종본.xlsb</t>
        </is>
      </c>
    </row>
    <row r="25">
      <c r="A25" s="2" t="inlineStr">
        <is>
          <t>2025년</t>
        </is>
      </c>
      <c r="B25" s="2" t="inlineStr">
        <is>
          <t>250124_양산타코야끼</t>
        </is>
      </c>
      <c r="C25" s="2" t="inlineStr">
        <is>
          <t>식음료</t>
        </is>
      </c>
      <c r="D25" s="2" t="inlineStr">
        <is>
          <t>추가공사</t>
        </is>
      </c>
      <c r="E25" s="3" t="n"/>
      <c r="F25" s="3" t="n"/>
      <c r="G25" s="4" t="n">
        <v>3326000</v>
      </c>
      <c r="H25" s="4" t="n">
        <v>3949000</v>
      </c>
      <c r="I25" s="4">
        <f>IF(F25&gt;0,G25/F25,"")</f>
        <v/>
      </c>
      <c r="J25" s="2" t="inlineStr">
        <is>
          <t>250203_양산타꼬야끼 추가공사.xlsb</t>
        </is>
      </c>
    </row>
    <row r="26">
      <c r="A26" s="2" t="inlineStr">
        <is>
          <t>2025년</t>
        </is>
      </c>
      <c r="B26" s="2" t="inlineStr">
        <is>
          <t>250305_MH에탄올 사무실 2,3층 인테리어</t>
        </is>
      </c>
      <c r="C26" s="2" t="inlineStr">
        <is>
          <t>사무실</t>
        </is>
      </c>
      <c r="D26" s="2" t="inlineStr">
        <is>
          <t>본공사</t>
        </is>
      </c>
      <c r="E26" s="3" t="n">
        <v>326</v>
      </c>
      <c r="F26" s="3" t="n">
        <v>98.59999999999999</v>
      </c>
      <c r="G26" s="4" t="n">
        <v>123321300</v>
      </c>
      <c r="H26" s="4" t="n">
        <v>160413000</v>
      </c>
      <c r="I26" s="4">
        <f>IF(F26&gt;0,G26/F26,"")</f>
        <v/>
      </c>
      <c r="J26" s="2" t="inlineStr">
        <is>
          <t>250227_에탄올본관(도장가구).xls</t>
        </is>
      </c>
    </row>
    <row r="27">
      <c r="A27" s="2" t="inlineStr">
        <is>
          <t>2025년</t>
        </is>
      </c>
      <c r="B27" s="2" t="inlineStr">
        <is>
          <t>250306_다구리 109건축(손익표x)</t>
        </is>
      </c>
      <c r="C27" s="2" t="inlineStr">
        <is>
          <t>상업/기타</t>
        </is>
      </c>
      <c r="D27" s="2" t="inlineStr">
        <is>
          <t>본공사</t>
        </is>
      </c>
      <c r="E27" s="3" t="n"/>
      <c r="F27" s="3" t="n"/>
      <c r="G27" s="4" t="n"/>
      <c r="H27" s="4" t="n"/>
      <c r="I27" s="4">
        <f>IF(F27&gt;0,G27/F27,"")</f>
        <v/>
      </c>
      <c r="J27" s="2" t="inlineStr">
        <is>
          <t>250306_다구리 109 -최종본.xls</t>
        </is>
      </c>
    </row>
    <row r="28">
      <c r="A28" s="2" t="inlineStr">
        <is>
          <t>2025년</t>
        </is>
      </c>
      <c r="B28" s="2" t="inlineStr">
        <is>
          <t>250306_보루(어반브릭스)</t>
        </is>
      </c>
      <c r="C28" s="2" t="inlineStr">
        <is>
          <t>상업/기타</t>
        </is>
      </c>
      <c r="D28" s="2" t="inlineStr">
        <is>
          <t>본공사</t>
        </is>
      </c>
      <c r="E28" s="3" t="n"/>
      <c r="F28" s="3" t="n"/>
      <c r="G28" s="4" t="n">
        <v>2064000</v>
      </c>
      <c r="H28" s="4" t="n">
        <v>2629000</v>
      </c>
      <c r="I28" s="4">
        <f>IF(F28&gt;0,G28/F28,"")</f>
        <v/>
      </c>
      <c r="J28" s="2" t="inlineStr">
        <is>
          <t>250306_보루(어반브릭스).xlsb</t>
        </is>
      </c>
    </row>
    <row r="29">
      <c r="A29" s="2" t="inlineStr">
        <is>
          <t>2025년</t>
        </is>
      </c>
      <c r="B29" s="2" t="inlineStr">
        <is>
          <t>250320_키움에셋플래너</t>
        </is>
      </c>
      <c r="C29" s="2" t="inlineStr">
        <is>
          <t>사무실</t>
        </is>
      </c>
      <c r="D29" s="2" t="inlineStr">
        <is>
          <t>본공사</t>
        </is>
      </c>
      <c r="E29" s="3" t="n">
        <v>157</v>
      </c>
      <c r="F29" s="3" t="n">
        <v>47.5</v>
      </c>
      <c r="G29" s="4" t="n">
        <v>32038450</v>
      </c>
      <c r="H29" s="4" t="n">
        <v>40931000</v>
      </c>
      <c r="I29" s="4">
        <f>IF(F29&gt;0,G29/F29,"")</f>
        <v/>
      </c>
      <c r="J29" s="2" t="inlineStr">
        <is>
          <t>250320_키움에셋플래너.xlsb</t>
        </is>
      </c>
    </row>
    <row r="30">
      <c r="A30" s="2" t="inlineStr">
        <is>
          <t>2025년</t>
        </is>
      </c>
      <c r="B30" s="2" t="inlineStr">
        <is>
          <t>250409_현동네일샵</t>
        </is>
      </c>
      <c r="C30" s="2" t="inlineStr">
        <is>
          <t>뷰티/미용</t>
        </is>
      </c>
      <c r="D30" s="2" t="inlineStr">
        <is>
          <t>본공사</t>
        </is>
      </c>
      <c r="E30" s="3" t="n">
        <v>39</v>
      </c>
      <c r="F30" s="3" t="n">
        <v>11.8</v>
      </c>
      <c r="G30" s="4" t="n">
        <v>16614000</v>
      </c>
      <c r="H30" s="4" t="n">
        <v>21000000</v>
      </c>
      <c r="I30" s="4">
        <f>IF(F30&gt;0,G30/F30,"")</f>
        <v/>
      </c>
      <c r="J30" s="2" t="inlineStr">
        <is>
          <t>250401_현동네일샵(최봉본).xls</t>
        </is>
      </c>
    </row>
    <row r="31">
      <c r="A31" s="2" t="inlineStr">
        <is>
          <t>2025년</t>
        </is>
      </c>
      <c r="B31" s="2" t="inlineStr">
        <is>
          <t>250404_밀양 뷰티샵</t>
        </is>
      </c>
      <c r="C31" s="2" t="inlineStr">
        <is>
          <t>뷰티/미용</t>
        </is>
      </c>
      <c r="D31" s="2" t="inlineStr">
        <is>
          <t>본공사</t>
        </is>
      </c>
      <c r="E31" s="3" t="n">
        <v>26</v>
      </c>
      <c r="F31" s="3" t="n">
        <v>7.9</v>
      </c>
      <c r="G31" s="4" t="n">
        <v>12705100</v>
      </c>
      <c r="H31" s="4" t="n">
        <v>16379000</v>
      </c>
      <c r="I31" s="4">
        <f>IF(F31&gt;0,G31/F31,"")</f>
        <v/>
      </c>
      <c r="J31" s="2" t="inlineStr">
        <is>
          <t>250403_밀양뷰티샵 (최종본).xls</t>
        </is>
      </c>
    </row>
    <row r="32">
      <c r="A32" s="2" t="inlineStr">
        <is>
          <t>2025년</t>
        </is>
      </c>
      <c r="B32" s="2" t="inlineStr">
        <is>
          <t>250416_정우상가(용호동)뷰티샵</t>
        </is>
      </c>
      <c r="C32" s="2" t="inlineStr">
        <is>
          <t>뷰티/미용</t>
        </is>
      </c>
      <c r="D32" s="2" t="inlineStr">
        <is>
          <t>본공사</t>
        </is>
      </c>
      <c r="E32" s="3" t="n">
        <v>79</v>
      </c>
      <c r="F32" s="3" t="n">
        <v>23.9</v>
      </c>
      <c r="G32" s="4" t="n">
        <v>27764500</v>
      </c>
      <c r="H32" s="4" t="n">
        <v>35673000</v>
      </c>
      <c r="I32" s="4">
        <f>IF(F32&gt;0,G32/F32,"")</f>
        <v/>
      </c>
      <c r="J32" s="2" t="inlineStr">
        <is>
          <t>250403_정우상가뷰티샵.xls</t>
        </is>
      </c>
    </row>
    <row r="33">
      <c r="A33" s="2" t="inlineStr">
        <is>
          <t>2025년</t>
        </is>
      </c>
      <c r="B33" s="2" t="inlineStr">
        <is>
          <t>250410_함안뷰티샵</t>
        </is>
      </c>
      <c r="C33" s="2" t="inlineStr">
        <is>
          <t>뷰티/미용</t>
        </is>
      </c>
      <c r="D33" s="2" t="inlineStr">
        <is>
          <t>본공사</t>
        </is>
      </c>
      <c r="E33" s="3" t="n">
        <v>42.5</v>
      </c>
      <c r="F33" s="3" t="n">
        <v>12.9</v>
      </c>
      <c r="G33" s="4" t="n">
        <v>22379300</v>
      </c>
      <c r="H33" s="4" t="n">
        <v>29205000</v>
      </c>
      <c r="I33" s="4">
        <f>IF(F33&gt;0,G33/F33,"")</f>
        <v/>
      </c>
      <c r="J33" s="2" t="inlineStr">
        <is>
          <t>250410_함안뷰티샵(최종본).xls</t>
        </is>
      </c>
    </row>
    <row r="34">
      <c r="A34" s="2" t="inlineStr">
        <is>
          <t>2025년</t>
        </is>
      </c>
      <c r="B34" s="2" t="inlineStr">
        <is>
          <t>250423_경남산소</t>
        </is>
      </c>
      <c r="C34" s="2" t="inlineStr">
        <is>
          <t>상업/기타</t>
        </is>
      </c>
      <c r="D34" s="2" t="inlineStr">
        <is>
          <t>본공사</t>
        </is>
      </c>
      <c r="E34" s="3" t="n">
        <v>88</v>
      </c>
      <c r="F34" s="3" t="n">
        <v>26.6</v>
      </c>
      <c r="G34" s="4" t="n">
        <v>56430400</v>
      </c>
      <c r="H34" s="4" t="n">
        <v>72204000</v>
      </c>
      <c r="I34" s="4">
        <f>IF(F34&gt;0,G34/F34,"")</f>
        <v/>
      </c>
      <c r="J34" s="2" t="inlineStr">
        <is>
          <t>250423_경남산소(최종본).xls</t>
        </is>
      </c>
    </row>
    <row r="35">
      <c r="A35" s="2" t="inlineStr">
        <is>
          <t>2025년</t>
        </is>
      </c>
      <c r="B35" s="2" t="inlineStr">
        <is>
          <t>250526_진례제일전자공업</t>
        </is>
      </c>
      <c r="C35" s="2" t="inlineStr">
        <is>
          <t>상업/기타</t>
        </is>
      </c>
      <c r="D35" s="2" t="inlineStr">
        <is>
          <t>본공사</t>
        </is>
      </c>
      <c r="E35" s="3" t="n">
        <v>85</v>
      </c>
      <c r="F35" s="3" t="n">
        <v>25.7</v>
      </c>
      <c r="G35" s="4" t="n">
        <v>45366000</v>
      </c>
      <c r="H35" s="4" t="n">
        <v>58190000</v>
      </c>
      <c r="I35" s="4">
        <f>IF(F35&gt;0,G35/F35,"")</f>
        <v/>
      </c>
      <c r="J35" s="2" t="inlineStr">
        <is>
          <t>250502_제일전자전시장(정의석위원님).xlsb</t>
        </is>
      </c>
    </row>
    <row r="36">
      <c r="A36" s="2" t="inlineStr">
        <is>
          <t>2025년</t>
        </is>
      </c>
      <c r="B36" s="2" t="inlineStr">
        <is>
          <t>250610_진해 이우철 삼계탕</t>
        </is>
      </c>
      <c r="C36" s="2" t="inlineStr">
        <is>
          <t>식음료</t>
        </is>
      </c>
      <c r="D36" s="2" t="inlineStr">
        <is>
          <t>본공사</t>
        </is>
      </c>
      <c r="E36" s="3" t="n">
        <v>365</v>
      </c>
      <c r="F36" s="3" t="n">
        <v>110.4</v>
      </c>
      <c r="G36" s="4" t="n">
        <v>77672500</v>
      </c>
      <c r="H36" s="4" t="n">
        <v>99320000</v>
      </c>
      <c r="I36" s="4">
        <f>IF(F36&gt;0,G36/F36,"")</f>
        <v/>
      </c>
      <c r="J36" s="2" t="inlineStr">
        <is>
          <t>250508_진해 이우철누릉지삼계탕(철거제외).xls</t>
        </is>
      </c>
    </row>
    <row r="37">
      <c r="A37" s="2" t="inlineStr">
        <is>
          <t>2025년</t>
        </is>
      </c>
      <c r="B37" s="2" t="inlineStr">
        <is>
          <t>250610_진해 이우철 삼계탕</t>
        </is>
      </c>
      <c r="C37" s="2" t="inlineStr">
        <is>
          <t>식음료</t>
        </is>
      </c>
      <c r="D37" s="2" t="inlineStr">
        <is>
          <t>추가공사</t>
        </is>
      </c>
      <c r="E37" s="3" t="n">
        <v>143</v>
      </c>
      <c r="F37" s="3" t="n">
        <v>43.3</v>
      </c>
      <c r="G37" s="4" t="n">
        <v>14014500</v>
      </c>
      <c r="H37" s="4" t="n">
        <v>17985000</v>
      </c>
      <c r="I37" s="4">
        <f>IF(F37&gt;0,G37/F37,"")</f>
        <v/>
      </c>
      <c r="J37" s="2" t="inlineStr">
        <is>
          <t>250529_진해 누릉지삼계탕 추가공사.xlsb</t>
        </is>
      </c>
    </row>
    <row r="38">
      <c r="A38" s="2" t="inlineStr">
        <is>
          <t>2025년</t>
        </is>
      </c>
      <c r="B38" s="2" t="inlineStr">
        <is>
          <t>250423_경남산소</t>
        </is>
      </c>
      <c r="C38" s="2" t="inlineStr">
        <is>
          <t>상업/기타</t>
        </is>
      </c>
      <c r="D38" s="2" t="inlineStr">
        <is>
          <t>추가공사</t>
        </is>
      </c>
      <c r="E38" s="3" t="n"/>
      <c r="F38" s="3" t="n"/>
      <c r="G38" s="4" t="n">
        <v>3925498</v>
      </c>
      <c r="H38" s="4" t="n">
        <v>5016000</v>
      </c>
      <c r="I38" s="4">
        <f>IF(F38&gt;0,G38/F38,"")</f>
        <v/>
      </c>
      <c r="J38" s="2" t="inlineStr">
        <is>
          <t>250531_경남산소 추가견적서.xlsb</t>
        </is>
      </c>
    </row>
    <row r="39">
      <c r="A39" s="2" t="inlineStr">
        <is>
          <t>2025년</t>
        </is>
      </c>
      <c r="B39" s="2" t="inlineStr">
        <is>
          <t>250620_구산면 도만카페</t>
        </is>
      </c>
      <c r="C39" s="2" t="inlineStr">
        <is>
          <t>식음료</t>
        </is>
      </c>
      <c r="D39" s="2" t="inlineStr">
        <is>
          <t>본공사</t>
        </is>
      </c>
      <c r="E39" s="3" t="n">
        <v>131</v>
      </c>
      <c r="F39" s="3" t="n">
        <v>39.6</v>
      </c>
      <c r="G39" s="4" t="n">
        <v>136400000</v>
      </c>
      <c r="H39" s="4" t="n">
        <v>178607000</v>
      </c>
      <c r="I39" s="4">
        <f>IF(F39&gt;0,G39/F39,"")</f>
        <v/>
      </c>
      <c r="J39" s="2" t="inlineStr">
        <is>
          <t>250603_도만카페 견적서.xlsb</t>
        </is>
      </c>
    </row>
    <row r="40">
      <c r="A40" s="2" t="inlineStr">
        <is>
          <t>2025년</t>
        </is>
      </c>
      <c r="B40" s="2" t="inlineStr">
        <is>
          <t>250618_이홍열법률사무소</t>
        </is>
      </c>
      <c r="C40" s="2" t="inlineStr">
        <is>
          <t>사무실</t>
        </is>
      </c>
      <c r="D40" s="2" t="inlineStr">
        <is>
          <t>본공사</t>
        </is>
      </c>
      <c r="E40" s="3" t="n">
        <v>102.6</v>
      </c>
      <c r="F40" s="3" t="n">
        <v>31</v>
      </c>
      <c r="G40" s="4" t="n">
        <v>41429320</v>
      </c>
      <c r="H40" s="4" t="n">
        <v>53119000</v>
      </c>
      <c r="I40" s="4">
        <f>IF(F40&gt;0,G40/F40,"")</f>
        <v/>
      </c>
      <c r="J40" s="2" t="inlineStr">
        <is>
          <t>250618_이홍렬법률사무소(최종본).xlsb</t>
        </is>
      </c>
    </row>
    <row r="41">
      <c r="A41" s="2" t="inlineStr">
        <is>
          <t>2025년</t>
        </is>
      </c>
      <c r="B41" s="2" t="inlineStr">
        <is>
          <t>250628_세영테크놀리지</t>
        </is>
      </c>
      <c r="C41" s="2" t="inlineStr">
        <is>
          <t>상업/기타</t>
        </is>
      </c>
      <c r="D41" s="2" t="inlineStr">
        <is>
          <t>본공사</t>
        </is>
      </c>
      <c r="E41" s="3" t="n"/>
      <c r="F41" s="3" t="n"/>
      <c r="G41" s="4" t="n">
        <v>4749000</v>
      </c>
      <c r="H41" s="4" t="n">
        <v>6127000</v>
      </c>
      <c r="I41" s="4">
        <f>IF(F41&gt;0,G41/F41,"")</f>
        <v/>
      </c>
      <c r="J41" s="2" t="inlineStr">
        <is>
          <t>250628_(주)세영테크놀리지(최종본).xlsb</t>
        </is>
      </c>
    </row>
    <row r="42">
      <c r="A42" s="2" t="inlineStr">
        <is>
          <t>2025년</t>
        </is>
      </c>
      <c r="B42" s="2" t="inlineStr">
        <is>
          <t>250708_스포츠가치센터</t>
        </is>
      </c>
      <c r="C42" s="2" t="inlineStr">
        <is>
          <t>부분공사/기타</t>
        </is>
      </c>
      <c r="D42" s="2" t="inlineStr">
        <is>
          <t>본공사</t>
        </is>
      </c>
      <c r="E42" s="3" t="n">
        <v>32</v>
      </c>
      <c r="F42" s="3" t="n">
        <v>9.699999999999999</v>
      </c>
      <c r="G42" s="4" t="n">
        <v>27910060</v>
      </c>
      <c r="H42" s="4" t="n">
        <v>36905000</v>
      </c>
      <c r="I42" s="4">
        <f>IF(F42&gt;0,G42/F42,"")</f>
        <v/>
      </c>
      <c r="J42" s="2" t="inlineStr">
        <is>
          <t>250701_kspo스포츠가치센터 흡연부스 및 휴게공간(최종본).xlsb</t>
        </is>
      </c>
    </row>
    <row r="43">
      <c r="A43" s="2" t="inlineStr">
        <is>
          <t>2025년</t>
        </is>
      </c>
      <c r="B43" s="2" t="inlineStr">
        <is>
          <t>250707_팔용동사진관</t>
        </is>
      </c>
      <c r="C43" s="2" t="inlineStr">
        <is>
          <t>상업/기타</t>
        </is>
      </c>
      <c r="D43" s="2" t="inlineStr">
        <is>
          <t>본공사</t>
        </is>
      </c>
      <c r="E43" s="3" t="n">
        <v>50</v>
      </c>
      <c r="F43" s="3" t="n">
        <v>15.1</v>
      </c>
      <c r="G43" s="4" t="n">
        <v>6266000</v>
      </c>
      <c r="H43" s="4" t="n">
        <v>8085000</v>
      </c>
      <c r="I43" s="4">
        <f>IF(F43&gt;0,G43/F43,"")</f>
        <v/>
      </c>
      <c r="J43" s="2" t="inlineStr">
        <is>
          <t>250701_팔용동사진관.xlsb</t>
        </is>
      </c>
    </row>
    <row r="44">
      <c r="A44" s="2" t="inlineStr">
        <is>
          <t>2025년</t>
        </is>
      </c>
      <c r="B44" s="2" t="inlineStr">
        <is>
          <t>250708_HD현대마린엔진</t>
        </is>
      </c>
      <c r="C44" s="2" t="inlineStr">
        <is>
          <t>상업/기타</t>
        </is>
      </c>
      <c r="D44" s="2" t="inlineStr">
        <is>
          <t>본공사</t>
        </is>
      </c>
      <c r="E44" s="3" t="n">
        <v>250</v>
      </c>
      <c r="F44" s="3" t="n">
        <v>75.59999999999999</v>
      </c>
      <c r="G44" s="4" t="n">
        <v>17474000</v>
      </c>
      <c r="H44" s="4" t="n">
        <v>22594000</v>
      </c>
      <c r="I44" s="4">
        <f>IF(F44&gt;0,G44/F44,"")</f>
        <v/>
      </c>
      <c r="J44" s="2" t="inlineStr">
        <is>
          <t>250708_HD현대마린엔진 견적서 (공사)-최종본.xlsb</t>
        </is>
      </c>
    </row>
    <row r="45">
      <c r="A45" s="2" t="inlineStr">
        <is>
          <t>2025년</t>
        </is>
      </c>
      <c r="B45" s="2" t="inlineStr">
        <is>
          <t>250728_ PNU 펜토미노 교육과정 원예생명과학과 강의실 환경개선 공사</t>
        </is>
      </c>
      <c r="C45" s="2" t="inlineStr">
        <is>
          <t>학원/교습소</t>
        </is>
      </c>
      <c r="D45" s="2" t="inlineStr">
        <is>
          <t>본공사</t>
        </is>
      </c>
      <c r="E45" s="3" t="n">
        <v>80</v>
      </c>
      <c r="F45" s="3" t="n">
        <v>24.2</v>
      </c>
      <c r="G45" s="4" t="n">
        <v>26053500</v>
      </c>
      <c r="H45" s="4" t="n">
        <v>33500000</v>
      </c>
      <c r="I45" s="4">
        <f>IF(F45&gt;0,G45/F45,"")</f>
        <v/>
      </c>
      <c r="J45" s="2" t="inlineStr">
        <is>
          <t>250726_부산대밀양캠퍼스 원예학과(학과도서실)-최종본.xlsb</t>
        </is>
      </c>
    </row>
    <row r="46">
      <c r="A46" s="2" t="inlineStr">
        <is>
          <t>2025년</t>
        </is>
      </c>
      <c r="B46" s="2" t="inlineStr">
        <is>
          <t>250802_중동미용실</t>
        </is>
      </c>
      <c r="C46" s="2" t="inlineStr">
        <is>
          <t>뷰티/미용</t>
        </is>
      </c>
      <c r="D46" s="2" t="inlineStr">
        <is>
          <t>본공사</t>
        </is>
      </c>
      <c r="E46" s="3" t="n">
        <v>23.5</v>
      </c>
      <c r="F46" s="3" t="n">
        <v>7.1</v>
      </c>
      <c r="G46" s="4" t="n">
        <v>14197900</v>
      </c>
      <c r="H46" s="4" t="n">
        <v>18282000</v>
      </c>
      <c r="I46" s="4">
        <f>IF(F46&gt;0,G46/F46,"")</f>
        <v/>
      </c>
      <c r="J46" s="2" t="inlineStr">
        <is>
          <t>250802_중동미용실(최종본).xlsb</t>
        </is>
      </c>
    </row>
    <row r="47">
      <c r="A47" s="2" t="inlineStr">
        <is>
          <t>2025년</t>
        </is>
      </c>
      <c r="B47" s="2" t="inlineStr">
        <is>
          <t>250811_진영 HNS 휴게실,온수기</t>
        </is>
      </c>
      <c r="C47" s="2" t="inlineStr">
        <is>
          <t>부분공사/기타</t>
        </is>
      </c>
      <c r="D47" s="2" t="inlineStr">
        <is>
          <t>본공사</t>
        </is>
      </c>
      <c r="E47" s="3" t="n"/>
      <c r="F47" s="3" t="n"/>
      <c r="G47" s="4" t="n">
        <v>1200000</v>
      </c>
      <c r="H47" s="4" t="n">
        <v>1518000</v>
      </c>
      <c r="I47" s="4">
        <f>IF(F47&gt;0,G47/F47,"")</f>
        <v/>
      </c>
      <c r="J47" s="2" t="inlineStr">
        <is>
          <t>250811_진영 HNS 온수기.xlsb</t>
        </is>
      </c>
    </row>
    <row r="48">
      <c r="A48" s="2" t="inlineStr">
        <is>
          <t>2025년</t>
        </is>
      </c>
      <c r="B48" s="2" t="inlineStr">
        <is>
          <t>250811_진영 HNS 휴게실,온수기</t>
        </is>
      </c>
      <c r="C48" s="2" t="inlineStr">
        <is>
          <t>부분공사/기타</t>
        </is>
      </c>
      <c r="D48" s="2" t="inlineStr">
        <is>
          <t>본공사</t>
        </is>
      </c>
      <c r="E48" s="3" t="n"/>
      <c r="F48" s="3" t="n"/>
      <c r="G48" s="4" t="n">
        <v>5909000</v>
      </c>
      <c r="H48" s="4" t="n">
        <v>7579000</v>
      </c>
      <c r="I48" s="4">
        <f>IF(F48&gt;0,G48/F48,"")</f>
        <v/>
      </c>
      <c r="J48" s="2" t="inlineStr">
        <is>
          <t>250825_진영 HNS 휴게실 .xlsb</t>
        </is>
      </c>
    </row>
    <row r="49">
      <c r="A49" s="2" t="inlineStr">
        <is>
          <t>2025년</t>
        </is>
      </c>
      <c r="B49" s="2" t="inlineStr">
        <is>
          <t>250829_진해 디아크마린</t>
        </is>
      </c>
      <c r="C49" s="2" t="inlineStr">
        <is>
          <t>상업/기타</t>
        </is>
      </c>
      <c r="D49" s="2" t="inlineStr">
        <is>
          <t>본공사</t>
        </is>
      </c>
      <c r="E49" s="3" t="n">
        <v>196</v>
      </c>
      <c r="F49" s="3" t="n">
        <v>59.3</v>
      </c>
      <c r="G49" s="4" t="n">
        <v>59830220</v>
      </c>
      <c r="H49" s="4" t="n">
        <v>76824000</v>
      </c>
      <c r="I49" s="4">
        <f>IF(F49&gt;0,G49/F49,"")</f>
        <v/>
      </c>
      <c r="J49" s="2" t="inlineStr">
        <is>
          <t>250829_진해 디아크마린 (최종본).xlsb</t>
        </is>
      </c>
    </row>
    <row r="50">
      <c r="A50" s="2" t="inlineStr">
        <is>
          <t>2025년</t>
        </is>
      </c>
      <c r="B50" s="2" t="inlineStr">
        <is>
          <t>250902_한국산업단지공단(인테리어)</t>
        </is>
      </c>
      <c r="C50" s="2" t="inlineStr">
        <is>
          <t>상업/기타</t>
        </is>
      </c>
      <c r="D50" s="2" t="inlineStr">
        <is>
          <t>본공사</t>
        </is>
      </c>
      <c r="E50" s="3" t="n">
        <v>384</v>
      </c>
      <c r="F50" s="3" t="n">
        <v>116.2</v>
      </c>
      <c r="G50" s="4" t="n">
        <v>16923200</v>
      </c>
      <c r="H50" s="4" t="n">
        <v>21824000</v>
      </c>
      <c r="I50" s="4">
        <f>IF(F50&gt;0,G50/F50,"")</f>
        <v/>
      </c>
      <c r="J50" s="2" t="inlineStr">
        <is>
          <t>250902_한국산업단지공단(인테리어).xlsb</t>
        </is>
      </c>
    </row>
    <row r="51">
      <c r="A51" s="2" t="inlineStr">
        <is>
          <t>2025년</t>
        </is>
      </c>
      <c r="B51" s="2" t="inlineStr">
        <is>
          <t>250910_법무법인DH</t>
        </is>
      </c>
      <c r="C51" s="2" t="inlineStr">
        <is>
          <t>사무실</t>
        </is>
      </c>
      <c r="D51" s="2" t="inlineStr">
        <is>
          <t>본공사</t>
        </is>
      </c>
      <c r="E51" s="3" t="n">
        <v>114</v>
      </c>
      <c r="F51" s="3" t="n">
        <v>34.5</v>
      </c>
      <c r="G51" s="4" t="n">
        <v>35029800</v>
      </c>
      <c r="H51" s="4" t="n">
        <v>45001000</v>
      </c>
      <c r="I51" s="4">
        <f>IF(F51&gt;0,G51/F51,"")</f>
        <v/>
      </c>
      <c r="J51" s="2" t="inlineStr">
        <is>
          <t>250908_DH법무법인.xlsb</t>
        </is>
      </c>
    </row>
    <row r="52">
      <c r="A52" s="2" t="inlineStr">
        <is>
          <t>2025년</t>
        </is>
      </c>
      <c r="B52" s="2" t="inlineStr">
        <is>
          <t>251001_서경방송</t>
        </is>
      </c>
      <c r="C52" s="2" t="inlineStr">
        <is>
          <t>상업/기타</t>
        </is>
      </c>
      <c r="D52" s="2" t="inlineStr">
        <is>
          <t>본공사</t>
        </is>
      </c>
      <c r="E52" s="3" t="n">
        <v>523</v>
      </c>
      <c r="F52" s="3" t="n">
        <v>158.2</v>
      </c>
      <c r="G52" s="4" t="n">
        <v>226606750</v>
      </c>
      <c r="H52" s="4" t="n">
        <v>291236000</v>
      </c>
      <c r="I52" s="4">
        <f>IF(F52&gt;0,G52/F52,"")</f>
        <v/>
      </c>
      <c r="J52" s="2" t="inlineStr">
        <is>
          <t>250917_서경방송(최종본).xlsb</t>
        </is>
      </c>
    </row>
    <row r="53">
      <c r="A53" s="2" t="inlineStr">
        <is>
          <t>2025년</t>
        </is>
      </c>
      <c r="B53" s="2" t="inlineStr">
        <is>
          <t>250917_회원동교습소</t>
        </is>
      </c>
      <c r="C53" s="2" t="inlineStr">
        <is>
          <t>학원/교습소</t>
        </is>
      </c>
      <c r="D53" s="2" t="inlineStr">
        <is>
          <t>본공사</t>
        </is>
      </c>
      <c r="E53" s="3" t="n">
        <v>85</v>
      </c>
      <c r="F53" s="3" t="n">
        <v>25.7</v>
      </c>
      <c r="G53" s="4" t="n">
        <v>23589300</v>
      </c>
      <c r="H53" s="4" t="n">
        <v>30338000</v>
      </c>
      <c r="I53" s="4">
        <f>IF(F53&gt;0,G53/F53,"")</f>
        <v/>
      </c>
      <c r="J53" s="2" t="inlineStr">
        <is>
          <t>250917_회원동교습소.xlsb</t>
        </is>
      </c>
    </row>
    <row r="54">
      <c r="A54" s="2" t="inlineStr">
        <is>
          <t>2025년</t>
        </is>
      </c>
      <c r="B54" s="2" t="inlineStr">
        <is>
          <t>251013_내동교습소</t>
        </is>
      </c>
      <c r="C54" s="2" t="inlineStr">
        <is>
          <t>학원/교습소</t>
        </is>
      </c>
      <c r="D54" s="2" t="inlineStr">
        <is>
          <t>본공사</t>
        </is>
      </c>
      <c r="E54" s="3" t="n">
        <v>41</v>
      </c>
      <c r="F54" s="3" t="n">
        <v>12.4</v>
      </c>
      <c r="G54" s="4" t="n">
        <v>14200100</v>
      </c>
      <c r="H54" s="4" t="n">
        <v>18282000</v>
      </c>
      <c r="I54" s="4">
        <f>IF(F54&gt;0,G54/F54,"")</f>
        <v/>
      </c>
      <c r="J54" s="2" t="inlineStr">
        <is>
          <t>251013_내동교습소견적서최종본.xlsb</t>
        </is>
      </c>
    </row>
    <row r="55">
      <c r="A55" s="2" t="inlineStr">
        <is>
          <t>2025년</t>
        </is>
      </c>
      <c r="B55" s="2" t="inlineStr">
        <is>
          <t>251013_동전산단 사무실 부분인테리어</t>
        </is>
      </c>
      <c r="C55" s="2" t="inlineStr">
        <is>
          <t>사무실</t>
        </is>
      </c>
      <c r="D55" s="2" t="inlineStr">
        <is>
          <t>본공사</t>
        </is>
      </c>
      <c r="E55" s="3" t="n"/>
      <c r="F55" s="3" t="n"/>
      <c r="G55" s="4" t="n">
        <v>7096700</v>
      </c>
      <c r="H55" s="4" t="n">
        <v>8976000</v>
      </c>
      <c r="I55" s="4">
        <f>IF(F55&gt;0,G55/F55,"")</f>
        <v/>
      </c>
      <c r="J55" s="2" t="inlineStr">
        <is>
          <t>251013_동전산단 사무실 부분인테리어.xlsb</t>
        </is>
      </c>
    </row>
    <row r="56">
      <c r="A56" s="2" t="inlineStr">
        <is>
          <t>2025년</t>
        </is>
      </c>
      <c r="B56" s="2" t="inlineStr">
        <is>
          <t>251001_서경방송</t>
        </is>
      </c>
      <c r="C56" s="2" t="inlineStr">
        <is>
          <t>상업/기타</t>
        </is>
      </c>
      <c r="D56" s="2" t="inlineStr">
        <is>
          <t>추가공사</t>
        </is>
      </c>
      <c r="E56" s="3" t="n"/>
      <c r="F56" s="3" t="n"/>
      <c r="G56" s="4" t="n">
        <v>17766000</v>
      </c>
      <c r="H56" s="4" t="n">
        <v>22869000</v>
      </c>
      <c r="I56" s="4">
        <f>IF(F56&gt;0,G56/F56,"")</f>
        <v/>
      </c>
      <c r="J56" s="2" t="inlineStr">
        <is>
          <t>251017_서경방송추가공사.xlsb</t>
        </is>
      </c>
    </row>
    <row r="57">
      <c r="A57" s="2" t="inlineStr">
        <is>
          <t>2025년</t>
        </is>
      </c>
      <c r="B57" s="2" t="inlineStr">
        <is>
          <t>251030_에이지로보틱스 경남창조혁신센터 사무실</t>
        </is>
      </c>
      <c r="C57" s="2" t="inlineStr">
        <is>
          <t>사무실</t>
        </is>
      </c>
      <c r="D57" s="2" t="inlineStr">
        <is>
          <t>본공사</t>
        </is>
      </c>
      <c r="E57" s="3" t="n">
        <v>150</v>
      </c>
      <c r="F57" s="3" t="n">
        <v>45.4</v>
      </c>
      <c r="G57" s="4" t="n">
        <v>25237700</v>
      </c>
      <c r="H57" s="4" t="n">
        <v>32494000</v>
      </c>
      <c r="I57" s="4">
        <f>IF(F57&gt;0,G57/F57,"")</f>
        <v/>
      </c>
      <c r="J57" s="2" t="inlineStr">
        <is>
          <t>251030_에이지로보틱스 경남창조혁신센터 사무실(최종본).xls</t>
        </is>
      </c>
    </row>
    <row r="58">
      <c r="A58" s="2" t="inlineStr">
        <is>
          <t>2025년</t>
        </is>
      </c>
      <c r="B58" s="2" t="inlineStr">
        <is>
          <t>251124_나라정보시스템</t>
        </is>
      </c>
      <c r="C58" s="2" t="inlineStr">
        <is>
          <t>사무실</t>
        </is>
      </c>
      <c r="D58" s="2" t="inlineStr">
        <is>
          <t>본공사</t>
        </is>
      </c>
      <c r="E58" s="3" t="n">
        <v>35</v>
      </c>
      <c r="F58" s="3" t="n">
        <v>10.6</v>
      </c>
      <c r="G58" s="4" t="n">
        <v>13728698</v>
      </c>
      <c r="H58" s="4" t="n">
        <v>17578000</v>
      </c>
      <c r="I58" s="4">
        <f>IF(F58&gt;0,G58/F58,"")</f>
        <v/>
      </c>
      <c r="J58" s="2" t="inlineStr">
        <is>
          <t>251120_ 시티세븐 나라정보시스템 사무실 (최종본).xlsb</t>
        </is>
      </c>
    </row>
    <row r="59">
      <c r="A59" s="2" t="inlineStr">
        <is>
          <t>2025년</t>
        </is>
      </c>
      <c r="B59" s="2" t="inlineStr">
        <is>
          <t>251211_현동바버샵</t>
        </is>
      </c>
      <c r="C59" s="2" t="inlineStr">
        <is>
          <t>뷰티/미용</t>
        </is>
      </c>
      <c r="D59" s="2" t="inlineStr">
        <is>
          <t>본공사</t>
        </is>
      </c>
      <c r="E59" s="3" t="n">
        <v>45</v>
      </c>
      <c r="F59" s="3" t="n">
        <v>13.6</v>
      </c>
      <c r="G59" s="4" t="n">
        <v>23736100</v>
      </c>
      <c r="H59" s="4" t="n">
        <v>30437000</v>
      </c>
      <c r="I59" s="4">
        <f>IF(F59&gt;0,G59/F59,"")</f>
        <v/>
      </c>
      <c r="J59" s="2" t="inlineStr">
        <is>
          <t>251211_현동바버샵.xlsb</t>
        </is>
      </c>
    </row>
    <row r="60">
      <c r="A60" s="2" t="inlineStr">
        <is>
          <t>2026년</t>
        </is>
      </c>
      <c r="B60" s="2" t="inlineStr">
        <is>
          <t>251225_토킹영어학원</t>
        </is>
      </c>
      <c r="C60" s="2" t="inlineStr">
        <is>
          <t>학원/교습소</t>
        </is>
      </c>
      <c r="D60" s="2" t="inlineStr">
        <is>
          <t>본공사</t>
        </is>
      </c>
      <c r="E60" s="3" t="n"/>
      <c r="F60" s="3" t="n"/>
      <c r="G60" s="4" t="n">
        <v>3757000</v>
      </c>
      <c r="H60" s="4" t="n">
        <v>4862000</v>
      </c>
      <c r="I60" s="4">
        <f>IF(F60&gt;0,G60/F60,"")</f>
        <v/>
      </c>
      <c r="J60" s="2" t="inlineStr">
        <is>
          <t>2260105_토킹영어학원(최종본).xlsb</t>
        </is>
      </c>
    </row>
    <row r="61">
      <c r="A61" s="2" t="inlineStr">
        <is>
          <t>2026년</t>
        </is>
      </c>
      <c r="B61" s="2" t="inlineStr">
        <is>
          <t>260116_2025 PNU 펜토미노 융합전공 원예생명과학과 환경개선 공사</t>
        </is>
      </c>
      <c r="C61" s="2" t="inlineStr">
        <is>
          <t>학원/교습소</t>
        </is>
      </c>
      <c r="D61" s="2" t="inlineStr">
        <is>
          <t>본공사</t>
        </is>
      </c>
      <c r="E61" s="3" t="n"/>
      <c r="F61" s="3" t="n"/>
      <c r="G61" s="4" t="n">
        <v>18874800</v>
      </c>
      <c r="H61" s="4" t="n">
        <v>24112000</v>
      </c>
      <c r="I61" s="4">
        <f>IF(F61&gt;0,G61/F61,"")</f>
        <v/>
      </c>
      <c r="J61" s="2" t="inlineStr">
        <is>
          <t>251224_부산대밀양캠퍼스 원예학과(학과인포메이션).xlsb</t>
        </is>
      </c>
    </row>
    <row r="62">
      <c r="A62" s="2" t="inlineStr">
        <is>
          <t>2026년</t>
        </is>
      </c>
      <c r="B62" s="2" t="inlineStr">
        <is>
          <t>251225_대상힐스 미용실</t>
        </is>
      </c>
      <c r="C62" s="2" t="inlineStr">
        <is>
          <t>뷰티/미용</t>
        </is>
      </c>
      <c r="D62" s="2" t="inlineStr">
        <is>
          <t>본공사</t>
        </is>
      </c>
      <c r="E62" s="3" t="n">
        <v>40</v>
      </c>
      <c r="F62" s="3" t="n">
        <v>12.1</v>
      </c>
      <c r="G62" s="4" t="n">
        <v>24606000</v>
      </c>
      <c r="H62" s="4" t="n">
        <v>30800000</v>
      </c>
      <c r="I62" s="4">
        <f>IF(F62&gt;0,G62/F62,"")</f>
        <v/>
      </c>
      <c r="J62" s="2" t="inlineStr">
        <is>
          <t>251225_대상힐스 미용실(최종본).xlsb</t>
        </is>
      </c>
    </row>
    <row r="63">
      <c r="A63" s="2" t="inlineStr">
        <is>
          <t>2026년</t>
        </is>
      </c>
      <c r="B63" s="2" t="inlineStr">
        <is>
          <t>260206_어반브릭스 기타 학원</t>
        </is>
      </c>
      <c r="C63" s="2" t="inlineStr">
        <is>
          <t>학원/교습소</t>
        </is>
      </c>
      <c r="D63" s="2" t="inlineStr">
        <is>
          <t>본공사</t>
        </is>
      </c>
      <c r="E63" s="3" t="n">
        <v>40.2</v>
      </c>
      <c r="F63" s="3" t="n">
        <v>12.2</v>
      </c>
      <c r="G63" s="4" t="n">
        <v>9209830</v>
      </c>
      <c r="H63" s="4" t="n">
        <v>11836000</v>
      </c>
      <c r="I63" s="4">
        <f>IF(F63&gt;0,G63/F63,"")</f>
        <v/>
      </c>
      <c r="J63" s="2" t="inlineStr">
        <is>
          <t>260202_어반브릭스 기타학원(1316호)-최종본.xlsb</t>
        </is>
      </c>
    </row>
    <row r="64">
      <c r="A64" s="2" t="inlineStr">
        <is>
          <t>2026년</t>
        </is>
      </c>
      <c r="B64" s="2" t="inlineStr">
        <is>
          <t>260204_현대마린엔진대표실(샷시)</t>
        </is>
      </c>
      <c r="C64" s="2" t="inlineStr">
        <is>
          <t>사무실</t>
        </is>
      </c>
      <c r="D64" s="2" t="inlineStr">
        <is>
          <t>본공사</t>
        </is>
      </c>
      <c r="E64" s="3" t="n">
        <v>9</v>
      </c>
      <c r="F64" s="3" t="n">
        <v>2.7</v>
      </c>
      <c r="G64" s="4" t="n">
        <v>8281300</v>
      </c>
      <c r="H64" s="4" t="n">
        <v>10593000</v>
      </c>
      <c r="I64" s="4">
        <f>IF(F64&gt;0,G64/F64,"")</f>
        <v/>
      </c>
      <c r="J64" s="2" t="inlineStr">
        <is>
          <t>260204_현대마린엔진대표실(샷시)_최종본.xlsb</t>
        </is>
      </c>
    </row>
    <row r="65">
      <c r="A65" s="2" t="inlineStr">
        <is>
          <t>2026년</t>
        </is>
      </c>
      <c r="B65" s="2" t="inlineStr">
        <is>
          <t>260219_RISE 기능성푸드평가 동물조직분석실 교육 환경 개선 공사</t>
        </is>
      </c>
      <c r="C65" s="2" t="inlineStr">
        <is>
          <t>학원/교습소</t>
        </is>
      </c>
      <c r="D65" s="2" t="inlineStr">
        <is>
          <t>본공사</t>
        </is>
      </c>
      <c r="E65" s="3" t="n"/>
      <c r="F65" s="3" t="n"/>
      <c r="G65" s="4" t="n">
        <v>7825000</v>
      </c>
      <c r="H65" s="4" t="n">
        <v>10000000</v>
      </c>
      <c r="I65" s="4">
        <f>IF(F65&gt;0,G65/F65,"")</f>
        <v/>
      </c>
      <c r="J65" s="2" t="inlineStr">
        <is>
          <t>260209_부산대 바이오소재학과.xlsb</t>
        </is>
      </c>
    </row>
    <row r="66">
      <c r="A66" s="2" t="inlineStr">
        <is>
          <t>2026년</t>
        </is>
      </c>
      <c r="B66" s="2" t="inlineStr">
        <is>
          <t>260213_감계아내202동605호</t>
        </is>
      </c>
      <c r="C66" s="2" t="inlineStr">
        <is>
          <t>주거</t>
        </is>
      </c>
      <c r="D66" s="2" t="inlineStr">
        <is>
          <t>본공사</t>
        </is>
      </c>
      <c r="E66" s="3" t="n"/>
      <c r="F66" s="3" t="n"/>
      <c r="G66" s="4" t="n">
        <v>10449900</v>
      </c>
      <c r="H66" s="4" t="n">
        <v>13354000</v>
      </c>
      <c r="I66" s="4">
        <f>IF(F66&gt;0,G66/F66,"")</f>
        <v/>
      </c>
      <c r="J66" s="2" t="inlineStr">
        <is>
          <t>260213_감계 아내 202동 605호.xlsb</t>
        </is>
      </c>
    </row>
    <row r="67">
      <c r="A67" s="2" t="inlineStr">
        <is>
          <t>2026년</t>
        </is>
      </c>
      <c r="B67" s="2" t="inlineStr">
        <is>
          <t>260219_JD6층힉원</t>
        </is>
      </c>
      <c r="C67" s="2" t="inlineStr">
        <is>
          <t>학원/교습소</t>
        </is>
      </c>
      <c r="D67" s="2" t="inlineStr">
        <is>
          <t>본공사</t>
        </is>
      </c>
      <c r="E67" s="3" t="n"/>
      <c r="F67" s="3" t="n"/>
      <c r="G67" s="4" t="n">
        <v>8261500</v>
      </c>
      <c r="H67" s="4" t="n">
        <v>10857000</v>
      </c>
      <c r="I67" s="4">
        <f>IF(F67&gt;0,G67/F67,"")</f>
        <v/>
      </c>
      <c r="J67" s="2" t="inlineStr">
        <is>
          <t>260219_JD윙스 6층 영어학원.xlsb</t>
        </is>
      </c>
    </row>
    <row r="68">
      <c r="A68" s="2" t="inlineStr">
        <is>
          <t>2026년</t>
        </is>
      </c>
      <c r="B68" s="2" t="inlineStr">
        <is>
          <t>260220_밀양미부닥트(주)</t>
        </is>
      </c>
      <c r="C68" s="2" t="inlineStr">
        <is>
          <t>부분공사/기타</t>
        </is>
      </c>
      <c r="D68" s="2" t="inlineStr">
        <is>
          <t>본공사</t>
        </is>
      </c>
      <c r="E68" s="3" t="n"/>
      <c r="F68" s="3" t="n"/>
      <c r="G68" s="4" t="n">
        <v>6675200</v>
      </c>
      <c r="H68" s="4" t="n">
        <v>8514000</v>
      </c>
      <c r="I68" s="4">
        <f>IF(F68&gt;0,G68/F68,"")</f>
        <v/>
      </c>
      <c r="J68" s="2" t="inlineStr">
        <is>
          <t>260220_밀양 미부닥트(주)- 금속작업.xlsb</t>
        </is>
      </c>
    </row>
    <row r="69">
      <c r="A69" s="2" t="inlineStr">
        <is>
          <t>2026년</t>
        </is>
      </c>
      <c r="B69" s="2" t="inlineStr">
        <is>
          <t>260302_장유사무실</t>
        </is>
      </c>
      <c r="C69" s="2" t="inlineStr">
        <is>
          <t>사무실</t>
        </is>
      </c>
      <c r="D69" s="2" t="inlineStr">
        <is>
          <t>본공사</t>
        </is>
      </c>
      <c r="E69" s="3" t="n">
        <v>115</v>
      </c>
      <c r="F69" s="3" t="n">
        <v>34.8</v>
      </c>
      <c r="G69" s="4" t="n">
        <v>18852750</v>
      </c>
      <c r="H69" s="4" t="n">
        <v>24090000</v>
      </c>
      <c r="I69" s="4">
        <f>IF(F69&gt;0,G69/F69,"")</f>
        <v/>
      </c>
      <c r="J69" s="2" t="inlineStr">
        <is>
          <t>260302_장유대청동 사무실인테리어.xlsb</t>
        </is>
      </c>
    </row>
    <row r="70">
      <c r="A70" s="2" t="inlineStr">
        <is>
          <t>2026년</t>
        </is>
      </c>
      <c r="B70" s="2" t="inlineStr">
        <is>
          <t>260219_JD6층힉원</t>
        </is>
      </c>
      <c r="C70" s="2" t="inlineStr">
        <is>
          <t>학원/교습소</t>
        </is>
      </c>
      <c r="D70" s="2" t="inlineStr">
        <is>
          <t>추가공사</t>
        </is>
      </c>
      <c r="E70" s="3" t="n"/>
      <c r="F70" s="3" t="n"/>
      <c r="G70" s="4" t="n">
        <v>2195500</v>
      </c>
      <c r="H70" s="4" t="n">
        <v>2816000</v>
      </c>
      <c r="I70" s="4">
        <f>IF(F70&gt;0,G70/F70,"")</f>
        <v/>
      </c>
      <c r="J70" s="2" t="inlineStr">
        <is>
          <t>260303_JD윙스6층 영어학원 추가견적서.xlsb</t>
        </is>
      </c>
    </row>
    <row r="71">
      <c r="A71" s="2" t="inlineStr">
        <is>
          <t>2026년</t>
        </is>
      </c>
      <c r="B71" s="2" t="inlineStr">
        <is>
          <t>260305_경남 테크노파크</t>
        </is>
      </c>
      <c r="C71" s="2" t="inlineStr">
        <is>
          <t>상업/기타</t>
        </is>
      </c>
      <c r="D71" s="2" t="inlineStr">
        <is>
          <t>본공사</t>
        </is>
      </c>
      <c r="E71" s="3" t="n"/>
      <c r="F71" s="3" t="n"/>
      <c r="G71" s="4" t="n">
        <v>3330400</v>
      </c>
      <c r="H71" s="4" t="n">
        <v>4268000</v>
      </c>
      <c r="I71" s="4">
        <f>IF(F71&gt;0,G71/F71,"")</f>
        <v/>
      </c>
      <c r="J71" s="2" t="inlineStr">
        <is>
          <t>260305_경남 테크노파크-최종본.xlsb</t>
        </is>
      </c>
    </row>
    <row r="72">
      <c r="A72" s="2" t="inlineStr">
        <is>
          <t>2026년</t>
        </is>
      </c>
      <c r="B72" s="2" t="inlineStr">
        <is>
          <t>260310_어반브릭스 국어교습소</t>
        </is>
      </c>
      <c r="C72" s="2" t="inlineStr">
        <is>
          <t>학원/교습소</t>
        </is>
      </c>
      <c r="D72" s="2" t="inlineStr">
        <is>
          <t>본공사</t>
        </is>
      </c>
      <c r="E72" s="3" t="n"/>
      <c r="F72" s="3" t="n"/>
      <c r="G72" s="4" t="n">
        <v>1398000</v>
      </c>
      <c r="H72" s="4" t="n">
        <v>1683000</v>
      </c>
      <c r="I72" s="4">
        <f>IF(F72&gt;0,G72/F72,"")</f>
        <v/>
      </c>
      <c r="J72" s="2" t="inlineStr">
        <is>
          <t>260310_어반브릭스1312호.xlsb</t>
        </is>
      </c>
    </row>
    <row r="73">
      <c r="A73" s="2" t="inlineStr">
        <is>
          <t>2026년</t>
        </is>
      </c>
      <c r="B73" s="2" t="inlineStr">
        <is>
          <t>260316_헥사곤 사인물</t>
        </is>
      </c>
      <c r="C73" s="2" t="inlineStr">
        <is>
          <t>부분공사/기타</t>
        </is>
      </c>
      <c r="D73" s="2" t="inlineStr">
        <is>
          <t>본공사</t>
        </is>
      </c>
      <c r="E73" s="3" t="n"/>
      <c r="F73" s="3" t="n"/>
      <c r="G73" s="4" t="n">
        <v>2860000</v>
      </c>
      <c r="H73" s="4" t="n">
        <v>3652000</v>
      </c>
      <c r="I73" s="4">
        <f>IF(F73&gt;0,G73/F73,"")</f>
        <v/>
      </c>
      <c r="J73" s="2" t="inlineStr">
        <is>
          <t>260313_헥사곤_최종본.xlsb</t>
        </is>
      </c>
    </row>
    <row r="74">
      <c r="A74" s="2" t="inlineStr">
        <is>
          <t>2026년</t>
        </is>
      </c>
      <c r="B74" s="2" t="inlineStr">
        <is>
          <t>260317_반도유보라 교습소</t>
        </is>
      </c>
      <c r="C74" s="2" t="inlineStr">
        <is>
          <t>학원/교습소</t>
        </is>
      </c>
      <c r="D74" s="2" t="inlineStr">
        <is>
          <t>본공사</t>
        </is>
      </c>
      <c r="E74" s="3" t="n">
        <v>31</v>
      </c>
      <c r="F74" s="3" t="n">
        <v>9.4</v>
      </c>
      <c r="G74" s="4" t="n">
        <v>11690550</v>
      </c>
      <c r="H74" s="4" t="n">
        <v>15037000</v>
      </c>
      <c r="I74" s="4">
        <f>IF(F74&gt;0,G74/F74,"")</f>
        <v/>
      </c>
      <c r="J74" s="2" t="inlineStr">
        <is>
          <t>260317_반도유보라교습소 인테리어.xlsb</t>
        </is>
      </c>
    </row>
    <row r="75">
      <c r="A75" s="2" t="inlineStr">
        <is>
          <t>2026년</t>
        </is>
      </c>
      <c r="B75" s="2" t="inlineStr">
        <is>
          <t>260318_현대마린엔진 선주실</t>
        </is>
      </c>
      <c r="C75" s="2" t="inlineStr">
        <is>
          <t>사무실</t>
        </is>
      </c>
      <c r="D75" s="2" t="inlineStr">
        <is>
          <t>본공사</t>
        </is>
      </c>
      <c r="E75" s="3" t="n">
        <v>90</v>
      </c>
      <c r="F75" s="3" t="n">
        <v>27.2</v>
      </c>
      <c r="G75" s="4" t="n">
        <v>41942100</v>
      </c>
      <c r="H75" s="4" t="n">
        <v>52899000</v>
      </c>
      <c r="I75" s="4">
        <f>IF(F75&gt;0,G75/F75,"")</f>
        <v/>
      </c>
      <c r="J75" s="2" t="inlineStr">
        <is>
          <t>260318_현대마린엔진 현장동 사무실(최종본).xlsb</t>
        </is>
      </c>
    </row>
    <row r="76">
      <c r="A76" s="2" t="inlineStr">
        <is>
          <t>2026년</t>
        </is>
      </c>
      <c r="B76" s="2" t="inlineStr">
        <is>
          <t>260319_린데코리아 사무실</t>
        </is>
      </c>
      <c r="C76" s="2" t="inlineStr">
        <is>
          <t>사무실</t>
        </is>
      </c>
      <c r="D76" s="2" t="inlineStr">
        <is>
          <t>본공사</t>
        </is>
      </c>
      <c r="E76" s="3" t="n">
        <v>92.2</v>
      </c>
      <c r="F76" s="3" t="n">
        <v>27.9</v>
      </c>
      <c r="G76" s="4" t="n">
        <v>40199132</v>
      </c>
      <c r="H76" s="4" t="n">
        <v>52789000</v>
      </c>
      <c r="I76" s="4">
        <f>IF(F76&gt;0,G76/F76,"")</f>
        <v/>
      </c>
      <c r="J76" s="2" t="inlineStr">
        <is>
          <t>260319_린데코리아(최종본).xlsb</t>
        </is>
      </c>
    </row>
    <row r="77">
      <c r="A77" s="2" t="inlineStr">
        <is>
          <t>2026년</t>
        </is>
      </c>
      <c r="B77" s="2" t="inlineStr">
        <is>
          <t>260320_부산대바이오 추가</t>
        </is>
      </c>
      <c r="C77" s="2" t="inlineStr">
        <is>
          <t>상업/기타</t>
        </is>
      </c>
      <c r="D77" s="2" t="inlineStr">
        <is>
          <t>추가공사</t>
        </is>
      </c>
      <c r="E77" s="3" t="n"/>
      <c r="F77" s="3" t="n"/>
      <c r="G77" s="4" t="n">
        <v>720000</v>
      </c>
      <c r="H77" s="4" t="n">
        <v>902000</v>
      </c>
      <c r="I77" s="4">
        <f>IF(F77&gt;0,G77/F77,"")</f>
        <v/>
      </c>
      <c r="J77" s="2" t="inlineStr">
        <is>
          <t>260319_부산대 바이오 추가견적서.xlsb</t>
        </is>
      </c>
    </row>
    <row r="78">
      <c r="A78" s="2" t="inlineStr">
        <is>
          <t>2026년</t>
        </is>
      </c>
      <c r="B78" s="2" t="inlineStr">
        <is>
          <t>260318_어반브릭스 컴퓨터학원</t>
        </is>
      </c>
      <c r="C78" s="2" t="inlineStr">
        <is>
          <t>학원/교습소</t>
        </is>
      </c>
      <c r="D78" s="2" t="inlineStr">
        <is>
          <t>본공사</t>
        </is>
      </c>
      <c r="E78" s="3" t="n">
        <v>87</v>
      </c>
      <c r="F78" s="3" t="n">
        <v>26.3</v>
      </c>
      <c r="G78" s="4" t="n">
        <v>11995000</v>
      </c>
      <c r="H78" s="4" t="n">
        <v>15466000</v>
      </c>
      <c r="I78" s="4">
        <f>IF(F78&gt;0,G78/F78,"")</f>
        <v/>
      </c>
      <c r="J78" s="2" t="inlineStr">
        <is>
          <t>260319_어반브릭스(1606호, 1607호) 컴퓨터학원(최종본).xlsb</t>
        </is>
      </c>
    </row>
    <row r="79">
      <c r="A79" s="2" t="inlineStr">
        <is>
          <t>2026년</t>
        </is>
      </c>
      <c r="B79" s="2" t="inlineStr">
        <is>
          <t>260319_진해푸른회</t>
        </is>
      </c>
      <c r="C79" s="2" t="inlineStr">
        <is>
          <t>식음료</t>
        </is>
      </c>
      <c r="D79" s="2" t="inlineStr">
        <is>
          <t>본공사</t>
        </is>
      </c>
      <c r="E79" s="3" t="n">
        <v>53</v>
      </c>
      <c r="F79" s="3" t="n">
        <v>16</v>
      </c>
      <c r="G79" s="4" t="n">
        <v>7098250</v>
      </c>
      <c r="H79" s="4" t="n">
        <v>9196000</v>
      </c>
      <c r="I79" s="4">
        <f>IF(F79&gt;0,G79/F79,"")</f>
        <v/>
      </c>
      <c r="J79" s="2" t="inlineStr">
        <is>
          <t>260319_진해 푸른회(부분수리).xlsb</t>
        </is>
      </c>
    </row>
    <row r="80">
      <c r="A80" s="2" t="inlineStr">
        <is>
          <t>2026년</t>
        </is>
      </c>
      <c r="B80" s="2" t="inlineStr">
        <is>
          <t>260328_감계 덕산아내 203동 1305호</t>
        </is>
      </c>
      <c r="C80" s="2" t="inlineStr">
        <is>
          <t>주거</t>
        </is>
      </c>
      <c r="D80" s="2" t="inlineStr">
        <is>
          <t>본공사</t>
        </is>
      </c>
      <c r="E80" s="3" t="n"/>
      <c r="F80" s="3" t="n"/>
      <c r="G80" s="4" t="n">
        <v>34826400</v>
      </c>
      <c r="H80" s="4" t="n">
        <v>44418000</v>
      </c>
      <c r="I80" s="4">
        <f>IF(F80&gt;0,G80/F80,"")</f>
        <v/>
      </c>
      <c r="J80" s="2" t="inlineStr">
        <is>
          <t>260328덕산감계 아내 203동 1305.xlsb</t>
        </is>
      </c>
    </row>
    <row r="81">
      <c r="A81" s="2" t="inlineStr">
        <is>
          <t>2026년</t>
        </is>
      </c>
      <c r="B81" s="2" t="inlineStr">
        <is>
          <t>260323_팔용동사진관(이담사진관)</t>
        </is>
      </c>
      <c r="C81" s="2" t="inlineStr">
        <is>
          <t>상업/기타</t>
        </is>
      </c>
      <c r="D81" s="2" t="inlineStr">
        <is>
          <t>본공사</t>
        </is>
      </c>
      <c r="E81" s="3" t="n">
        <v>44</v>
      </c>
      <c r="F81" s="3" t="n">
        <v>13.3</v>
      </c>
      <c r="G81" s="4" t="n">
        <v>16769400</v>
      </c>
      <c r="H81" s="4" t="n">
        <v>21703000</v>
      </c>
      <c r="I81" s="4">
        <f>IF(F81&gt;0,G81/F81,"")</f>
        <v/>
      </c>
      <c r="J81" s="2" t="inlineStr">
        <is>
          <t>260405_팔용동 사진관(최종본).xlsb</t>
        </is>
      </c>
    </row>
    <row r="82">
      <c r="A82" s="2" t="inlineStr">
        <is>
          <t>2026년</t>
        </is>
      </c>
      <c r="B82" s="2" t="inlineStr">
        <is>
          <t>260408_롯데캐슬교습소</t>
        </is>
      </c>
      <c r="C82" s="2" t="inlineStr">
        <is>
          <t>학원/교습소</t>
        </is>
      </c>
      <c r="D82" s="2" t="inlineStr">
        <is>
          <t>본공사</t>
        </is>
      </c>
      <c r="E82" s="3" t="n">
        <v>31</v>
      </c>
      <c r="F82" s="3" t="n">
        <v>9.4</v>
      </c>
      <c r="G82" s="4" t="n">
        <v>12332450</v>
      </c>
      <c r="H82" s="4" t="n">
        <v>15851000</v>
      </c>
      <c r="I82" s="4">
        <f>IF(F82&gt;0,G82/F82,"")</f>
        <v/>
      </c>
      <c r="J82" s="2" t="inlineStr">
        <is>
          <t>260408_롯데캐슬교습소.xlsb</t>
        </is>
      </c>
    </row>
    <row r="83">
      <c r="A83" s="2" t="inlineStr">
        <is>
          <t>2026년</t>
        </is>
      </c>
      <c r="B83" s="2" t="inlineStr">
        <is>
          <t>260220_밀양미부닥트(주)</t>
        </is>
      </c>
      <c r="C83" s="2" t="inlineStr">
        <is>
          <t>부분공사/기타</t>
        </is>
      </c>
      <c r="D83" s="2" t="inlineStr">
        <is>
          <t>본공사</t>
        </is>
      </c>
      <c r="E83" s="3" t="n"/>
      <c r="F83" s="3" t="n"/>
      <c r="G83" s="4" t="n">
        <v>725000</v>
      </c>
      <c r="H83" s="4" t="n">
        <v>924000</v>
      </c>
      <c r="I83" s="4">
        <f>IF(F83&gt;0,G83/F83,"")</f>
        <v/>
      </c>
      <c r="J83" s="2" t="inlineStr">
        <is>
          <t>260417_밀양 미부닥트(주)- 시트작업(최종본).xlsb</t>
        </is>
      </c>
    </row>
    <row r="84">
      <c r="A84" s="2" t="inlineStr">
        <is>
          <t>2026년</t>
        </is>
      </c>
      <c r="B84" s="2" t="inlineStr">
        <is>
          <t>260420_문화콘크리트 사무실</t>
        </is>
      </c>
      <c r="C84" s="2" t="inlineStr">
        <is>
          <t>사무실</t>
        </is>
      </c>
      <c r="D84" s="2" t="inlineStr">
        <is>
          <t>본공사</t>
        </is>
      </c>
      <c r="E84" s="3" t="n">
        <v>63.6</v>
      </c>
      <c r="F84" s="3" t="n">
        <v>19.2</v>
      </c>
      <c r="G84" s="4" t="n">
        <v>55369140</v>
      </c>
      <c r="H84" s="4" t="n">
        <v>74767000</v>
      </c>
      <c r="I84" s="4">
        <f>IF(F84&gt;0,G84/F84,"")</f>
        <v/>
      </c>
      <c r="J84" s="2" t="inlineStr">
        <is>
          <t>260420_문화콘크리트 사무실 인테리어.xlsb</t>
        </is>
      </c>
    </row>
    <row r="85">
      <c r="A85" s="2" t="inlineStr">
        <is>
          <t>2026년</t>
        </is>
      </c>
      <c r="B85" s="2" t="inlineStr">
        <is>
          <t>260319_진해푸른회</t>
        </is>
      </c>
      <c r="C85" s="2" t="inlineStr">
        <is>
          <t>식음료</t>
        </is>
      </c>
      <c r="D85" s="2" t="inlineStr">
        <is>
          <t>추가공사</t>
        </is>
      </c>
      <c r="E85" s="3" t="n"/>
      <c r="F85" s="3" t="n"/>
      <c r="G85" s="4" t="n">
        <v>960000</v>
      </c>
      <c r="H85" s="4" t="n">
        <v>1243000</v>
      </c>
      <c r="I85" s="4">
        <f>IF(F85&gt;0,G85/F85,"")</f>
        <v/>
      </c>
      <c r="J85" s="2" t="inlineStr">
        <is>
          <t>260424_진해술집부분수리 추가견적서(최종본).xlsb</t>
        </is>
      </c>
    </row>
    <row r="86">
      <c r="A86" s="2" t="inlineStr">
        <is>
          <t>2026년</t>
        </is>
      </c>
      <c r="B86" s="2" t="inlineStr">
        <is>
          <t>260429_지엔티 옷장</t>
        </is>
      </c>
      <c r="C86" s="2" t="inlineStr">
        <is>
          <t>부분공사/기타</t>
        </is>
      </c>
      <c r="D86" s="2" t="inlineStr">
        <is>
          <t>본공사</t>
        </is>
      </c>
      <c r="E86" s="3" t="n"/>
      <c r="F86" s="3" t="n"/>
      <c r="G86" s="4" t="n">
        <v>990000</v>
      </c>
      <c r="H86" s="4" t="n">
        <v>1243000</v>
      </c>
      <c r="I86" s="4">
        <f>IF(F86&gt;0,G86/F86,"")</f>
        <v/>
      </c>
      <c r="J86" s="2" t="inlineStr">
        <is>
          <t>260429_지엔티가구견적서.xlsx</t>
        </is>
      </c>
    </row>
    <row r="87">
      <c r="A87" s="2" t="inlineStr">
        <is>
          <t>2026년</t>
        </is>
      </c>
      <c r="B87" s="2" t="inlineStr">
        <is>
          <t>260514_현대마린엔진 접견실 인테리어(도배)</t>
        </is>
      </c>
      <c r="C87" s="2" t="inlineStr">
        <is>
          <t>사무실</t>
        </is>
      </c>
      <c r="D87" s="2" t="inlineStr">
        <is>
          <t>본공사</t>
        </is>
      </c>
      <c r="E87" s="3" t="n"/>
      <c r="F87" s="3" t="n"/>
      <c r="G87" s="4" t="n">
        <v>1540000</v>
      </c>
      <c r="H87" s="4" t="n">
        <v>1991000</v>
      </c>
      <c r="I87" s="4">
        <f>IF(F87&gt;0,G87/F87,"")</f>
        <v/>
      </c>
      <c r="J87" s="2" t="inlineStr">
        <is>
          <t>260504_현대마린엔진 접견실 인테리어.xlsb</t>
        </is>
      </c>
    </row>
    <row r="88">
      <c r="A88" s="2" t="inlineStr">
        <is>
          <t>2026년</t>
        </is>
      </c>
      <c r="B88" s="2" t="inlineStr">
        <is>
          <t>260407_롯데캐슬 미용실</t>
        </is>
      </c>
      <c r="C88" s="2" t="inlineStr">
        <is>
          <t>뷰티/미용</t>
        </is>
      </c>
      <c r="D88" s="2" t="inlineStr">
        <is>
          <t>본공사</t>
        </is>
      </c>
      <c r="E88" s="3" t="n">
        <v>30</v>
      </c>
      <c r="F88" s="3" t="n">
        <v>9.1</v>
      </c>
      <c r="G88" s="4" t="n">
        <v>17967100</v>
      </c>
      <c r="H88" s="4" t="n">
        <v>23078000</v>
      </c>
      <c r="I88" s="4">
        <f>IF(F88&gt;0,G88/F88,"")</f>
        <v/>
      </c>
      <c r="J88" s="2" t="inlineStr">
        <is>
          <t>260518_롯데캐슬 미용실 인테리어.xlsb</t>
        </is>
      </c>
    </row>
    <row r="89">
      <c r="A89" s="2" t="inlineStr">
        <is>
          <t>2026년</t>
        </is>
      </c>
      <c r="B89" s="2" t="inlineStr">
        <is>
          <t>260615_지엔티 4공장</t>
        </is>
      </c>
      <c r="C89" s="2" t="inlineStr">
        <is>
          <t>상업/기타</t>
        </is>
      </c>
      <c r="D89" s="2" t="inlineStr">
        <is>
          <t>본공사</t>
        </is>
      </c>
      <c r="E89" s="3" t="n">
        <v>105.8</v>
      </c>
      <c r="F89" s="3" t="n">
        <v>32</v>
      </c>
      <c r="G89" s="4" t="n">
        <v>41689870</v>
      </c>
      <c r="H89" s="4" t="n">
        <v>53130000</v>
      </c>
      <c r="I89" s="4">
        <f>IF(F89&gt;0,G89/F89,"")</f>
        <v/>
      </c>
      <c r="J89" s="2" t="inlineStr">
        <is>
          <t>260602_지엔티-최종본.xlsb</t>
        </is>
      </c>
    </row>
    <row r="90">
      <c r="A90" s="2" t="inlineStr">
        <is>
          <t>2026년</t>
        </is>
      </c>
      <c r="B90" s="2" t="inlineStr">
        <is>
          <t>260609_북면 반찬가게</t>
        </is>
      </c>
      <c r="C90" s="2" t="inlineStr">
        <is>
          <t>식음료</t>
        </is>
      </c>
      <c r="D90" s="2" t="inlineStr">
        <is>
          <t>본공사</t>
        </is>
      </c>
      <c r="E90" s="3" t="n">
        <v>34.5</v>
      </c>
      <c r="F90" s="3" t="n">
        <v>10.4</v>
      </c>
      <c r="G90" s="4" t="n">
        <v>30637225</v>
      </c>
      <c r="H90" s="4" t="n">
        <v>39314000</v>
      </c>
      <c r="I90" s="4">
        <f>IF(F90&gt;0,G90/F90,"")</f>
        <v/>
      </c>
      <c r="J90" s="2" t="inlineStr">
        <is>
          <t>260609_북면 반찬가게.xlsb</t>
        </is>
      </c>
    </row>
    <row r="91">
      <c r="A91" s="2" t="inlineStr">
        <is>
          <t>2026년</t>
        </is>
      </c>
      <c r="B91" s="2" t="inlineStr">
        <is>
          <t>260619_크랭크샤프트 강당</t>
        </is>
      </c>
      <c r="C91" s="2" t="inlineStr">
        <is>
          <t>학원/교습소</t>
        </is>
      </c>
      <c r="D91" s="2" t="inlineStr">
        <is>
          <t>본공사</t>
        </is>
      </c>
      <c r="E91" s="3" t="n">
        <v>205</v>
      </c>
      <c r="F91" s="3" t="n">
        <v>62</v>
      </c>
      <c r="G91" s="4" t="n">
        <v>79643000</v>
      </c>
      <c r="H91" s="4" t="n"/>
      <c r="I91" s="4">
        <f>IF(F91&gt;0,G91/F91,"")</f>
        <v/>
      </c>
      <c r="J91" s="2" t="inlineStr">
        <is>
          <t>260613_현대크랭크샤프트 교육실(최종본).xlsb</t>
        </is>
      </c>
    </row>
  </sheetData>
  <autoFilter ref="A1:J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업종</t>
        </is>
      </c>
      <c r="B1" s="1" t="inlineStr">
        <is>
          <t>건수</t>
        </is>
      </c>
      <c r="C1" s="1" t="inlineStr">
        <is>
          <t>평당가 중앙값</t>
        </is>
      </c>
      <c r="D1" s="1" t="inlineStr">
        <is>
          <t>평균</t>
        </is>
      </c>
      <c r="E1" s="1" t="inlineStr">
        <is>
          <t>최소</t>
        </is>
      </c>
      <c r="F1" s="1" t="inlineStr">
        <is>
          <t>최대</t>
        </is>
      </c>
      <c r="G1" s="1" t="inlineStr">
        <is>
          <t>평균 평수</t>
        </is>
      </c>
    </row>
    <row r="2">
      <c r="A2" s="2" t="inlineStr">
        <is>
          <t>학원/교습소</t>
        </is>
      </c>
      <c r="B2" s="2" t="n">
        <v>12</v>
      </c>
      <c r="C2" s="4" t="n">
        <v>1110880.131964809</v>
      </c>
      <c r="D2" s="4" t="n">
        <v>1065633.111083132</v>
      </c>
      <c r="E2" s="4" t="n">
        <v>456083.650190114</v>
      </c>
      <c r="F2" s="4" t="n">
        <v>1733997.099767981</v>
      </c>
      <c r="G2" s="4" t="n">
        <v>25.98333333333333</v>
      </c>
    </row>
    <row r="3">
      <c r="A3" s="2" t="inlineStr">
        <is>
          <t>사무실</t>
        </is>
      </c>
      <c r="B3" s="2" t="n">
        <v>12</v>
      </c>
      <c r="C3" s="4" t="n">
        <v>1133039.822735691</v>
      </c>
      <c r="D3" s="4" t="n">
        <v>1156941.238098016</v>
      </c>
      <c r="E3" s="4" t="n">
        <v>439088.3977900552</v>
      </c>
      <c r="F3" s="4" t="n">
        <v>2883809.375</v>
      </c>
      <c r="G3" s="4" t="n">
        <v>35.36666666666667</v>
      </c>
    </row>
    <row r="4">
      <c r="A4" s="2" t="inlineStr">
        <is>
          <t>상업/기타</t>
        </is>
      </c>
      <c r="B4" s="2" t="n">
        <v>10</v>
      </c>
      <c r="C4" s="4" t="n">
        <v>1162162.042502952</v>
      </c>
      <c r="D4" s="4" t="n">
        <v>1172370.984231993</v>
      </c>
      <c r="E4" s="4" t="n">
        <v>414966.8874172185</v>
      </c>
      <c r="F4" s="4" t="n">
        <v>2121443.609022556</v>
      </c>
      <c r="G4" s="4" t="n">
        <v>39</v>
      </c>
    </row>
    <row r="5">
      <c r="A5" s="2" t="inlineStr">
        <is>
          <t>뷰티/미용</t>
        </is>
      </c>
      <c r="B5" s="2" t="n">
        <v>9</v>
      </c>
      <c r="C5" s="4" t="n">
        <v>1745301.470588235</v>
      </c>
      <c r="D5" s="4" t="n">
        <v>1800105.737157003</v>
      </c>
      <c r="E5" s="4" t="n">
        <v>1161694.560669456</v>
      </c>
      <c r="F5" s="4" t="n">
        <v>2535255</v>
      </c>
      <c r="G5" s="4" t="n">
        <v>12.04444444444444</v>
      </c>
    </row>
    <row r="6">
      <c r="A6" s="2" t="inlineStr">
        <is>
          <t>식음료</t>
        </is>
      </c>
      <c r="B6" s="2" t="n">
        <v>5</v>
      </c>
      <c r="C6" s="4" t="n">
        <v>1238448.648648649</v>
      </c>
      <c r="D6" s="4" t="n">
        <v>1755195.19818941</v>
      </c>
      <c r="E6" s="4" t="n">
        <v>443640.625</v>
      </c>
      <c r="F6" s="4" t="n">
        <v>3444444.444444444</v>
      </c>
      <c r="G6" s="4" t="n">
        <v>38.98</v>
      </c>
    </row>
    <row r="7">
      <c r="A7" s="2" t="inlineStr">
        <is>
          <t>부분공사/기타</t>
        </is>
      </c>
      <c r="B7" s="2" t="n">
        <v>1</v>
      </c>
      <c r="C7" s="4" t="n">
        <v>2877325.773195876</v>
      </c>
      <c r="D7" s="4" t="n">
        <v>2877325.773195876</v>
      </c>
      <c r="E7" s="4" t="n">
        <v>2877325.773195876</v>
      </c>
      <c r="F7" s="4" t="n">
        <v>2877325.773195876</v>
      </c>
      <c r="G7" s="4" t="n">
        <v>9.699999999999999</v>
      </c>
    </row>
    <row r="8">
      <c r="A8" s="5" t="inlineStr">
        <is>
          <t>전체</t>
        </is>
      </c>
      <c r="B8" s="5" t="n">
        <v>49</v>
      </c>
      <c r="C8" s="6" t="n">
        <v>1260857.142857143</v>
      </c>
      <c r="D8" s="6" t="n">
        <v>1352017.457776524</v>
      </c>
      <c r="E8" s="6" t="n">
        <v>414966.8874172185</v>
      </c>
      <c r="F8" s="6" t="n">
        <v>3444444.444444444</v>
      </c>
      <c r="G8" s="6" t="n">
        <v>29.37142857142857</v>
      </c>
    </row>
    <row r="10">
      <c r="A10" s="7" t="inlineStr">
        <is>
          <t>※ 대상: 본공사이면서 5평 초과, 평당 직접비 40만원 초과 건 (추가공사·소액 부분공사 제외). 값은 원본 견적서 내역에서 산출 (Source: \\jm\002_JM회계\003_계약\01_고객계약, 2026-07-02 추출)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14" customWidth="1" min="5" max="5"/>
    <col width="9" customWidth="1" min="6" max="6"/>
    <col width="9" customWidth="1" min="7" max="7"/>
    <col width="15" customWidth="1" min="8" max="8"/>
    <col width="9" customWidth="1" min="9" max="9"/>
  </cols>
  <sheetData>
    <row r="1">
      <c r="A1" s="1" t="inlineStr">
        <is>
          <t>공종</t>
        </is>
      </c>
      <c r="B1" s="1" t="inlineStr">
        <is>
          <t>등장 현장수</t>
        </is>
      </c>
      <c r="C1" s="1" t="inlineStr">
        <is>
          <t>등장률</t>
        </is>
      </c>
      <c r="D1" s="1" t="inlineStr">
        <is>
          <t>총액 비중</t>
        </is>
      </c>
      <c r="E1" s="1" t="inlineStr">
        <is>
          <t>평당금액 중앙값</t>
        </is>
      </c>
      <c r="F1" s="1" t="inlineStr">
        <is>
          <t>재료비 비율</t>
        </is>
      </c>
      <c r="G1" s="1" t="inlineStr">
        <is>
          <t>노무비 비율</t>
        </is>
      </c>
      <c r="H1" s="1" t="inlineStr">
        <is>
          <t>평당 투입품 중앙값</t>
        </is>
      </c>
      <c r="I1" s="1" t="inlineStr">
        <is>
          <t>총 투입품</t>
        </is>
      </c>
    </row>
    <row r="2">
      <c r="A2" s="2" t="inlineStr">
        <is>
          <t>목작업</t>
        </is>
      </c>
      <c r="B2" s="2" t="n">
        <v>63</v>
      </c>
      <c r="C2" s="8" t="n">
        <v>0.7</v>
      </c>
      <c r="D2" s="8" t="n">
        <v>0.2425530783797723</v>
      </c>
      <c r="E2" s="4" t="n">
        <v>392889.705882353</v>
      </c>
      <c r="F2" s="8" t="n">
        <v>0.4219258801183443</v>
      </c>
      <c r="G2" s="8" t="n">
        <v>0.5109928806248609</v>
      </c>
      <c r="H2" s="2" t="n">
        <v>0.66</v>
      </c>
      <c r="I2" s="4" t="n">
        <v>839</v>
      </c>
    </row>
    <row r="3">
      <c r="A3" s="2" t="inlineStr">
        <is>
          <t>전기</t>
        </is>
      </c>
      <c r="B3" s="2" t="n">
        <v>58</v>
      </c>
      <c r="C3" s="8" t="n">
        <v>0.6444444444444445</v>
      </c>
      <c r="D3" s="8" t="n">
        <v>0.1213343454516958</v>
      </c>
      <c r="E3" s="4" t="n">
        <v>164470.9685598377</v>
      </c>
      <c r="F3" s="8" t="n">
        <v>0.5353598631720387</v>
      </c>
      <c r="G3" s="8" t="n">
        <v>0.4396654385567449</v>
      </c>
      <c r="H3" s="2" t="n">
        <v>0.29</v>
      </c>
      <c r="I3" s="4" t="n">
        <v>379.5</v>
      </c>
    </row>
    <row r="4">
      <c r="A4" s="2" t="inlineStr">
        <is>
          <t>가구</t>
        </is>
      </c>
      <c r="B4" s="2" t="n">
        <v>43</v>
      </c>
      <c r="C4" s="8" t="n">
        <v>0.4777777777777778</v>
      </c>
      <c r="D4" s="8" t="n">
        <v>0.09365296033362115</v>
      </c>
      <c r="E4" s="4" t="n">
        <v>127375.4818673432</v>
      </c>
      <c r="F4" s="8" t="n">
        <v>0.9850797945066611</v>
      </c>
      <c r="G4" s="8" t="n">
        <v>0.01273676078699665</v>
      </c>
      <c r="H4" s="2" t="n">
        <v>0.11</v>
      </c>
      <c r="I4" s="4" t="n">
        <v>9</v>
      </c>
    </row>
    <row r="5">
      <c r="A5" s="2" t="inlineStr">
        <is>
          <t>수장</t>
        </is>
      </c>
      <c r="B5" s="2" t="n">
        <v>23</v>
      </c>
      <c r="C5" s="8" t="n">
        <v>0.2555555555555555</v>
      </c>
      <c r="D5" s="8" t="n">
        <v>0.05057621895716895</v>
      </c>
      <c r="E5" s="4" t="n">
        <v>189127.9395296752</v>
      </c>
      <c r="F5" s="8" t="n">
        <v>0.4350500577589526</v>
      </c>
      <c r="G5" s="8" t="n">
        <v>0.4871967654986523</v>
      </c>
      <c r="H5" s="2" t="n">
        <v>0.32</v>
      </c>
      <c r="I5" s="4" t="n">
        <v>184</v>
      </c>
    </row>
    <row r="6">
      <c r="A6" s="2" t="inlineStr">
        <is>
          <t>철거</t>
        </is>
      </c>
      <c r="B6" s="2" t="n">
        <v>36</v>
      </c>
      <c r="C6" s="8" t="n">
        <v>0.4</v>
      </c>
      <c r="D6" s="8" t="n">
        <v>0.0433301093428106</v>
      </c>
      <c r="E6" s="4" t="n">
        <v>87129.92990898629</v>
      </c>
      <c r="F6" s="8" t="n">
        <v>0.3039428295335798</v>
      </c>
      <c r="G6" s="8" t="n">
        <v>0.4354079350989359</v>
      </c>
      <c r="H6" s="2" t="n">
        <v>0.17</v>
      </c>
      <c r="I6" s="4" t="n">
        <v>163</v>
      </c>
    </row>
    <row r="7">
      <c r="A7" s="2" t="inlineStr">
        <is>
          <t>타일</t>
        </is>
      </c>
      <c r="B7" s="2" t="n">
        <v>15</v>
      </c>
      <c r="C7" s="8" t="n">
        <v>0.1666666666666667</v>
      </c>
      <c r="D7" s="8" t="n">
        <v>0.04308346020415348</v>
      </c>
      <c r="E7" s="4" t="n">
        <v>164857.4901928735</v>
      </c>
      <c r="F7" s="8" t="n">
        <v>0.5032003471563017</v>
      </c>
      <c r="G7" s="8" t="n">
        <v>0.4286340665202101</v>
      </c>
      <c r="H7" s="2" t="n">
        <v>0.22</v>
      </c>
      <c r="I7" s="4" t="n">
        <v>127</v>
      </c>
    </row>
    <row r="8">
      <c r="A8" s="2" t="inlineStr">
        <is>
          <t>도장</t>
        </is>
      </c>
      <c r="B8" s="2" t="n">
        <v>20</v>
      </c>
      <c r="C8" s="8" t="n">
        <v>0.2222222222222222</v>
      </c>
      <c r="D8" s="8" t="n">
        <v>0.04174753329621571</v>
      </c>
      <c r="E8" s="4" t="n">
        <v>118843.75</v>
      </c>
      <c r="F8" s="8" t="n">
        <v>0.5098108960715598</v>
      </c>
      <c r="G8" s="8" t="n">
        <v>0.4605435790382115</v>
      </c>
      <c r="H8" s="2" t="n">
        <v>0.17</v>
      </c>
      <c r="I8" s="4" t="n">
        <v>98</v>
      </c>
    </row>
    <row r="9">
      <c r="A9" s="2" t="inlineStr">
        <is>
          <t>가설</t>
        </is>
      </c>
      <c r="B9" s="2" t="n">
        <v>68</v>
      </c>
      <c r="C9" s="8" t="n">
        <v>0.7555555555555555</v>
      </c>
      <c r="D9" s="8" t="n">
        <v>0.04034069695183608</v>
      </c>
      <c r="E9" s="4" t="n">
        <v>52746.875</v>
      </c>
      <c r="F9" s="8" t="n">
        <v>0.2623382487966581</v>
      </c>
      <c r="G9" s="8" t="n">
        <v>0.448863310295115</v>
      </c>
      <c r="H9" s="2" t="n"/>
      <c r="I9" s="4" t="n"/>
    </row>
    <row r="10">
      <c r="A10" s="2" t="inlineStr">
        <is>
          <t>냉난방</t>
        </is>
      </c>
      <c r="B10" s="2" t="n">
        <v>15</v>
      </c>
      <c r="C10" s="8" t="n">
        <v>0.1666666666666667</v>
      </c>
      <c r="D10" s="8" t="n">
        <v>0.03982122591939592</v>
      </c>
      <c r="E10" s="4" t="n">
        <v>197730.2379988303</v>
      </c>
      <c r="F10" s="8" t="n">
        <v>0.989118474141093</v>
      </c>
      <c r="G10" s="8" t="n">
        <v>0.01088152585890696</v>
      </c>
      <c r="H10" s="2" t="n">
        <v>0.04</v>
      </c>
      <c r="I10" s="4" t="n">
        <v>1</v>
      </c>
    </row>
    <row r="11">
      <c r="A11" s="2" t="inlineStr">
        <is>
          <t>금속</t>
        </is>
      </c>
      <c r="B11" s="2" t="n">
        <v>19</v>
      </c>
      <c r="C11" s="8" t="n">
        <v>0.2111111111111111</v>
      </c>
      <c r="D11" s="8" t="n">
        <v>0.0397856842945993</v>
      </c>
      <c r="E11" s="4" t="n">
        <v>107715.9350160571</v>
      </c>
      <c r="F11" s="8" t="n">
        <v>0.8682036785491392</v>
      </c>
      <c r="G11" s="8" t="n">
        <v>0.1199260863712569</v>
      </c>
      <c r="H11" s="2" t="n">
        <v>0.07000000000000001</v>
      </c>
      <c r="I11" s="4" t="n">
        <v>36</v>
      </c>
    </row>
    <row r="12">
      <c r="A12" s="2" t="inlineStr">
        <is>
          <t>설비</t>
        </is>
      </c>
      <c r="B12" s="2" t="n">
        <v>28</v>
      </c>
      <c r="C12" s="8" t="n">
        <v>0.3111111111111111</v>
      </c>
      <c r="D12" s="8" t="n">
        <v>0.03624885346917674</v>
      </c>
      <c r="E12" s="4" t="n">
        <v>113305.0847457627</v>
      </c>
      <c r="F12" s="8" t="n">
        <v>0.6317388682662223</v>
      </c>
      <c r="G12" s="8" t="n">
        <v>0.3367243007423327</v>
      </c>
      <c r="H12" s="2" t="n">
        <v>0.11</v>
      </c>
      <c r="I12" s="4" t="n">
        <v>84</v>
      </c>
    </row>
    <row r="13">
      <c r="A13" s="2" t="inlineStr">
        <is>
          <t>필름</t>
        </is>
      </c>
      <c r="B13" s="2" t="n">
        <v>31</v>
      </c>
      <c r="C13" s="8" t="n">
        <v>0.3444444444444444</v>
      </c>
      <c r="D13" s="8" t="n">
        <v>0.03043775010151455</v>
      </c>
      <c r="E13" s="4" t="n">
        <v>41021.73561732385</v>
      </c>
      <c r="F13" s="8" t="n">
        <v>0.3885503143145064</v>
      </c>
      <c r="G13" s="8" t="n">
        <v>0.5816018043092279</v>
      </c>
      <c r="H13" s="2" t="n">
        <v>0.1</v>
      </c>
      <c r="I13" s="4" t="n">
        <v>125</v>
      </c>
    </row>
    <row r="14">
      <c r="A14" s="2" t="inlineStr">
        <is>
          <t>바닥</t>
        </is>
      </c>
      <c r="B14" s="2" t="n">
        <v>22</v>
      </c>
      <c r="C14" s="8" t="n">
        <v>0.2444444444444444</v>
      </c>
      <c r="D14" s="8" t="n">
        <v>0.02164217170749514</v>
      </c>
      <c r="E14" s="4" t="n">
        <v>83333.33333333334</v>
      </c>
      <c r="F14" s="8" t="n">
        <v>0.5883153549374037</v>
      </c>
      <c r="G14" s="8" t="n">
        <v>0.3518441447420222</v>
      </c>
      <c r="H14" s="2" t="n">
        <v>0.1</v>
      </c>
      <c r="I14" s="4" t="n">
        <v>61</v>
      </c>
    </row>
    <row r="15">
      <c r="A15" s="2" t="inlineStr">
        <is>
          <t>도배</t>
        </is>
      </c>
      <c r="B15" s="2" t="n">
        <v>25</v>
      </c>
      <c r="C15" s="8" t="n">
        <v>0.2777777777777778</v>
      </c>
      <c r="D15" s="8" t="n">
        <v>0.01936093495428168</v>
      </c>
      <c r="E15" s="4" t="n">
        <v>85652.17391304347</v>
      </c>
      <c r="F15" s="8" t="n">
        <v>0.3812804908715989</v>
      </c>
      <c r="G15" s="8" t="n">
        <v>0.5814011970024644</v>
      </c>
      <c r="H15" s="2" t="n">
        <v>0.18</v>
      </c>
      <c r="I15" s="4" t="n">
        <v>83</v>
      </c>
    </row>
    <row r="16">
      <c r="A16" s="2" t="inlineStr">
        <is>
          <t>기타작업</t>
        </is>
      </c>
      <c r="B16" s="2" t="n">
        <v>17</v>
      </c>
      <c r="C16" s="8" t="n">
        <v>0.1888888888888889</v>
      </c>
      <c r="D16" s="8" t="n">
        <v>0.01526804810584234</v>
      </c>
      <c r="E16" s="4" t="n">
        <v>45774.73575242454</v>
      </c>
      <c r="F16" s="8" t="n">
        <v>0.7088601992289545</v>
      </c>
      <c r="G16" s="8" t="n">
        <v>0.2630781589679784</v>
      </c>
      <c r="H16" s="2" t="n">
        <v>0.08</v>
      </c>
      <c r="I16" s="4" t="n">
        <v>32</v>
      </c>
    </row>
    <row r="17">
      <c r="A17" s="2" t="inlineStr">
        <is>
          <t>샷시</t>
        </is>
      </c>
      <c r="B17" s="2" t="n">
        <v>6</v>
      </c>
      <c r="C17" s="8" t="n">
        <v>0.06666666666666667</v>
      </c>
      <c r="D17" s="8" t="n">
        <v>0.01312070200882505</v>
      </c>
      <c r="E17" s="4" t="n">
        <v>110627.1777003484</v>
      </c>
      <c r="F17" s="8" t="n">
        <v>0.6612119188096033</v>
      </c>
      <c r="G17" s="8" t="n">
        <v>0.3146684478088241</v>
      </c>
      <c r="H17" s="2" t="n">
        <v>0.07000000000000001</v>
      </c>
      <c r="I17" s="4" t="n">
        <v>29</v>
      </c>
    </row>
    <row r="18">
      <c r="A18" s="2" t="inlineStr">
        <is>
          <t>집기류</t>
        </is>
      </c>
      <c r="B18" s="2" t="n">
        <v>3</v>
      </c>
      <c r="C18" s="8" t="n">
        <v>0.03333333333333333</v>
      </c>
      <c r="D18" s="8" t="n">
        <v>0.01288359555299004</v>
      </c>
      <c r="E18" s="4" t="n">
        <v>260053.5857104772</v>
      </c>
      <c r="F18" s="8" t="n">
        <v>0.9886629884362482</v>
      </c>
      <c r="G18" s="8" t="n">
        <v>0</v>
      </c>
      <c r="H18" s="2" t="n"/>
      <c r="I18" s="4" t="n"/>
    </row>
    <row r="19">
      <c r="A19" s="2" t="inlineStr">
        <is>
          <t>소방</t>
        </is>
      </c>
      <c r="B19" s="2" t="n">
        <v>13</v>
      </c>
      <c r="C19" s="8" t="n">
        <v>0.1444444444444444</v>
      </c>
      <c r="D19" s="8" t="n">
        <v>0.01079170315434379</v>
      </c>
      <c r="E19" s="4" t="n">
        <v>34490.4319300164</v>
      </c>
      <c r="F19" s="8" t="n">
        <v>0.5256119898580671</v>
      </c>
      <c r="G19" s="8" t="n">
        <v>0.4525070605538362</v>
      </c>
      <c r="H19" s="2" t="n">
        <v>0.07000000000000001</v>
      </c>
      <c r="I19" s="4" t="n">
        <v>36</v>
      </c>
    </row>
    <row r="20">
      <c r="A20" s="2" t="inlineStr">
        <is>
          <t>싸인</t>
        </is>
      </c>
      <c r="B20" s="2" t="n">
        <v>11</v>
      </c>
      <c r="C20" s="8" t="n">
        <v>0.1222222222222222</v>
      </c>
      <c r="D20" s="8" t="n">
        <v>0.008794117779301735</v>
      </c>
      <c r="E20" s="4" t="n">
        <v>40778.89792870337</v>
      </c>
      <c r="F20" s="8" t="n">
        <v>0.9557093425605536</v>
      </c>
      <c r="G20" s="8" t="n">
        <v>0.02491349480968858</v>
      </c>
      <c r="H20" s="2" t="n">
        <v>0.02</v>
      </c>
      <c r="I20" s="4" t="n">
        <v>2</v>
      </c>
    </row>
    <row r="21">
      <c r="A21" s="2" t="inlineStr">
        <is>
          <t>징크작업</t>
        </is>
      </c>
      <c r="B21" s="2" t="n">
        <v>1</v>
      </c>
      <c r="C21" s="8" t="n">
        <v>0.01111111111111111</v>
      </c>
      <c r="D21" s="8" t="n">
        <v>0.00822316348616473</v>
      </c>
      <c r="E21" s="4" t="n">
        <v>879677.0833333334</v>
      </c>
      <c r="F21" s="8" t="n">
        <v>0.5796279411242288</v>
      </c>
      <c r="G21" s="8" t="n">
        <v>0.3730061930869519</v>
      </c>
      <c r="H21" s="2" t="n">
        <v>1.09</v>
      </c>
      <c r="I21" s="4" t="n">
        <v>21</v>
      </c>
    </row>
    <row r="22">
      <c r="A22" s="2" t="inlineStr">
        <is>
          <t>경량</t>
        </is>
      </c>
      <c r="B22" s="2" t="n">
        <v>2</v>
      </c>
      <c r="C22" s="8" t="n">
        <v>0.02222222222222222</v>
      </c>
      <c r="D22" s="8" t="n">
        <v>0.007740771132075753</v>
      </c>
      <c r="E22" s="4" t="n">
        <v>165788.3491389992</v>
      </c>
      <c r="F22" s="8" t="n">
        <v>0.8666582803949934</v>
      </c>
      <c r="G22" s="8" t="n">
        <v>0.1132146675891565</v>
      </c>
      <c r="H22" s="2" t="n"/>
      <c r="I22" s="4" t="n"/>
    </row>
    <row r="23">
      <c r="A23" s="2" t="inlineStr">
        <is>
          <t>마당포장공사</t>
        </is>
      </c>
      <c r="B23" s="2" t="n">
        <v>1</v>
      </c>
      <c r="C23" s="8" t="n">
        <v>0.01111111111111111</v>
      </c>
      <c r="D23" s="8" t="n">
        <v>0.006607820982736783</v>
      </c>
      <c r="E23" s="4" t="n">
        <v>342727.2727272727</v>
      </c>
      <c r="F23" s="8" t="n">
        <v>0.6716033009136457</v>
      </c>
      <c r="G23" s="8" t="n">
        <v>0.1809608016504568</v>
      </c>
      <c r="H23" s="2" t="n"/>
      <c r="I23" s="4" t="n"/>
    </row>
    <row r="24">
      <c r="A24" s="2" t="inlineStr">
        <is>
          <t>비품</t>
        </is>
      </c>
      <c r="B24" s="2" t="n">
        <v>1</v>
      </c>
      <c r="C24" s="8" t="n">
        <v>0.01111111111111111</v>
      </c>
      <c r="D24" s="8" t="n">
        <v>0.005199788394903392</v>
      </c>
      <c r="E24" s="4" t="n">
        <v>392647.0588235294</v>
      </c>
      <c r="F24" s="8" t="n">
        <v>1</v>
      </c>
      <c r="G24" s="8" t="n">
        <v>0</v>
      </c>
      <c r="H24" s="2" t="n"/>
      <c r="I24" s="4" t="n"/>
    </row>
    <row r="25">
      <c r="A25" s="2" t="inlineStr">
        <is>
          <t>샤워실</t>
        </is>
      </c>
      <c r="B25" s="2" t="n">
        <v>1</v>
      </c>
      <c r="C25" s="8" t="n">
        <v>0.01111111111111111</v>
      </c>
      <c r="D25" s="8" t="n">
        <v>0.005110934332911832</v>
      </c>
      <c r="E25" s="4" t="n">
        <v>365766.5505226481</v>
      </c>
      <c r="F25" s="8" t="n">
        <v>0.7094546320552513</v>
      </c>
      <c r="G25" s="8" t="n">
        <v>0.2905453679447487</v>
      </c>
      <c r="H25" s="2" t="n">
        <v>0.42</v>
      </c>
      <c r="I25" s="4" t="n">
        <v>12</v>
      </c>
    </row>
    <row r="26">
      <c r="A26" s="2" t="inlineStr">
        <is>
          <t>판넬</t>
        </is>
      </c>
      <c r="B26" s="2" t="n">
        <v>1</v>
      </c>
      <c r="C26" s="8" t="n">
        <v>0.01111111111111111</v>
      </c>
      <c r="D26" s="8" t="n">
        <v>0.00345703160093741</v>
      </c>
      <c r="E26" s="4" t="n"/>
      <c r="F26" s="8" t="n">
        <v>0.471868178297303</v>
      </c>
      <c r="G26" s="8" t="n">
        <v>0.3802549116259418</v>
      </c>
      <c r="H26" s="2" t="n"/>
      <c r="I26" s="4" t="n">
        <v>9</v>
      </c>
    </row>
    <row r="27">
      <c r="A27" s="2" t="inlineStr">
        <is>
          <t>블라인드</t>
        </is>
      </c>
      <c r="B27" s="2" t="n">
        <v>9</v>
      </c>
      <c r="C27" s="8" t="n">
        <v>0.1</v>
      </c>
      <c r="D27" s="8" t="n">
        <v>0.003254493026753907</v>
      </c>
      <c r="E27" s="4" t="n">
        <v>17218.75</v>
      </c>
      <c r="F27" s="8" t="n">
        <v>0.8563841723389932</v>
      </c>
      <c r="G27" s="8" t="n">
        <v>0.1421198294562047</v>
      </c>
      <c r="H27" s="2" t="n">
        <v>0.03</v>
      </c>
      <c r="I27" s="4" t="n">
        <v>7</v>
      </c>
    </row>
    <row r="28">
      <c r="A28" s="2" t="inlineStr">
        <is>
          <t>기타</t>
        </is>
      </c>
      <c r="B28" s="2" t="n">
        <v>5</v>
      </c>
      <c r="C28" s="8" t="n">
        <v>0.05555555555555555</v>
      </c>
      <c r="D28" s="8" t="n">
        <v>0.003233315087090845</v>
      </c>
      <c r="E28" s="4" t="n">
        <v>41912.63282172373</v>
      </c>
      <c r="F28" s="8" t="n">
        <v>0.8577018949851243</v>
      </c>
      <c r="G28" s="8" t="n">
        <v>0.1362749175500926</v>
      </c>
      <c r="H28" s="2" t="n"/>
      <c r="I28" s="4" t="n"/>
    </row>
    <row r="29">
      <c r="A29" s="2" t="inlineStr">
        <is>
          <t>화장실</t>
        </is>
      </c>
      <c r="B29" s="2" t="n">
        <v>1</v>
      </c>
      <c r="C29" s="8" t="n">
        <v>0.01111111111111111</v>
      </c>
      <c r="D29" s="8" t="n">
        <v>0.003001806680597085</v>
      </c>
      <c r="E29" s="4" t="n">
        <v>321119.7916666667</v>
      </c>
      <c r="F29" s="8" t="n">
        <v>0.5150433865866515</v>
      </c>
      <c r="G29" s="8" t="n">
        <v>0.3892628335090422</v>
      </c>
      <c r="H29" s="2" t="n">
        <v>0.42</v>
      </c>
      <c r="I29" s="4" t="n">
        <v>8</v>
      </c>
    </row>
    <row r="30">
      <c r="A30" s="2" t="inlineStr">
        <is>
          <t>닥트</t>
        </is>
      </c>
      <c r="B30" s="2" t="n">
        <v>4</v>
      </c>
      <c r="C30" s="8" t="n">
        <v>0.04444444444444445</v>
      </c>
      <c r="D30" s="8" t="n">
        <v>0.002965534748441626</v>
      </c>
      <c r="E30" s="4" t="n">
        <v>97459.45945945945</v>
      </c>
      <c r="F30" s="8" t="n">
        <v>0.676571991462814</v>
      </c>
      <c r="G30" s="8" t="n">
        <v>0.2971597438844196</v>
      </c>
      <c r="H30" s="2" t="n">
        <v>0.11</v>
      </c>
      <c r="I30" s="4" t="n">
        <v>6</v>
      </c>
    </row>
    <row r="31">
      <c r="A31" s="2" t="inlineStr">
        <is>
          <t>각관작업(흡연부스)</t>
        </is>
      </c>
      <c r="B31" s="2" t="n">
        <v>1</v>
      </c>
      <c r="C31" s="8" t="n">
        <v>0.01111111111111111</v>
      </c>
      <c r="D31" s="8" t="n">
        <v>0.002031861133750031</v>
      </c>
      <c r="E31" s="4" t="n">
        <v>430237.1134020619</v>
      </c>
      <c r="F31" s="8" t="n">
        <v>0.3075024560899049</v>
      </c>
      <c r="G31" s="8" t="n">
        <v>0.5750844655308749</v>
      </c>
      <c r="H31" s="2" t="n">
        <v>0.82</v>
      </c>
      <c r="I31" s="4" t="n">
        <v>8</v>
      </c>
    </row>
    <row r="32">
      <c r="A32" s="2" t="inlineStr">
        <is>
          <t>가벽체작업</t>
        </is>
      </c>
      <c r="B32" s="2" t="n">
        <v>2</v>
      </c>
      <c r="C32" s="8" t="n">
        <v>0.02222222222222222</v>
      </c>
      <c r="D32" s="8" t="n">
        <v>0.001829176498094761</v>
      </c>
      <c r="E32" s="4" t="n">
        <v>91187.84530386739</v>
      </c>
      <c r="F32" s="8" t="n">
        <v>0.3345754591429332</v>
      </c>
      <c r="G32" s="8" t="n">
        <v>0.6654245408570668</v>
      </c>
      <c r="H32" s="2" t="n">
        <v>0.22</v>
      </c>
      <c r="I32" s="4" t="n">
        <v>9</v>
      </c>
    </row>
    <row r="33">
      <c r="A33" s="2" t="inlineStr">
        <is>
          <t>보수작업</t>
        </is>
      </c>
      <c r="B33" s="2" t="n">
        <v>3</v>
      </c>
      <c r="C33" s="8" t="n">
        <v>0.03333333333333333</v>
      </c>
      <c r="D33" s="8" t="n">
        <v>0.001825768397086865</v>
      </c>
      <c r="E33" s="4" t="n"/>
      <c r="F33" s="8" t="n">
        <v>0.3893333333333333</v>
      </c>
      <c r="G33" s="8" t="n">
        <v>0.5706666666666667</v>
      </c>
      <c r="H33" s="2" t="n"/>
      <c r="I33" s="4" t="n">
        <v>8</v>
      </c>
    </row>
    <row r="34">
      <c r="A34" s="2" t="inlineStr">
        <is>
          <t>팔용동</t>
        </is>
      </c>
      <c r="B34" s="2" t="n">
        <v>1</v>
      </c>
      <c r="C34" s="8" t="n">
        <v>0.01111111111111111</v>
      </c>
      <c r="D34" s="8" t="n">
        <v>0.001704050503947741</v>
      </c>
      <c r="E34" s="4" t="n"/>
      <c r="F34" s="8" t="n">
        <v>1</v>
      </c>
      <c r="G34" s="8" t="n">
        <v>0</v>
      </c>
      <c r="H34" s="2" t="n"/>
      <c r="I34" s="4" t="n"/>
    </row>
    <row r="35">
      <c r="A35" s="2" t="inlineStr">
        <is>
          <t>주방</t>
        </is>
      </c>
      <c r="B35" s="2" t="n">
        <v>1</v>
      </c>
      <c r="C35" s="8" t="n">
        <v>0.01111111111111111</v>
      </c>
      <c r="D35" s="8" t="n">
        <v>0.001555067802745453</v>
      </c>
      <c r="E35" s="4" t="n"/>
      <c r="F35" s="8" t="n">
        <v>0.3362554790231684</v>
      </c>
      <c r="G35" s="8" t="n">
        <v>0.5635566687539136</v>
      </c>
      <c r="H35" s="2" t="n"/>
      <c r="I35" s="4" t="n">
        <v>6</v>
      </c>
    </row>
    <row r="36">
      <c r="A36" s="2" t="inlineStr">
        <is>
          <t>갈바작업</t>
        </is>
      </c>
      <c r="B36" s="2" t="n">
        <v>1</v>
      </c>
      <c r="C36" s="8" t="n">
        <v>0.01111111111111111</v>
      </c>
      <c r="D36" s="8" t="n">
        <v>0.001502485672909351</v>
      </c>
      <c r="E36" s="4" t="n">
        <v>166810.8108108108</v>
      </c>
      <c r="F36" s="8" t="n">
        <v>0.712896953985742</v>
      </c>
      <c r="G36" s="8" t="n">
        <v>0.2430330524951393</v>
      </c>
      <c r="H36" s="2" t="n">
        <v>0.16</v>
      </c>
      <c r="I36" s="4" t="n">
        <v>3</v>
      </c>
    </row>
    <row r="37">
      <c r="A37" s="2" t="inlineStr">
        <is>
          <t>텍스</t>
        </is>
      </c>
      <c r="B37" s="2" t="n">
        <v>1</v>
      </c>
      <c r="C37" s="8" t="n">
        <v>0.01111111111111111</v>
      </c>
      <c r="D37" s="8" t="n">
        <v>0.001369569733601427</v>
      </c>
      <c r="E37" s="4" t="n">
        <v>95033.78378378377</v>
      </c>
      <c r="F37" s="8" t="n">
        <v>0.541414859580519</v>
      </c>
      <c r="G37" s="8" t="n">
        <v>0.4372555990046214</v>
      </c>
      <c r="H37" s="2" t="n">
        <v>0.14</v>
      </c>
      <c r="I37" s="4" t="n">
        <v>4</v>
      </c>
    </row>
    <row r="38">
      <c r="A38" s="2" t="inlineStr">
        <is>
          <t>영상</t>
        </is>
      </c>
      <c r="B38" s="2" t="n">
        <v>1</v>
      </c>
      <c r="C38" s="8" t="n">
        <v>0.01111111111111111</v>
      </c>
      <c r="D38" s="8" t="n">
        <v>0.001263431730784111</v>
      </c>
      <c r="E38" s="4" t="n">
        <v>43760.53962900506</v>
      </c>
      <c r="F38" s="8" t="n">
        <v>0.8651252408477842</v>
      </c>
      <c r="G38" s="8" t="n">
        <v>0.1348747591522158</v>
      </c>
      <c r="H38" s="2" t="n">
        <v>0.02</v>
      </c>
      <c r="I38" s="4" t="n">
        <v>1</v>
      </c>
    </row>
    <row r="39">
      <c r="A39" s="2" t="inlineStr">
        <is>
          <t>방통작업</t>
        </is>
      </c>
      <c r="B39" s="2" t="n">
        <v>1</v>
      </c>
      <c r="C39" s="8" t="n">
        <v>0.01111111111111111</v>
      </c>
      <c r="D39" s="8" t="n">
        <v>0.001251259941470198</v>
      </c>
      <c r="E39" s="4" t="n"/>
      <c r="F39" s="8" t="n">
        <v>0.6848249027237354</v>
      </c>
      <c r="G39" s="8" t="n">
        <v>0.2918287937743191</v>
      </c>
      <c r="H39" s="2" t="n"/>
      <c r="I39" s="4" t="n">
        <v>3</v>
      </c>
    </row>
    <row r="40">
      <c r="A40" s="2" t="inlineStr">
        <is>
          <t>자동문</t>
        </is>
      </c>
      <c r="B40" s="2" t="n">
        <v>1</v>
      </c>
      <c r="C40" s="8" t="n">
        <v>0.01111111111111111</v>
      </c>
      <c r="D40" s="8" t="n">
        <v>0.001095461038252119</v>
      </c>
      <c r="E40" s="4" t="n"/>
      <c r="F40" s="8" t="n">
        <v>1</v>
      </c>
      <c r="G40" s="8" t="n">
        <v>0</v>
      </c>
      <c r="H40" s="2" t="n"/>
      <c r="I40" s="4" t="n"/>
    </row>
    <row r="41">
      <c r="A41" s="2" t="inlineStr">
        <is>
          <t>용접작업(휴게공간)</t>
        </is>
      </c>
      <c r="B41" s="2" t="n">
        <v>1</v>
      </c>
      <c r="C41" s="8" t="n">
        <v>0.01111111111111111</v>
      </c>
      <c r="D41" s="8" t="n">
        <v>0.001078907404785198</v>
      </c>
      <c r="E41" s="4" t="n">
        <v>228453.6082474227</v>
      </c>
      <c r="F41" s="8" t="n">
        <v>0.2102888086642599</v>
      </c>
      <c r="G41" s="8" t="n">
        <v>0.6768953068592057</v>
      </c>
      <c r="H41" s="2" t="n">
        <v>0.52</v>
      </c>
      <c r="I41" s="4" t="n">
        <v>5</v>
      </c>
    </row>
    <row r="42">
      <c r="A42" s="2" t="inlineStr">
        <is>
          <t>보양작업</t>
        </is>
      </c>
      <c r="B42" s="2" t="n">
        <v>2</v>
      </c>
      <c r="C42" s="8" t="n">
        <v>0.02222222222222222</v>
      </c>
      <c r="D42" s="8" t="n">
        <v>0.001071117459624294</v>
      </c>
      <c r="E42" s="4" t="n">
        <v>55248.61878453038</v>
      </c>
      <c r="F42" s="8" t="n">
        <v>0.5</v>
      </c>
      <c r="G42" s="8" t="n">
        <v>0.5</v>
      </c>
      <c r="H42" s="2" t="n">
        <v>0.11</v>
      </c>
      <c r="I42" s="4" t="n">
        <v>5</v>
      </c>
    </row>
    <row r="43">
      <c r="A43" s="2" t="inlineStr">
        <is>
          <t>시트</t>
        </is>
      </c>
      <c r="B43" s="2" t="n">
        <v>2</v>
      </c>
      <c r="C43" s="8" t="n">
        <v>0.02222222222222222</v>
      </c>
      <c r="D43" s="8" t="n">
        <v>0.0005501648769888421</v>
      </c>
      <c r="E43" s="4" t="n"/>
      <c r="F43" s="8" t="n">
        <v>0.8230088495575221</v>
      </c>
      <c r="G43" s="8" t="n">
        <v>0.1327433628318584</v>
      </c>
      <c r="H43" s="2" t="n"/>
      <c r="I4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</cols>
  <sheetData>
    <row r="1">
      <c r="A1" s="1" t="inlineStr">
        <is>
          <t>항목</t>
        </is>
      </c>
      <c r="B1" s="1" t="inlineStr">
        <is>
          <t>표준값</t>
        </is>
      </c>
      <c r="C1" s="1" t="inlineStr">
        <is>
          <t>비고</t>
        </is>
      </c>
    </row>
    <row r="2">
      <c r="A2" s="2" t="inlineStr">
        <is>
          <t>고용보험</t>
        </is>
      </c>
      <c r="B2" s="9" t="n">
        <v>0.0101</v>
      </c>
      <c r="C2" s="2" t="inlineStr">
        <is>
          <t>직접공사비(노무비 기준 요율) — 86건 중 85건 동일</t>
        </is>
      </c>
    </row>
    <row r="3">
      <c r="A3" s="2" t="inlineStr">
        <is>
          <t>산재보험</t>
        </is>
      </c>
      <c r="B3" s="9" t="n">
        <v>0.0356</v>
      </c>
      <c r="C3" s="2" t="inlineStr">
        <is>
          <t>86건 중 84건 동일</t>
        </is>
      </c>
    </row>
    <row r="4">
      <c r="A4" s="2" t="inlineStr">
        <is>
          <t>일반관리비</t>
        </is>
      </c>
      <c r="B4" s="9" t="n">
        <v>0.05</v>
      </c>
      <c r="C4" s="2" t="inlineStr">
        <is>
          <t>86건 중 79건 동일 (일부 3%/7%)</t>
        </is>
      </c>
    </row>
    <row r="5">
      <c r="A5" s="2" t="inlineStr">
        <is>
          <t>이윤</t>
        </is>
      </c>
      <c r="B5" s="9" t="n">
        <v>0.1</v>
      </c>
      <c r="C5" s="2" t="inlineStr">
        <is>
          <t>88건 중 85건 동일 (일부 7~8%)</t>
        </is>
      </c>
    </row>
    <row r="6">
      <c r="A6" s="2" t="inlineStr">
        <is>
          <t>부가세</t>
        </is>
      </c>
      <c r="B6" s="9" t="n">
        <v>0.1</v>
      </c>
      <c r="C6" s="2" t="inlineStr">
        <is>
          <t>88건 전체 동일</t>
        </is>
      </c>
    </row>
    <row r="7">
      <c r="A7" s="2" t="inlineStr">
        <is>
          <t>단수정리</t>
        </is>
      </c>
      <c r="B7" s="2" t="inlineStr">
        <is>
          <t>천단위 절사</t>
        </is>
      </c>
      <c r="C7" s="2" t="inlineStr">
        <is>
          <t>총공사비에서 절사</t>
        </is>
      </c>
    </row>
    <row r="8">
      <c r="A8" s="2" t="inlineStr">
        <is>
          <t>노무비 단가(1품)</t>
        </is>
      </c>
      <c r="B8" s="4" t="n">
        <v>300000</v>
      </c>
      <c r="C8" s="2" t="inlineStr">
        <is>
          <t>내역서 표준 단가 — 목공/전기 등 공통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2026-07-02T02:12:38Z</dcterms:created>
  <dcterms:modified xmlns:dcterms="http://purl.org/dc/terms/" xmlns:xsi="http://www.w3.org/2001/XMLSchema-instance" xsi:type="dcterms:W3CDTF">2026-07-02T02:12:38Z</dcterms:modified>
</cp:coreProperties>
</file>