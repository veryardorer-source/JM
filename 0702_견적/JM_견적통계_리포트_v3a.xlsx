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도별 요약" sheetId="1" state="visible" r:id="rId1"/>
    <sheet xmlns:r="http://schemas.openxmlformats.org/officeDocument/2006/relationships" name="전체목록" sheetId="2" state="visible" r:id="rId2"/>
    <sheet xmlns:r="http://schemas.openxmlformats.org/officeDocument/2006/relationships" name="평당가(본공사)" sheetId="3" state="visible" r:id="rId3"/>
    <sheet xmlns:r="http://schemas.openxmlformats.org/officeDocument/2006/relationships" name="업종별 요약" sheetId="4" state="visible" r:id="rId4"/>
    <sheet xmlns:r="http://schemas.openxmlformats.org/officeDocument/2006/relationships" name="공종별 통계" sheetId="5" state="visible" r:id="rId5"/>
    <sheet xmlns:r="http://schemas.openxmlformats.org/officeDocument/2006/relationships" name="견적 기준" sheetId="6" state="visible" r:id="rId6"/>
    <sheet xmlns:r="http://schemas.openxmlformats.org/officeDocument/2006/relationships" name="공종별 손익" sheetId="7" state="visible" r:id="rId7"/>
    <sheet xmlns:r="http://schemas.openxmlformats.org/officeDocument/2006/relationships" name="현장별 손익" sheetId="8" state="visible" r:id="rId8"/>
  </sheets>
  <definedNames>
    <definedName name="_xlnm._FilterDatabase" localSheetId="1" hidden="1">'전체목록'!$A$1:$H$91</definedName>
    <definedName name="_xlnm._FilterDatabase" localSheetId="2" hidden="1">'평당가(본공사)'!$A$1:$G$45</definedName>
    <definedName name="_xlnm._FilterDatabase" localSheetId="7" hidden="1">'현장별 손익'!$A$1:$E$149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808080"/>
      <sz val="9"/>
    </font>
    <font>
      <name val="맑은 고딕"/>
      <b val="1"/>
      <sz val="10"/>
    </font>
    <font>
      <name val="맑은 고딕"/>
      <b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5F1F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2" fillId="0" borderId="1" pivotButton="0" quotePrefix="0" xfId="0"/>
    <xf numFmtId="10" fontId="2" fillId="0" borderId="1" pivotButton="0" quotePrefix="0" xfId="0"/>
    <xf numFmtId="0" fontId="1" fillId="3" borderId="1" applyAlignment="1" pivotButton="0" quotePrefix="0" xfId="0">
      <alignment horizontal="center"/>
    </xf>
    <xf numFmtId="165" fontId="4" fillId="0" borderId="1" pivotButton="0" quotePrefix="0" xfId="0"/>
    <xf numFmtId="9" fontId="2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6" customWidth="1" min="3" max="3"/>
    <col width="16" customWidth="1" min="4" max="4"/>
    <col width="17" customWidth="1" min="5" max="5"/>
    <col width="20" customWidth="1" min="6" max="6"/>
  </cols>
  <sheetData>
    <row r="1">
      <c r="A1" s="11" t="inlineStr">
        <is>
          <t>연도</t>
        </is>
      </c>
      <c r="B1" s="11" t="inlineStr">
        <is>
          <t>건수</t>
        </is>
      </c>
      <c r="C1" s="11" t="inlineStr">
        <is>
          <t>매출(VAT포함)</t>
        </is>
      </c>
      <c r="D1" s="11" t="inlineStr">
        <is>
          <t>순이익(대장 기재)</t>
        </is>
      </c>
      <c r="E1" s="11" t="inlineStr">
        <is>
          <t>이익률(VAT제외 대비)</t>
        </is>
      </c>
      <c r="F1" s="11" t="inlineStr">
        <is>
          <t>비고</t>
        </is>
      </c>
    </row>
    <row r="2">
      <c r="A2" s="2" t="inlineStr">
        <is>
          <t>2020</t>
        </is>
      </c>
      <c r="B2" s="2" t="n">
        <v>12</v>
      </c>
      <c r="C2" s="4" t="n">
        <v>437294000</v>
      </c>
      <c r="D2" s="4" t="n"/>
      <c r="E2" s="9" t="n"/>
      <c r="F2" s="2" t="inlineStr">
        <is>
          <t>순이익 미기재</t>
        </is>
      </c>
    </row>
    <row r="3">
      <c r="A3" s="2" t="inlineStr">
        <is>
          <t>2021</t>
        </is>
      </c>
      <c r="B3" s="2" t="n">
        <v>23</v>
      </c>
      <c r="C3" s="4" t="n">
        <v>1381774500</v>
      </c>
      <c r="D3" s="4" t="n"/>
      <c r="E3" s="9" t="n"/>
      <c r="F3" s="2" t="inlineStr">
        <is>
          <t>순이익 미기재</t>
        </is>
      </c>
    </row>
    <row r="4">
      <c r="A4" s="2" t="inlineStr">
        <is>
          <t>2022</t>
        </is>
      </c>
      <c r="B4" s="2" t="n">
        <v>36</v>
      </c>
      <c r="C4" s="4" t="n">
        <v>2212027160</v>
      </c>
      <c r="D4" s="4" t="n"/>
      <c r="E4" s="9" t="n"/>
      <c r="F4" s="2" t="inlineStr">
        <is>
          <t>순이익 미기재</t>
        </is>
      </c>
    </row>
    <row r="5">
      <c r="A5" s="2" t="inlineStr">
        <is>
          <t>2023</t>
        </is>
      </c>
      <c r="B5" s="2" t="n">
        <v>34</v>
      </c>
      <c r="C5" s="4" t="n">
        <v>2674559000</v>
      </c>
      <c r="D5" s="4" t="n"/>
      <c r="E5" s="9" t="n"/>
      <c r="F5" s="2" t="inlineStr">
        <is>
          <t>순이익 미기재</t>
        </is>
      </c>
    </row>
    <row r="6">
      <c r="A6" s="2" t="inlineStr">
        <is>
          <t>2024</t>
        </is>
      </c>
      <c r="B6" s="2" t="n">
        <v>53</v>
      </c>
      <c r="C6" s="4" t="n">
        <v>2660398574</v>
      </c>
      <c r="D6" s="4" t="n"/>
      <c r="E6" s="9" t="n"/>
      <c r="F6" s="2" t="inlineStr">
        <is>
          <t>이익률만 기재(21건)</t>
        </is>
      </c>
    </row>
    <row r="7">
      <c r="A7" s="2" t="inlineStr">
        <is>
          <t>2025</t>
        </is>
      </c>
      <c r="B7" s="2" t="n">
        <v>62</v>
      </c>
      <c r="C7" s="4" t="n">
        <v>2325241566</v>
      </c>
      <c r="D7" s="4" t="n">
        <v>655064499</v>
      </c>
      <c r="E7" s="9" t="n">
        <v>0.3098907913209049</v>
      </c>
      <c r="F7" s="2" t="inlineStr"/>
    </row>
    <row r="8">
      <c r="A8" s="2" t="inlineStr">
        <is>
          <t>2026</t>
        </is>
      </c>
      <c r="B8" s="2" t="n">
        <v>33</v>
      </c>
      <c r="C8" s="4" t="n">
        <v>579931000</v>
      </c>
      <c r="D8" s="4" t="n">
        <v>315963081</v>
      </c>
      <c r="E8" s="9" t="n">
        <v>0.5993116234517555</v>
      </c>
      <c r="F8" s="2" t="inlineStr">
        <is>
          <t>진행 연도</t>
        </is>
      </c>
    </row>
    <row r="10">
      <c r="A10" s="5" t="inlineStr">
        <is>
          <t>※ 출처: NAS(jm) 002_JM회계 &gt; 000_경영 &gt; 02_공사경력 현황표 &gt; JM공사경력.xlsx (2026-07-02 추출). 매출 = 본 공사 금액 + 추가 공사 금액(VAT 포함). 순이익은 2025·2026년만 금액 기재.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1" customWidth="1" min="3" max="3"/>
    <col width="9" customWidth="1" min="4" max="4"/>
    <col width="7" customWidth="1" min="5" max="5"/>
    <col width="16" customWidth="1" min="6" max="6"/>
    <col width="12" customWidth="1" min="7" max="7"/>
    <col width="42" customWidth="1" min="8" max="8"/>
  </cols>
  <sheetData>
    <row r="1">
      <c r="A1" s="1" t="inlineStr">
        <is>
          <t>연도</t>
        </is>
      </c>
      <c r="B1" s="1" t="inlineStr">
        <is>
          <t>현장명</t>
        </is>
      </c>
      <c r="C1" s="1" t="inlineStr">
        <is>
          <t>업종</t>
        </is>
      </c>
      <c r="D1" s="1" t="inlineStr">
        <is>
          <t>구분</t>
        </is>
      </c>
      <c r="E1" s="1" t="inlineStr">
        <is>
          <t>평수</t>
        </is>
      </c>
      <c r="F1" s="1" t="inlineStr">
        <is>
          <t>견적총액(VAT포함)</t>
        </is>
      </c>
      <c r="G1" s="1" t="inlineStr">
        <is>
          <t>평당가</t>
        </is>
      </c>
      <c r="H1" s="1" t="inlineStr">
        <is>
          <t>파일명</t>
        </is>
      </c>
    </row>
    <row r="2">
      <c r="A2" s="2" t="inlineStr">
        <is>
          <t>2024년</t>
        </is>
      </c>
      <c r="B2" s="2" t="inlineStr">
        <is>
          <t>HK대구사업단</t>
        </is>
      </c>
      <c r="C2" s="2" t="inlineStr">
        <is>
          <t>사무실</t>
        </is>
      </c>
      <c r="D2" s="2" t="inlineStr">
        <is>
          <t>특수</t>
        </is>
      </c>
      <c r="E2" s="3" t="n">
        <v>30.2</v>
      </c>
      <c r="F2" s="4" t="n">
        <v>13222000</v>
      </c>
      <c r="G2" s="4">
        <f>IF(AND(E2&gt;0,F2&gt;0),F2/E2,"")</f>
        <v/>
      </c>
      <c r="H2" s="2" t="inlineStr">
        <is>
          <t>240911_대구HK금융파트너스(철거포함)-최종본.xlsb</t>
        </is>
      </c>
    </row>
    <row r="3">
      <c r="A3" s="2" t="inlineStr">
        <is>
          <t>2024년</t>
        </is>
      </c>
      <c r="B3" s="2" t="inlineStr">
        <is>
          <t>HK금융파트너스 대구사업단 안동</t>
        </is>
      </c>
      <c r="C3" s="2" t="inlineStr">
        <is>
          <t>사무실</t>
        </is>
      </c>
      <c r="D3" s="2" t="inlineStr">
        <is>
          <t>특수</t>
        </is>
      </c>
      <c r="E3" s="3" t="n">
        <v>18.1</v>
      </c>
      <c r="F3" s="4" t="n">
        <v>10252000</v>
      </c>
      <c r="G3" s="4">
        <f>IF(AND(E3&gt;0,F3&gt;0),F3/E3,"")</f>
        <v/>
      </c>
      <c r="H3" s="2" t="inlineStr">
        <is>
          <t>240911_안동HK금융파트너스-최종본.xlsb</t>
        </is>
      </c>
    </row>
    <row r="4">
      <c r="A4" s="2" t="inlineStr">
        <is>
          <t>2024년</t>
        </is>
      </c>
      <c r="B4" s="2" t="inlineStr">
        <is>
          <t>문소영수학관리</t>
        </is>
      </c>
      <c r="C4" s="2" t="inlineStr">
        <is>
          <t>학원/교습소</t>
        </is>
      </c>
      <c r="D4" s="2" t="inlineStr">
        <is>
          <t>본공사</t>
        </is>
      </c>
      <c r="E4" s="3" t="n">
        <v>45.4</v>
      </c>
      <c r="F4" s="4" t="n">
        <v>31999000</v>
      </c>
      <c r="G4" s="4">
        <f>IF(AND(E4&gt;0,F4&gt;0),F4/E4,"")</f>
        <v/>
      </c>
      <c r="H4" s="2" t="inlineStr">
        <is>
          <t>240925_315대로 5층학원(최종본).xlsb</t>
        </is>
      </c>
    </row>
    <row r="5">
      <c r="A5" s="2" t="inlineStr">
        <is>
          <t>2024년</t>
        </is>
      </c>
      <c r="B5" s="2" t="inlineStr">
        <is>
          <t>현대크랭크 계단,왁스,안내판</t>
        </is>
      </c>
      <c r="C5" s="2" t="inlineStr">
        <is>
          <t>상업/기타</t>
        </is>
      </c>
      <c r="D5" s="2" t="inlineStr">
        <is>
          <t>부분공사</t>
        </is>
      </c>
      <c r="E5" s="3" t="n"/>
      <c r="F5" s="4" t="n"/>
      <c r="G5" s="4">
        <f>IF(AND(E5&gt;0,F5&gt;0),F5/E5,"")</f>
        <v/>
      </c>
      <c r="H5" s="2" t="inlineStr">
        <is>
          <t>241018_HD현대플랭크샤프트(왁스).xlsb</t>
        </is>
      </c>
    </row>
    <row r="6">
      <c r="A6" s="2" t="inlineStr">
        <is>
          <t>2024년</t>
        </is>
      </c>
      <c r="B6" s="2" t="inlineStr">
        <is>
          <t>진주음악학원</t>
        </is>
      </c>
      <c r="C6" s="2" t="inlineStr">
        <is>
          <t>학원/교습소</t>
        </is>
      </c>
      <c r="D6" s="2" t="inlineStr">
        <is>
          <t>본공사</t>
        </is>
      </c>
      <c r="E6" s="3" t="n">
        <v>43.1</v>
      </c>
      <c r="F6" s="4" t="n">
        <v>96162000</v>
      </c>
      <c r="G6" s="4">
        <f>IF(AND(E6&gt;0,F6&gt;0),F6/E6,"")</f>
        <v/>
      </c>
      <c r="H6" s="2" t="inlineStr">
        <is>
          <t>241025_진주음악학원-최종본.xlsb</t>
        </is>
      </c>
    </row>
    <row r="7">
      <c r="A7" s="2" t="inlineStr">
        <is>
          <t>2024년</t>
        </is>
      </c>
      <c r="B7" s="2" t="inlineStr">
        <is>
          <t>현대크랭크 탈의실 샤워실 보수공사</t>
        </is>
      </c>
      <c r="C7" s="2" t="inlineStr">
        <is>
          <t>상업/기타</t>
        </is>
      </c>
      <c r="D7" s="2" t="inlineStr">
        <is>
          <t>가구</t>
        </is>
      </c>
      <c r="E7" s="3" t="n"/>
      <c r="F7" s="4" t="n">
        <v>15862000</v>
      </c>
      <c r="G7" s="4">
        <f>IF(AND(E7&gt;0,F7&gt;0),F7/E7,"")</f>
        <v/>
      </c>
      <c r="H7" s="2" t="inlineStr">
        <is>
          <t>241105_HD크랭크샤프트 샤워실 및 탈의실(가구).xls</t>
        </is>
      </c>
    </row>
    <row r="8">
      <c r="A8" s="2" t="inlineStr">
        <is>
          <t>2024년</t>
        </is>
      </c>
      <c r="B8" s="2" t="inlineStr">
        <is>
          <t>현대크랭크 탈의실 샤워실 보수공사</t>
        </is>
      </c>
      <c r="C8" s="2" t="inlineStr">
        <is>
          <t>상업/기타</t>
        </is>
      </c>
      <c r="D8" s="2" t="inlineStr">
        <is>
          <t>본공사</t>
        </is>
      </c>
      <c r="E8" s="3" t="n">
        <v>28.7</v>
      </c>
      <c r="F8" s="4" t="n">
        <v>23287000</v>
      </c>
      <c r="G8" s="4">
        <f>IF(AND(E8&gt;0,F8&gt;0),F8/E8,"")</f>
        <v/>
      </c>
      <c r="H8" s="2" t="inlineStr">
        <is>
          <t>241105_HD크랭크샤프트 샤워실 및 탈의실(인테리어).xls</t>
        </is>
      </c>
    </row>
    <row r="9">
      <c r="A9" s="2" t="inlineStr">
        <is>
          <t>2024년</t>
        </is>
      </c>
      <c r="B9" s="2" t="inlineStr">
        <is>
          <t>부산대학교생명자원과학대학</t>
        </is>
      </c>
      <c r="C9" s="2" t="inlineStr">
        <is>
          <t>대학/공공</t>
        </is>
      </c>
      <c r="D9" s="2" t="inlineStr">
        <is>
          <t>가구</t>
        </is>
      </c>
      <c r="E9" s="3" t="n"/>
      <c r="F9" s="4" t="n">
        <v>5610000</v>
      </c>
      <c r="G9" s="4">
        <f>IF(AND(E9&gt;0,F9&gt;0),F9/E9,"")</f>
        <v/>
      </c>
      <c r="H9" s="2" t="inlineStr">
        <is>
          <t>241108_부산대바이오소재학과 가구(제출용).xlsb</t>
        </is>
      </c>
    </row>
    <row r="10">
      <c r="A10" s="2" t="inlineStr">
        <is>
          <t>2024년</t>
        </is>
      </c>
      <c r="B10" s="2" t="inlineStr">
        <is>
          <t>부산대학교생명자원과학대학</t>
        </is>
      </c>
      <c r="C10" s="2" t="inlineStr">
        <is>
          <t>대학/공공</t>
        </is>
      </c>
      <c r="D10" s="2" t="inlineStr">
        <is>
          <t>본공사</t>
        </is>
      </c>
      <c r="E10" s="3" t="n">
        <v>27.2</v>
      </c>
      <c r="F10" s="4" t="n">
        <v>31856000</v>
      </c>
      <c r="G10" s="4">
        <f>IF(AND(E10&gt;0,F10&gt;0),F10/E10,"")</f>
        <v/>
      </c>
      <c r="H10" s="2" t="inlineStr">
        <is>
          <t>241108_부산바이오소재과학과인테리어(제출용).xlsb</t>
        </is>
      </c>
    </row>
    <row r="11">
      <c r="A11" s="2" t="inlineStr">
        <is>
          <t>2024년</t>
        </is>
      </c>
      <c r="B11" s="2" t="inlineStr">
        <is>
          <t>문소영수학관리</t>
        </is>
      </c>
      <c r="C11" s="2" t="inlineStr">
        <is>
          <t>학원/교습소</t>
        </is>
      </c>
      <c r="D11" s="2" t="inlineStr">
        <is>
          <t>추가공사</t>
        </is>
      </c>
      <c r="E11" s="3" t="n"/>
      <c r="F11" s="4" t="n">
        <v>3553000</v>
      </c>
      <c r="G11" s="4">
        <f>IF(AND(E11&gt;0,F11&gt;0),F11/E11,"")</f>
        <v/>
      </c>
      <c r="H11" s="2" t="inlineStr">
        <is>
          <t>241111_315대로5층학원(추가공사).xlsb</t>
        </is>
      </c>
    </row>
    <row r="12">
      <c r="A12" s="2" t="inlineStr">
        <is>
          <t>2024년</t>
        </is>
      </c>
      <c r="B12" s="2" t="inlineStr">
        <is>
          <t>디오오토갤러리</t>
        </is>
      </c>
      <c r="C12" s="2" t="inlineStr">
        <is>
          <t>상업/기타</t>
        </is>
      </c>
      <c r="D12" s="2" t="inlineStr">
        <is>
          <t>부분공사</t>
        </is>
      </c>
      <c r="E12" s="3" t="n">
        <v>6.9</v>
      </c>
      <c r="F12" s="4" t="n">
        <v>6402000</v>
      </c>
      <c r="G12" s="4">
        <f>IF(AND(E12&gt;0,F12&gt;0),F12/E12,"")</f>
        <v/>
      </c>
      <c r="H12" s="2" t="inlineStr">
        <is>
          <t>241111_디오오토갤러리.xlsb</t>
        </is>
      </c>
    </row>
    <row r="13">
      <c r="A13" s="2" t="inlineStr">
        <is>
          <t>2024년</t>
        </is>
      </c>
      <c r="B13" s="2" t="inlineStr">
        <is>
          <t>진해교습소</t>
        </is>
      </c>
      <c r="C13" s="2" t="inlineStr">
        <is>
          <t>학원/교습소</t>
        </is>
      </c>
      <c r="D13" s="2" t="inlineStr">
        <is>
          <t>본공사</t>
        </is>
      </c>
      <c r="E13" s="3" t="n">
        <v>14.5</v>
      </c>
      <c r="F13" s="4" t="n">
        <v>25916000</v>
      </c>
      <c r="G13" s="4">
        <f>IF(AND(E13&gt;0,F13&gt;0),F13/E13,"")</f>
        <v/>
      </c>
      <c r="H13" s="2" t="inlineStr">
        <is>
          <t>241127_진해자은동교습소견적서.xlsb</t>
        </is>
      </c>
    </row>
    <row r="14">
      <c r="A14" s="2" t="inlineStr">
        <is>
          <t>2024년</t>
        </is>
      </c>
      <c r="B14" s="2" t="inlineStr">
        <is>
          <t>터보링크</t>
        </is>
      </c>
      <c r="C14" s="2" t="inlineStr">
        <is>
          <t>상업/기타</t>
        </is>
      </c>
      <c r="D14" s="2" t="inlineStr">
        <is>
          <t>본공사</t>
        </is>
      </c>
      <c r="E14" s="3" t="n">
        <v>24.2</v>
      </c>
      <c r="F14" s="4" t="n">
        <v>33220000</v>
      </c>
      <c r="G14" s="4">
        <f>IF(AND(E14&gt;0,F14&gt;0),F14/E14,"")</f>
        <v/>
      </c>
      <c r="H14" s="2" t="inlineStr">
        <is>
          <t>241209_터보링크(목공사) - 최종본.xlsb</t>
        </is>
      </c>
    </row>
    <row r="15">
      <c r="A15" s="2" t="inlineStr">
        <is>
          <t>2024년</t>
        </is>
      </c>
      <c r="B15" s="2" t="inlineStr">
        <is>
          <t>북면교습소</t>
        </is>
      </c>
      <c r="C15" s="2" t="inlineStr">
        <is>
          <t>학원/교습소</t>
        </is>
      </c>
      <c r="D15" s="2" t="inlineStr">
        <is>
          <t>부분공사</t>
        </is>
      </c>
      <c r="E15" s="3" t="n"/>
      <c r="F15" s="4" t="n">
        <v>3905000</v>
      </c>
      <c r="G15" s="4">
        <f>IF(AND(E15&gt;0,F15&gt;0),F15/E15,"")</f>
        <v/>
      </c>
      <c r="H15" s="2" t="inlineStr">
        <is>
          <t>241210_북면교습소인테리어.xlsx</t>
        </is>
      </c>
    </row>
    <row r="16">
      <c r="A16" s="2" t="inlineStr">
        <is>
          <t>2024년</t>
        </is>
      </c>
      <c r="B16" s="2" t="inlineStr">
        <is>
          <t>사파동변호사사무실</t>
        </is>
      </c>
      <c r="C16" s="2" t="inlineStr">
        <is>
          <t>사무실</t>
        </is>
      </c>
      <c r="D16" s="2" t="inlineStr">
        <is>
          <t>본공사</t>
        </is>
      </c>
      <c r="E16" s="3" t="n"/>
      <c r="F16" s="4" t="n">
        <v>27335000</v>
      </c>
      <c r="G16" s="4">
        <f>IF(AND(E16&gt;0,F16&gt;0),F16/E16,"")</f>
        <v/>
      </c>
      <c r="H16" s="2" t="inlineStr">
        <is>
          <t>241211_사파동변호사사무실.xlsb</t>
        </is>
      </c>
    </row>
    <row r="17">
      <c r="A17" s="2" t="inlineStr">
        <is>
          <t>2024년</t>
        </is>
      </c>
      <c r="B17" s="2" t="inlineStr">
        <is>
          <t>진주음악학원</t>
        </is>
      </c>
      <c r="C17" s="2" t="inlineStr">
        <is>
          <t>학원/교습소</t>
        </is>
      </c>
      <c r="D17" s="2" t="inlineStr">
        <is>
          <t>추가공사</t>
        </is>
      </c>
      <c r="E17" s="3" t="n"/>
      <c r="F17" s="4" t="n">
        <v>3091000</v>
      </c>
      <c r="G17" s="4">
        <f>IF(AND(E17&gt;0,F17&gt;0),F17/E17,"")</f>
        <v/>
      </c>
      <c r="H17" s="2" t="inlineStr">
        <is>
          <t>241224_진주윤앤오음악학원 추가견적서.xlsb</t>
        </is>
      </c>
    </row>
    <row r="18">
      <c r="A18" s="2" t="inlineStr">
        <is>
          <t>2024년</t>
        </is>
      </c>
      <c r="B18" s="2" t="inlineStr">
        <is>
          <t>진해교습소</t>
        </is>
      </c>
      <c r="C18" s="2" t="inlineStr">
        <is>
          <t>학원/교습소</t>
        </is>
      </c>
      <c r="D18" s="2" t="inlineStr">
        <is>
          <t>추가공사</t>
        </is>
      </c>
      <c r="E18" s="3" t="n"/>
      <c r="F18" s="4" t="n">
        <v>1188000</v>
      </c>
      <c r="G18" s="4">
        <f>IF(AND(E18&gt;0,F18&gt;0),F18/E18,"")</f>
        <v/>
      </c>
      <c r="H18" s="2" t="inlineStr">
        <is>
          <t>241226_진해자은동교습소 추가견적서.xlsb</t>
        </is>
      </c>
    </row>
    <row r="19">
      <c r="A19" s="2" t="inlineStr">
        <is>
          <t>2024년</t>
        </is>
      </c>
      <c r="B19" s="2" t="inlineStr">
        <is>
          <t>더 젤 네일샾</t>
        </is>
      </c>
      <c r="C19" s="2" t="inlineStr">
        <is>
          <t>뷰티/미용</t>
        </is>
      </c>
      <c r="D19" s="2" t="inlineStr">
        <is>
          <t>본공사</t>
        </is>
      </c>
      <c r="E19" s="3" t="n">
        <v>10</v>
      </c>
      <c r="F19" s="4" t="n">
        <v>32538000</v>
      </c>
      <c r="G19" s="4">
        <f>IF(AND(E19&gt;0,F19&gt;0),F19/E19,"")</f>
        <v/>
      </c>
      <c r="H19" s="2" t="inlineStr">
        <is>
          <t>241226_합성동뷰티샾(최종본).xlsb</t>
        </is>
      </c>
    </row>
    <row r="20">
      <c r="A20" s="2" t="inlineStr">
        <is>
          <t>2024년</t>
        </is>
      </c>
      <c r="B20" s="2" t="inlineStr">
        <is>
          <t>블루돌핀어학원</t>
        </is>
      </c>
      <c r="C20" s="2" t="inlineStr">
        <is>
          <t>학원/교습소</t>
        </is>
      </c>
      <c r="D20" s="2" t="inlineStr">
        <is>
          <t>추가공사</t>
        </is>
      </c>
      <c r="E20" s="3" t="n"/>
      <c r="F20" s="4" t="n"/>
      <c r="G20" s="4">
        <f>IF(AND(E20&gt;0,F20&gt;0),F20/E20,"")</f>
        <v/>
      </c>
      <c r="H20" s="2" t="inlineStr">
        <is>
          <t>250113_에일린의 뜰 404호(블루돌핀)_추가견적서.xlsb</t>
        </is>
      </c>
    </row>
    <row r="21">
      <c r="A21" s="2" t="inlineStr">
        <is>
          <t>2025년</t>
        </is>
      </c>
      <c r="B21" s="2" t="inlineStr">
        <is>
          <t>지엔티 가구</t>
        </is>
      </c>
      <c r="C21" s="2" t="inlineStr">
        <is>
          <t>상업/기타</t>
        </is>
      </c>
      <c r="D21" s="2" t="inlineStr">
        <is>
          <t>가구</t>
        </is>
      </c>
      <c r="E21" s="3" t="n"/>
      <c r="F21" s="4" t="n"/>
      <c r="G21" s="4">
        <f>IF(AND(E21&gt;0,F21&gt;0),F21/E21,"")</f>
        <v/>
      </c>
      <c r="H21" s="2" t="inlineStr">
        <is>
          <t>0124_가구견적서.xlsb</t>
        </is>
      </c>
    </row>
    <row r="22">
      <c r="A22" s="2" t="inlineStr">
        <is>
          <t>2025년</t>
        </is>
      </c>
      <c r="B22" s="2" t="inlineStr">
        <is>
          <t>현대크랭크샤프트가구</t>
        </is>
      </c>
      <c r="C22" s="2" t="inlineStr">
        <is>
          <t>상업/기타</t>
        </is>
      </c>
      <c r="D22" s="2" t="inlineStr">
        <is>
          <t>가구</t>
        </is>
      </c>
      <c r="E22" s="3" t="n"/>
      <c r="F22" s="4" t="n">
        <v>8019000</v>
      </c>
      <c r="G22" s="4">
        <f>IF(AND(E22&gt;0,F22&gt;0),F22/E22,"")</f>
        <v/>
      </c>
      <c r="H22" s="2" t="inlineStr">
        <is>
          <t>241227_현대크랭크샤프트 가구-최종본.xlsb</t>
        </is>
      </c>
    </row>
    <row r="23">
      <c r="A23" s="2" t="inlineStr">
        <is>
          <t>2025년</t>
        </is>
      </c>
      <c r="B23" s="2" t="inlineStr">
        <is>
          <t>라온메디칼 사무실</t>
        </is>
      </c>
      <c r="C23" s="2" t="inlineStr">
        <is>
          <t>사무실</t>
        </is>
      </c>
      <c r="D23" s="2" t="inlineStr">
        <is>
          <t>본공사</t>
        </is>
      </c>
      <c r="E23" s="3" t="n">
        <v>29.6</v>
      </c>
      <c r="F23" s="4" t="n">
        <v>34529000</v>
      </c>
      <c r="G23" s="4">
        <f>IF(AND(E23&gt;0,F23&gt;0),F23/E23,"")</f>
        <v/>
      </c>
      <c r="H23" s="2" t="inlineStr">
        <is>
          <t>250120_서상동 메디컬사무실.xlsb</t>
        </is>
      </c>
    </row>
    <row r="24">
      <c r="A24" s="2" t="inlineStr">
        <is>
          <t>2025년</t>
        </is>
      </c>
      <c r="B24" s="2" t="inlineStr">
        <is>
          <t>양산타코야끼</t>
        </is>
      </c>
      <c r="C24" s="2" t="inlineStr">
        <is>
          <t>식음료</t>
        </is>
      </c>
      <c r="D24" s="2" t="inlineStr">
        <is>
          <t>본공사</t>
        </is>
      </c>
      <c r="E24" s="3" t="n">
        <v>18.5</v>
      </c>
      <c r="F24" s="4" t="n">
        <v>29469000</v>
      </c>
      <c r="G24" s="4">
        <f>IF(AND(E24&gt;0,F24&gt;0),F24/E24,"")</f>
        <v/>
      </c>
      <c r="H24" s="2" t="inlineStr">
        <is>
          <t>250124_양산타꼬야끼_최종본.xlsb</t>
        </is>
      </c>
    </row>
    <row r="25">
      <c r="A25" s="2" t="inlineStr">
        <is>
          <t>2025년</t>
        </is>
      </c>
      <c r="B25" s="2" t="inlineStr">
        <is>
          <t>양산타코야끼</t>
        </is>
      </c>
      <c r="C25" s="2" t="inlineStr">
        <is>
          <t>식음료</t>
        </is>
      </c>
      <c r="D25" s="2" t="inlineStr">
        <is>
          <t>추가공사</t>
        </is>
      </c>
      <c r="E25" s="3" t="n"/>
      <c r="F25" s="4" t="n">
        <v>3949000</v>
      </c>
      <c r="G25" s="4">
        <f>IF(AND(E25&gt;0,F25&gt;0),F25/E25,"")</f>
        <v/>
      </c>
      <c r="H25" s="2" t="inlineStr">
        <is>
          <t>250203_양산타꼬야끼 추가공사.xlsb</t>
        </is>
      </c>
    </row>
    <row r="26">
      <c r="A26" s="2" t="inlineStr">
        <is>
          <t>2025년</t>
        </is>
      </c>
      <c r="B26" s="2" t="inlineStr">
        <is>
          <t>MH에탄올 사무실 2,3층 인테리어</t>
        </is>
      </c>
      <c r="C26" s="2" t="inlineStr">
        <is>
          <t>사무실</t>
        </is>
      </c>
      <c r="D26" s="2" t="inlineStr">
        <is>
          <t>본공사</t>
        </is>
      </c>
      <c r="E26" s="3" t="n">
        <v>98.59999999999999</v>
      </c>
      <c r="F26" s="4" t="n">
        <v>160413000</v>
      </c>
      <c r="G26" s="4">
        <f>IF(AND(E26&gt;0,F26&gt;0),F26/E26,"")</f>
        <v/>
      </c>
      <c r="H26" s="2" t="inlineStr">
        <is>
          <t>250227_에탄올본관(도장가구).xls</t>
        </is>
      </c>
    </row>
    <row r="27">
      <c r="A27" s="2" t="inlineStr">
        <is>
          <t>2025년</t>
        </is>
      </c>
      <c r="B27" s="2" t="inlineStr">
        <is>
          <t>다구리 109건축(손익표x)</t>
        </is>
      </c>
      <c r="C27" s="2" t="inlineStr">
        <is>
          <t>상업/기타</t>
        </is>
      </c>
      <c r="D27" s="2" t="inlineStr">
        <is>
          <t>특수</t>
        </is>
      </c>
      <c r="E27" s="3" t="n"/>
      <c r="F27" s="4" t="n"/>
      <c r="G27" s="4">
        <f>IF(AND(E27&gt;0,F27&gt;0),F27/E27,"")</f>
        <v/>
      </c>
      <c r="H27" s="2" t="inlineStr">
        <is>
          <t>250306_다구리 109 -최종본.xls</t>
        </is>
      </c>
    </row>
    <row r="28">
      <c r="A28" s="2" t="inlineStr">
        <is>
          <t>2025년</t>
        </is>
      </c>
      <c r="B28" s="2" t="inlineStr">
        <is>
          <t>보루(어반브릭스)</t>
        </is>
      </c>
      <c r="C28" s="2" t="inlineStr">
        <is>
          <t>상업/기타</t>
        </is>
      </c>
      <c r="D28" s="2" t="inlineStr">
        <is>
          <t>부분공사</t>
        </is>
      </c>
      <c r="E28" s="3" t="n"/>
      <c r="F28" s="4" t="n">
        <v>2629000</v>
      </c>
      <c r="G28" s="4">
        <f>IF(AND(E28&gt;0,F28&gt;0),F28/E28,"")</f>
        <v/>
      </c>
      <c r="H28" s="2" t="inlineStr">
        <is>
          <t>250306_보루(어반브릭스).xlsb</t>
        </is>
      </c>
    </row>
    <row r="29">
      <c r="A29" s="2" t="inlineStr">
        <is>
          <t>2025년</t>
        </is>
      </c>
      <c r="B29" s="2" t="inlineStr">
        <is>
          <t>키움에셋플래너</t>
        </is>
      </c>
      <c r="C29" s="2" t="inlineStr">
        <is>
          <t>사무실</t>
        </is>
      </c>
      <c r="D29" s="2" t="inlineStr">
        <is>
          <t>본공사</t>
        </is>
      </c>
      <c r="E29" s="3" t="n">
        <v>47.5</v>
      </c>
      <c r="F29" s="4" t="n">
        <v>40931000</v>
      </c>
      <c r="G29" s="4">
        <f>IF(AND(E29&gt;0,F29&gt;0),F29/E29,"")</f>
        <v/>
      </c>
      <c r="H29" s="2" t="inlineStr">
        <is>
          <t>250320_키움에셋플래너.xlsb</t>
        </is>
      </c>
    </row>
    <row r="30">
      <c r="A30" s="2" t="inlineStr">
        <is>
          <t>2025년</t>
        </is>
      </c>
      <c r="B30" s="2" t="inlineStr">
        <is>
          <t>현동네일샵</t>
        </is>
      </c>
      <c r="C30" s="2" t="inlineStr">
        <is>
          <t>뷰티/미용</t>
        </is>
      </c>
      <c r="D30" s="2" t="inlineStr">
        <is>
          <t>본공사</t>
        </is>
      </c>
      <c r="E30" s="3" t="n">
        <v>11.8</v>
      </c>
      <c r="F30" s="4" t="n">
        <v>21000000</v>
      </c>
      <c r="G30" s="4">
        <f>IF(AND(E30&gt;0,F30&gt;0),F30/E30,"")</f>
        <v/>
      </c>
      <c r="H30" s="2" t="inlineStr">
        <is>
          <t>250401_현동네일샵(최봉본).xls</t>
        </is>
      </c>
    </row>
    <row r="31">
      <c r="A31" s="2" t="inlineStr">
        <is>
          <t>2025년</t>
        </is>
      </c>
      <c r="B31" s="2" t="inlineStr">
        <is>
          <t>밀양 뷰티샵</t>
        </is>
      </c>
      <c r="C31" s="2" t="inlineStr">
        <is>
          <t>뷰티/미용</t>
        </is>
      </c>
      <c r="D31" s="2" t="inlineStr">
        <is>
          <t>본공사</t>
        </is>
      </c>
      <c r="E31" s="3" t="n">
        <v>7.9</v>
      </c>
      <c r="F31" s="4" t="n">
        <v>16379000</v>
      </c>
      <c r="G31" s="4">
        <f>IF(AND(E31&gt;0,F31&gt;0),F31/E31,"")</f>
        <v/>
      </c>
      <c r="H31" s="2" t="inlineStr">
        <is>
          <t>250403_밀양뷰티샵 (최종본).xls</t>
        </is>
      </c>
    </row>
    <row r="32">
      <c r="A32" s="2" t="inlineStr">
        <is>
          <t>2025년</t>
        </is>
      </c>
      <c r="B32" s="2" t="inlineStr">
        <is>
          <t>정우상가(용호동)뷰티샵</t>
        </is>
      </c>
      <c r="C32" s="2" t="inlineStr">
        <is>
          <t>뷰티/미용</t>
        </is>
      </c>
      <c r="D32" s="2" t="inlineStr">
        <is>
          <t>본공사</t>
        </is>
      </c>
      <c r="E32" s="3" t="n">
        <v>23.9</v>
      </c>
      <c r="F32" s="4" t="n">
        <v>35673000</v>
      </c>
      <c r="G32" s="4">
        <f>IF(AND(E32&gt;0,F32&gt;0),F32/E32,"")</f>
        <v/>
      </c>
      <c r="H32" s="2" t="inlineStr">
        <is>
          <t>250403_정우상가뷰티샵.xls</t>
        </is>
      </c>
    </row>
    <row r="33">
      <c r="A33" s="2" t="inlineStr">
        <is>
          <t>2025년</t>
        </is>
      </c>
      <c r="B33" s="2" t="inlineStr">
        <is>
          <t>함안뷰티샵</t>
        </is>
      </c>
      <c r="C33" s="2" t="inlineStr">
        <is>
          <t>뷰티/미용</t>
        </is>
      </c>
      <c r="D33" s="2" t="inlineStr">
        <is>
          <t>본공사</t>
        </is>
      </c>
      <c r="E33" s="3" t="n">
        <v>12.9</v>
      </c>
      <c r="F33" s="4" t="n">
        <v>29205000</v>
      </c>
      <c r="G33" s="4">
        <f>IF(AND(E33&gt;0,F33&gt;0),F33/E33,"")</f>
        <v/>
      </c>
      <c r="H33" s="2" t="inlineStr">
        <is>
          <t>250410_함안뷰티샵(최종본).xls</t>
        </is>
      </c>
    </row>
    <row r="34">
      <c r="A34" s="2" t="inlineStr">
        <is>
          <t>2025년</t>
        </is>
      </c>
      <c r="B34" s="2" t="inlineStr">
        <is>
          <t>경남산소</t>
        </is>
      </c>
      <c r="C34" s="2" t="inlineStr">
        <is>
          <t>상업/기타</t>
        </is>
      </c>
      <c r="D34" s="2" t="inlineStr">
        <is>
          <t>본공사</t>
        </is>
      </c>
      <c r="E34" s="3" t="n">
        <v>26.6</v>
      </c>
      <c r="F34" s="4" t="n">
        <v>72204000</v>
      </c>
      <c r="G34" s="4">
        <f>IF(AND(E34&gt;0,F34&gt;0),F34/E34,"")</f>
        <v/>
      </c>
      <c r="H34" s="2" t="inlineStr">
        <is>
          <t>250423_경남산소(최종본).xls</t>
        </is>
      </c>
    </row>
    <row r="35">
      <c r="A35" s="2" t="inlineStr">
        <is>
          <t>2025년</t>
        </is>
      </c>
      <c r="B35" s="2" t="inlineStr">
        <is>
          <t>진례제일전자공업</t>
        </is>
      </c>
      <c r="C35" s="2" t="inlineStr">
        <is>
          <t>상업/기타</t>
        </is>
      </c>
      <c r="D35" s="2" t="inlineStr">
        <is>
          <t>본공사</t>
        </is>
      </c>
      <c r="E35" s="3" t="n">
        <v>25.7</v>
      </c>
      <c r="F35" s="4" t="n">
        <v>58190000</v>
      </c>
      <c r="G35" s="4">
        <f>IF(AND(E35&gt;0,F35&gt;0),F35/E35,"")</f>
        <v/>
      </c>
      <c r="H35" s="2" t="inlineStr">
        <is>
          <t>250502_제일전자전시장(정의석위원님).xlsb</t>
        </is>
      </c>
    </row>
    <row r="36">
      <c r="A36" s="2" t="inlineStr">
        <is>
          <t>2025년</t>
        </is>
      </c>
      <c r="B36" s="2" t="inlineStr">
        <is>
          <t>진해 이우철 삼계탕</t>
        </is>
      </c>
      <c r="C36" s="2" t="inlineStr">
        <is>
          <t>식음료</t>
        </is>
      </c>
      <c r="D36" s="2" t="inlineStr">
        <is>
          <t>본공사</t>
        </is>
      </c>
      <c r="E36" s="3" t="n">
        <v>110.4</v>
      </c>
      <c r="F36" s="4" t="n">
        <v>99320000</v>
      </c>
      <c r="G36" s="4">
        <f>IF(AND(E36&gt;0,F36&gt;0),F36/E36,"")</f>
        <v/>
      </c>
      <c r="H36" s="2" t="inlineStr">
        <is>
          <t>250508_진해 이우철누릉지삼계탕(철거제외).xls</t>
        </is>
      </c>
    </row>
    <row r="37">
      <c r="A37" s="2" t="inlineStr">
        <is>
          <t>2025년</t>
        </is>
      </c>
      <c r="B37" s="2" t="inlineStr">
        <is>
          <t>진해 이우철 삼계탕</t>
        </is>
      </c>
      <c r="C37" s="2" t="inlineStr">
        <is>
          <t>식음료</t>
        </is>
      </c>
      <c r="D37" s="2" t="inlineStr">
        <is>
          <t>추가공사</t>
        </is>
      </c>
      <c r="E37" s="3" t="n"/>
      <c r="F37" s="4" t="n">
        <v>17985000</v>
      </c>
      <c r="G37" s="4">
        <f>IF(AND(E37&gt;0,F37&gt;0),F37/E37,"")</f>
        <v/>
      </c>
      <c r="H37" s="2" t="inlineStr">
        <is>
          <t>250529_진해 누릉지삼계탕 추가공사.xlsb</t>
        </is>
      </c>
    </row>
    <row r="38">
      <c r="A38" s="2" t="inlineStr">
        <is>
          <t>2025년</t>
        </is>
      </c>
      <c r="B38" s="2" t="inlineStr">
        <is>
          <t>경남산소</t>
        </is>
      </c>
      <c r="C38" s="2" t="inlineStr">
        <is>
          <t>상업/기타</t>
        </is>
      </c>
      <c r="D38" s="2" t="inlineStr">
        <is>
          <t>추가공사</t>
        </is>
      </c>
      <c r="E38" s="3" t="n"/>
      <c r="F38" s="4" t="n">
        <v>5016000</v>
      </c>
      <c r="G38" s="4">
        <f>IF(AND(E38&gt;0,F38&gt;0),F38/E38,"")</f>
        <v/>
      </c>
      <c r="H38" s="2" t="inlineStr">
        <is>
          <t>250531_경남산소 추가견적서.xlsb</t>
        </is>
      </c>
    </row>
    <row r="39">
      <c r="A39" s="2" t="inlineStr">
        <is>
          <t>2025년</t>
        </is>
      </c>
      <c r="B39" s="2" t="inlineStr">
        <is>
          <t>구산면 도만카페</t>
        </is>
      </c>
      <c r="C39" s="2" t="inlineStr">
        <is>
          <t>식음료</t>
        </is>
      </c>
      <c r="D39" s="2" t="inlineStr">
        <is>
          <t>본공사</t>
        </is>
      </c>
      <c r="E39" s="3" t="n">
        <v>39.6</v>
      </c>
      <c r="F39" s="4" t="n">
        <v>178607000</v>
      </c>
      <c r="G39" s="4">
        <f>IF(AND(E39&gt;0,F39&gt;0),F39/E39,"")</f>
        <v/>
      </c>
      <c r="H39" s="2" t="inlineStr">
        <is>
          <t>250603_도만카페 견적서.xlsb</t>
        </is>
      </c>
    </row>
    <row r="40">
      <c r="A40" s="2" t="inlineStr">
        <is>
          <t>2025년</t>
        </is>
      </c>
      <c r="B40" s="2" t="inlineStr">
        <is>
          <t>이홍열법률사무소</t>
        </is>
      </c>
      <c r="C40" s="2" t="inlineStr">
        <is>
          <t>사무실</t>
        </is>
      </c>
      <c r="D40" s="2" t="inlineStr">
        <is>
          <t>본공사</t>
        </is>
      </c>
      <c r="E40" s="3" t="n">
        <v>31</v>
      </c>
      <c r="F40" s="4" t="n">
        <v>53119000</v>
      </c>
      <c r="G40" s="4">
        <f>IF(AND(E40&gt;0,F40&gt;0),F40/E40,"")</f>
        <v/>
      </c>
      <c r="H40" s="2" t="inlineStr">
        <is>
          <t>250618_이홍렬법률사무소(최종본).xlsb</t>
        </is>
      </c>
    </row>
    <row r="41">
      <c r="A41" s="2" t="inlineStr">
        <is>
          <t>2025년</t>
        </is>
      </c>
      <c r="B41" s="2" t="inlineStr">
        <is>
          <t>세영테크놀리지</t>
        </is>
      </c>
      <c r="C41" s="2" t="inlineStr">
        <is>
          <t>사무실</t>
        </is>
      </c>
      <c r="D41" s="2" t="inlineStr">
        <is>
          <t>부분공사</t>
        </is>
      </c>
      <c r="E41" s="3" t="n"/>
      <c r="F41" s="4" t="n">
        <v>6127000</v>
      </c>
      <c r="G41" s="4">
        <f>IF(AND(E41&gt;0,F41&gt;0),F41/E41,"")</f>
        <v/>
      </c>
      <c r="H41" s="2" t="inlineStr">
        <is>
          <t>250628_(주)세영테크놀리지(최종본).xlsb</t>
        </is>
      </c>
    </row>
    <row r="42">
      <c r="A42" s="2" t="inlineStr">
        <is>
          <t>2025년</t>
        </is>
      </c>
      <c r="B42" s="2" t="inlineStr">
        <is>
          <t>스포츠가치센터</t>
        </is>
      </c>
      <c r="C42" s="2" t="inlineStr">
        <is>
          <t>대학/공공</t>
        </is>
      </c>
      <c r="D42" s="2" t="inlineStr">
        <is>
          <t>부분공사</t>
        </is>
      </c>
      <c r="E42" s="3" t="n"/>
      <c r="F42" s="4" t="n">
        <v>36905000</v>
      </c>
      <c r="G42" s="4">
        <f>IF(AND(E42&gt;0,F42&gt;0),F42/E42,"")</f>
        <v/>
      </c>
      <c r="H42" s="2" t="inlineStr">
        <is>
          <t>250701_kspo스포츠가치센터 흡연부스 및 휴게공간(최종본).xlsb</t>
        </is>
      </c>
    </row>
    <row r="43">
      <c r="A43" s="2" t="inlineStr">
        <is>
          <t>2025년</t>
        </is>
      </c>
      <c r="B43" s="2" t="inlineStr">
        <is>
          <t>팔용동사진관</t>
        </is>
      </c>
      <c r="C43" s="2" t="inlineStr">
        <is>
          <t>상업/기타</t>
        </is>
      </c>
      <c r="D43" s="2" t="inlineStr">
        <is>
          <t>부분공사</t>
        </is>
      </c>
      <c r="E43" s="3" t="n">
        <v>15.1</v>
      </c>
      <c r="F43" s="4" t="n">
        <v>8085000</v>
      </c>
      <c r="G43" s="4">
        <f>IF(AND(E43&gt;0,F43&gt;0),F43/E43,"")</f>
        <v/>
      </c>
      <c r="H43" s="2" t="inlineStr">
        <is>
          <t>250701_팔용동사진관.xlsb</t>
        </is>
      </c>
    </row>
    <row r="44">
      <c r="A44" s="2" t="inlineStr">
        <is>
          <t>2025년</t>
        </is>
      </c>
      <c r="B44" s="2" t="inlineStr">
        <is>
          <t>HD현대마린엔진</t>
        </is>
      </c>
      <c r="C44" s="2" t="inlineStr">
        <is>
          <t>상업/기타</t>
        </is>
      </c>
      <c r="D44" s="2" t="inlineStr">
        <is>
          <t>특수</t>
        </is>
      </c>
      <c r="E44" s="3" t="n">
        <v>75.59999999999999</v>
      </c>
      <c r="F44" s="4" t="n">
        <v>22594000</v>
      </c>
      <c r="G44" s="4">
        <f>IF(AND(E44&gt;0,F44&gt;0),F44/E44,"")</f>
        <v/>
      </c>
      <c r="H44" s="2" t="inlineStr">
        <is>
          <t>250708_HD현대마린엔진 견적서 (공사)-최종본.xlsb</t>
        </is>
      </c>
    </row>
    <row r="45">
      <c r="A45" s="2" t="inlineStr">
        <is>
          <t>2025년</t>
        </is>
      </c>
      <c r="B45" s="2" t="inlineStr">
        <is>
          <t xml:space="preserve"> PNU 펜토미노 교육과정 원예생명과학과 강의실 환경개선 공사</t>
        </is>
      </c>
      <c r="C45" s="2" t="inlineStr">
        <is>
          <t>대학/공공</t>
        </is>
      </c>
      <c r="D45" s="2" t="inlineStr">
        <is>
          <t>본공사</t>
        </is>
      </c>
      <c r="E45" s="3" t="n">
        <v>24.2</v>
      </c>
      <c r="F45" s="4" t="n">
        <v>33500000</v>
      </c>
      <c r="G45" s="4">
        <f>IF(AND(E45&gt;0,F45&gt;0),F45/E45,"")</f>
        <v/>
      </c>
      <c r="H45" s="2" t="inlineStr">
        <is>
          <t>250726_부산대밀양캠퍼스 원예학과(학과도서실)-최종본.xlsb</t>
        </is>
      </c>
    </row>
    <row r="46">
      <c r="A46" s="2" t="inlineStr">
        <is>
          <t>2025년</t>
        </is>
      </c>
      <c r="B46" s="2" t="inlineStr">
        <is>
          <t>중동미용실</t>
        </is>
      </c>
      <c r="C46" s="2" t="inlineStr">
        <is>
          <t>뷰티/미용</t>
        </is>
      </c>
      <c r="D46" s="2" t="inlineStr">
        <is>
          <t>본공사</t>
        </is>
      </c>
      <c r="E46" s="3" t="n">
        <v>7.1</v>
      </c>
      <c r="F46" s="4" t="n">
        <v>18282000</v>
      </c>
      <c r="G46" s="4">
        <f>IF(AND(E46&gt;0,F46&gt;0),F46/E46,"")</f>
        <v/>
      </c>
      <c r="H46" s="2" t="inlineStr">
        <is>
          <t>250802_중동미용실(최종본).xlsb</t>
        </is>
      </c>
    </row>
    <row r="47">
      <c r="A47" s="2" t="inlineStr">
        <is>
          <t>2025년</t>
        </is>
      </c>
      <c r="B47" s="2" t="inlineStr">
        <is>
          <t>진영 HNS 휴게실,온수기</t>
        </is>
      </c>
      <c r="C47" s="2" t="inlineStr">
        <is>
          <t>상업/기타</t>
        </is>
      </c>
      <c r="D47" s="2" t="inlineStr">
        <is>
          <t>부분공사</t>
        </is>
      </c>
      <c r="E47" s="3" t="n"/>
      <c r="F47" s="4" t="n">
        <v>1518000</v>
      </c>
      <c r="G47" s="4">
        <f>IF(AND(E47&gt;0,F47&gt;0),F47/E47,"")</f>
        <v/>
      </c>
      <c r="H47" s="2" t="inlineStr">
        <is>
          <t>250811_진영 HNS 온수기.xlsb</t>
        </is>
      </c>
    </row>
    <row r="48">
      <c r="A48" s="2" t="inlineStr">
        <is>
          <t>2025년</t>
        </is>
      </c>
      <c r="B48" s="2" t="inlineStr">
        <is>
          <t>진영 HNS 휴게실,온수기</t>
        </is>
      </c>
      <c r="C48" s="2" t="inlineStr">
        <is>
          <t>상업/기타</t>
        </is>
      </c>
      <c r="D48" s="2" t="inlineStr">
        <is>
          <t>부분공사</t>
        </is>
      </c>
      <c r="E48" s="3" t="n"/>
      <c r="F48" s="4" t="n">
        <v>7579000</v>
      </c>
      <c r="G48" s="4">
        <f>IF(AND(E48&gt;0,F48&gt;0),F48/E48,"")</f>
        <v/>
      </c>
      <c r="H48" s="2" t="inlineStr">
        <is>
          <t>250825_진영 HNS 휴게실 .xlsb</t>
        </is>
      </c>
    </row>
    <row r="49">
      <c r="A49" s="2" t="inlineStr">
        <is>
          <t>2025년</t>
        </is>
      </c>
      <c r="B49" s="2" t="inlineStr">
        <is>
          <t>진해 디아크마린</t>
        </is>
      </c>
      <c r="C49" s="2" t="inlineStr">
        <is>
          <t>식음료</t>
        </is>
      </c>
      <c r="D49" s="2" t="inlineStr">
        <is>
          <t>본공사</t>
        </is>
      </c>
      <c r="E49" s="3" t="n">
        <v>59.3</v>
      </c>
      <c r="F49" s="4" t="n">
        <v>76824000</v>
      </c>
      <c r="G49" s="4">
        <f>IF(AND(E49&gt;0,F49&gt;0),F49/E49,"")</f>
        <v/>
      </c>
      <c r="H49" s="2" t="inlineStr">
        <is>
          <t>250829_진해 디아크마린 (최종본).xlsb</t>
        </is>
      </c>
    </row>
    <row r="50">
      <c r="A50" s="2" t="inlineStr">
        <is>
          <t>2025년</t>
        </is>
      </c>
      <c r="B50" s="2" t="inlineStr">
        <is>
          <t>한국산업단지공단(인테리어)</t>
        </is>
      </c>
      <c r="C50" s="2" t="inlineStr">
        <is>
          <t>대학/공공</t>
        </is>
      </c>
      <c r="D50" s="2" t="inlineStr">
        <is>
          <t>부분공사</t>
        </is>
      </c>
      <c r="E50" s="3" t="n">
        <v>116.2</v>
      </c>
      <c r="F50" s="4" t="n">
        <v>21824000</v>
      </c>
      <c r="G50" s="4">
        <f>IF(AND(E50&gt;0,F50&gt;0),F50/E50,"")</f>
        <v/>
      </c>
      <c r="H50" s="2" t="inlineStr">
        <is>
          <t>250902_한국산업단지공단(인테리어).xlsb</t>
        </is>
      </c>
    </row>
    <row r="51">
      <c r="A51" s="2" t="inlineStr">
        <is>
          <t>2025년</t>
        </is>
      </c>
      <c r="B51" s="2" t="inlineStr">
        <is>
          <t>법무법인DH</t>
        </is>
      </c>
      <c r="C51" s="2" t="inlineStr">
        <is>
          <t>사무실</t>
        </is>
      </c>
      <c r="D51" s="2" t="inlineStr">
        <is>
          <t>본공사</t>
        </is>
      </c>
      <c r="E51" s="3" t="n">
        <v>34.5</v>
      </c>
      <c r="F51" s="4" t="n">
        <v>45001000</v>
      </c>
      <c r="G51" s="4">
        <f>IF(AND(E51&gt;0,F51&gt;0),F51/E51,"")</f>
        <v/>
      </c>
      <c r="H51" s="2" t="inlineStr">
        <is>
          <t>250908_DH법무법인.xlsb</t>
        </is>
      </c>
    </row>
    <row r="52">
      <c r="A52" s="2" t="inlineStr">
        <is>
          <t>2025년</t>
        </is>
      </c>
      <c r="B52" s="2" t="inlineStr">
        <is>
          <t>서경방송</t>
        </is>
      </c>
      <c r="C52" s="2" t="inlineStr">
        <is>
          <t>상업/기타</t>
        </is>
      </c>
      <c r="D52" s="2" t="inlineStr">
        <is>
          <t>본공사</t>
        </is>
      </c>
      <c r="E52" s="3" t="n">
        <v>158.2</v>
      </c>
      <c r="F52" s="4" t="n">
        <v>291236000</v>
      </c>
      <c r="G52" s="4">
        <f>IF(AND(E52&gt;0,F52&gt;0),F52/E52,"")</f>
        <v/>
      </c>
      <c r="H52" s="2" t="inlineStr">
        <is>
          <t>250917_서경방송(최종본).xlsb</t>
        </is>
      </c>
    </row>
    <row r="53">
      <c r="A53" s="2" t="inlineStr">
        <is>
          <t>2025년</t>
        </is>
      </c>
      <c r="B53" s="2" t="inlineStr">
        <is>
          <t>회원동교습소</t>
        </is>
      </c>
      <c r="C53" s="2" t="inlineStr">
        <is>
          <t>학원/교습소</t>
        </is>
      </c>
      <c r="D53" s="2" t="inlineStr">
        <is>
          <t>본공사</t>
        </is>
      </c>
      <c r="E53" s="3" t="n">
        <v>25.7</v>
      </c>
      <c r="F53" s="4" t="n">
        <v>30338000</v>
      </c>
      <c r="G53" s="4">
        <f>IF(AND(E53&gt;0,F53&gt;0),F53/E53,"")</f>
        <v/>
      </c>
      <c r="H53" s="2" t="inlineStr">
        <is>
          <t>250917_회원동교습소.xlsb</t>
        </is>
      </c>
    </row>
    <row r="54">
      <c r="A54" s="2" t="inlineStr">
        <is>
          <t>2025년</t>
        </is>
      </c>
      <c r="B54" s="2" t="inlineStr">
        <is>
          <t>내동교습소</t>
        </is>
      </c>
      <c r="C54" s="2" t="inlineStr">
        <is>
          <t>학원/교습소</t>
        </is>
      </c>
      <c r="D54" s="2" t="inlineStr">
        <is>
          <t>본공사</t>
        </is>
      </c>
      <c r="E54" s="3" t="n">
        <v>12.4</v>
      </c>
      <c r="F54" s="4" t="n">
        <v>18282000</v>
      </c>
      <c r="G54" s="4">
        <f>IF(AND(E54&gt;0,F54&gt;0),F54/E54,"")</f>
        <v/>
      </c>
      <c r="H54" s="2" t="inlineStr">
        <is>
          <t>251013_내동교습소견적서최종본.xlsb</t>
        </is>
      </c>
    </row>
    <row r="55">
      <c r="A55" s="2" t="inlineStr">
        <is>
          <t>2025년</t>
        </is>
      </c>
      <c r="B55" s="2" t="inlineStr">
        <is>
          <t>동전산단 사무실 부분인테리어</t>
        </is>
      </c>
      <c r="C55" s="2" t="inlineStr">
        <is>
          <t>사무실</t>
        </is>
      </c>
      <c r="D55" s="2" t="inlineStr">
        <is>
          <t>부분공사</t>
        </is>
      </c>
      <c r="E55" s="3" t="n"/>
      <c r="F55" s="4" t="n">
        <v>8976000</v>
      </c>
      <c r="G55" s="4">
        <f>IF(AND(E55&gt;0,F55&gt;0),F55/E55,"")</f>
        <v/>
      </c>
      <c r="H55" s="2" t="inlineStr">
        <is>
          <t>251013_동전산단 사무실 부분인테리어.xlsb</t>
        </is>
      </c>
    </row>
    <row r="56">
      <c r="A56" s="2" t="inlineStr">
        <is>
          <t>2025년</t>
        </is>
      </c>
      <c r="B56" s="2" t="inlineStr">
        <is>
          <t>서경방송</t>
        </is>
      </c>
      <c r="C56" s="2" t="inlineStr">
        <is>
          <t>상업/기타</t>
        </is>
      </c>
      <c r="D56" s="2" t="inlineStr">
        <is>
          <t>추가공사</t>
        </is>
      </c>
      <c r="E56" s="3" t="n"/>
      <c r="F56" s="4" t="n">
        <v>22869000</v>
      </c>
      <c r="G56" s="4">
        <f>IF(AND(E56&gt;0,F56&gt;0),F56/E56,"")</f>
        <v/>
      </c>
      <c r="H56" s="2" t="inlineStr">
        <is>
          <t>251017_서경방송추가공사.xlsb</t>
        </is>
      </c>
    </row>
    <row r="57">
      <c r="A57" s="2" t="inlineStr">
        <is>
          <t>2025년</t>
        </is>
      </c>
      <c r="B57" s="2" t="inlineStr">
        <is>
          <t>에이지로보틱스 경남창조혁신센터 사무실</t>
        </is>
      </c>
      <c r="C57" s="2" t="inlineStr">
        <is>
          <t>사무실</t>
        </is>
      </c>
      <c r="D57" s="2" t="inlineStr">
        <is>
          <t>본공사</t>
        </is>
      </c>
      <c r="E57" s="3" t="n">
        <v>45.4</v>
      </c>
      <c r="F57" s="4" t="n">
        <v>32494000</v>
      </c>
      <c r="G57" s="4">
        <f>IF(AND(E57&gt;0,F57&gt;0),F57/E57,"")</f>
        <v/>
      </c>
      <c r="H57" s="2" t="inlineStr">
        <is>
          <t>251030_에이지로보틱스 경남창조혁신센터 사무실(최종본).xls</t>
        </is>
      </c>
    </row>
    <row r="58">
      <c r="A58" s="2" t="inlineStr">
        <is>
          <t>2025년</t>
        </is>
      </c>
      <c r="B58" s="2" t="inlineStr">
        <is>
          <t>나라정보시스템</t>
        </is>
      </c>
      <c r="C58" s="2" t="inlineStr">
        <is>
          <t>사무실</t>
        </is>
      </c>
      <c r="D58" s="2" t="inlineStr">
        <is>
          <t>본공사</t>
        </is>
      </c>
      <c r="E58" s="3" t="n">
        <v>10.6</v>
      </c>
      <c r="F58" s="4" t="n">
        <v>17578000</v>
      </c>
      <c r="G58" s="4">
        <f>IF(AND(E58&gt;0,F58&gt;0),F58/E58,"")</f>
        <v/>
      </c>
      <c r="H58" s="2" t="inlineStr">
        <is>
          <t>251120_ 시티세븐 나라정보시스템 사무실 (최종본).xlsb</t>
        </is>
      </c>
    </row>
    <row r="59">
      <c r="A59" s="2" t="inlineStr">
        <is>
          <t>2025년</t>
        </is>
      </c>
      <c r="B59" s="2" t="inlineStr">
        <is>
          <t>현동바버샵</t>
        </is>
      </c>
      <c r="C59" s="2" t="inlineStr">
        <is>
          <t>뷰티/미용</t>
        </is>
      </c>
      <c r="D59" s="2" t="inlineStr">
        <is>
          <t>본공사</t>
        </is>
      </c>
      <c r="E59" s="3" t="n">
        <v>13.6</v>
      </c>
      <c r="F59" s="4" t="n">
        <v>30437000</v>
      </c>
      <c r="G59" s="4">
        <f>IF(AND(E59&gt;0,F59&gt;0),F59/E59,"")</f>
        <v/>
      </c>
      <c r="H59" s="2" t="inlineStr">
        <is>
          <t>251211_현동바버샵.xlsb</t>
        </is>
      </c>
    </row>
    <row r="60">
      <c r="A60" s="2" t="inlineStr">
        <is>
          <t>2026년</t>
        </is>
      </c>
      <c r="B60" s="2" t="inlineStr">
        <is>
          <t>토킹영어학원</t>
        </is>
      </c>
      <c r="C60" s="2" t="inlineStr">
        <is>
          <t>학원/교습소</t>
        </is>
      </c>
      <c r="D60" s="2" t="inlineStr">
        <is>
          <t>부분공사</t>
        </is>
      </c>
      <c r="E60" s="3" t="n"/>
      <c r="F60" s="4" t="n">
        <v>4862000</v>
      </c>
      <c r="G60" s="4">
        <f>IF(AND(E60&gt;0,F60&gt;0),F60/E60,"")</f>
        <v/>
      </c>
      <c r="H60" s="2" t="inlineStr">
        <is>
          <t>2260105_토킹영어학원(최종본).xlsb</t>
        </is>
      </c>
    </row>
    <row r="61">
      <c r="A61" s="2" t="inlineStr">
        <is>
          <t>2026년</t>
        </is>
      </c>
      <c r="B61" s="2" t="inlineStr">
        <is>
          <t>2025 PNU 펜토미노 융합전공 원예생명과학과 환경개선 공사</t>
        </is>
      </c>
      <c r="C61" s="2" t="inlineStr">
        <is>
          <t>대학/공공</t>
        </is>
      </c>
      <c r="D61" s="2" t="inlineStr">
        <is>
          <t>본공사</t>
        </is>
      </c>
      <c r="E61" s="3" t="n"/>
      <c r="F61" s="4" t="n">
        <v>24112000</v>
      </c>
      <c r="G61" s="4">
        <f>IF(AND(E61&gt;0,F61&gt;0),F61/E61,"")</f>
        <v/>
      </c>
      <c r="H61" s="2" t="inlineStr">
        <is>
          <t>251224_부산대밀양캠퍼스 원예학과(학과인포메이션).xlsb</t>
        </is>
      </c>
    </row>
    <row r="62">
      <c r="A62" s="2" t="inlineStr">
        <is>
          <t>2026년</t>
        </is>
      </c>
      <c r="B62" s="2" t="inlineStr">
        <is>
          <t>대상힐스 미용실</t>
        </is>
      </c>
      <c r="C62" s="2" t="inlineStr">
        <is>
          <t>뷰티/미용</t>
        </is>
      </c>
      <c r="D62" s="2" t="inlineStr">
        <is>
          <t>본공사</t>
        </is>
      </c>
      <c r="E62" s="3" t="n">
        <v>12.1</v>
      </c>
      <c r="F62" s="4" t="n">
        <v>30800000</v>
      </c>
      <c r="G62" s="4">
        <f>IF(AND(E62&gt;0,F62&gt;0),F62/E62,"")</f>
        <v/>
      </c>
      <c r="H62" s="2" t="inlineStr">
        <is>
          <t>251225_대상힐스 미용실(최종본).xlsb</t>
        </is>
      </c>
    </row>
    <row r="63">
      <c r="A63" s="2" t="inlineStr">
        <is>
          <t>2026년</t>
        </is>
      </c>
      <c r="B63" s="2" t="inlineStr">
        <is>
          <t>어반브릭스 기타 학원</t>
        </is>
      </c>
      <c r="C63" s="2" t="inlineStr">
        <is>
          <t>학원/교습소</t>
        </is>
      </c>
      <c r="D63" s="2" t="inlineStr">
        <is>
          <t>본공사</t>
        </is>
      </c>
      <c r="E63" s="3" t="n">
        <v>12.2</v>
      </c>
      <c r="F63" s="4" t="n">
        <v>11836000</v>
      </c>
      <c r="G63" s="4">
        <f>IF(AND(E63&gt;0,F63&gt;0),F63/E63,"")</f>
        <v/>
      </c>
      <c r="H63" s="2" t="inlineStr">
        <is>
          <t>260202_어반브릭스 기타학원(1316호)-최종본.xlsb</t>
        </is>
      </c>
    </row>
    <row r="64">
      <c r="A64" s="2" t="inlineStr">
        <is>
          <t>2026년</t>
        </is>
      </c>
      <c r="B64" s="2" t="inlineStr">
        <is>
          <t>현대마린엔진대표실(샷시)</t>
        </is>
      </c>
      <c r="C64" s="2" t="inlineStr">
        <is>
          <t>사무실</t>
        </is>
      </c>
      <c r="D64" s="2" t="inlineStr">
        <is>
          <t>부분공사</t>
        </is>
      </c>
      <c r="E64" s="3" t="n"/>
      <c r="F64" s="4" t="n">
        <v>10593000</v>
      </c>
      <c r="G64" s="4">
        <f>IF(AND(E64&gt;0,F64&gt;0),F64/E64,"")</f>
        <v/>
      </c>
      <c r="H64" s="2" t="inlineStr">
        <is>
          <t>260204_현대마린엔진대표실(샷시)_최종본.xlsb</t>
        </is>
      </c>
    </row>
    <row r="65">
      <c r="A65" s="2" t="inlineStr">
        <is>
          <t>2026년</t>
        </is>
      </c>
      <c r="B65" s="2" t="inlineStr">
        <is>
          <t>RISE 기능성푸드평가 동물조직분석실 교육 환경 개선 공사</t>
        </is>
      </c>
      <c r="C65" s="2" t="inlineStr">
        <is>
          <t>대학/공공</t>
        </is>
      </c>
      <c r="D65" s="2" t="inlineStr">
        <is>
          <t>본공사</t>
        </is>
      </c>
      <c r="E65" s="3" t="n"/>
      <c r="F65" s="4" t="n">
        <v>10000000</v>
      </c>
      <c r="G65" s="4">
        <f>IF(AND(E65&gt;0,F65&gt;0),F65/E65,"")</f>
        <v/>
      </c>
      <c r="H65" s="2" t="inlineStr">
        <is>
          <t>260209_부산대 바이오소재학과.xlsb</t>
        </is>
      </c>
    </row>
    <row r="66">
      <c r="A66" s="2" t="inlineStr">
        <is>
          <t>2026년</t>
        </is>
      </c>
      <c r="B66" s="2" t="inlineStr">
        <is>
          <t>감계아내202동605호</t>
        </is>
      </c>
      <c r="C66" s="2" t="inlineStr">
        <is>
          <t>주거</t>
        </is>
      </c>
      <c r="D66" s="2" t="inlineStr">
        <is>
          <t>본공사</t>
        </is>
      </c>
      <c r="E66" s="3" t="n"/>
      <c r="F66" s="4" t="n">
        <v>13354000</v>
      </c>
      <c r="G66" s="4">
        <f>IF(AND(E66&gt;0,F66&gt;0),F66/E66,"")</f>
        <v/>
      </c>
      <c r="H66" s="2" t="inlineStr">
        <is>
          <t>260213_감계 아내 202동 605호.xlsb</t>
        </is>
      </c>
    </row>
    <row r="67">
      <c r="A67" s="2" t="inlineStr">
        <is>
          <t>2026년</t>
        </is>
      </c>
      <c r="B67" s="2" t="inlineStr">
        <is>
          <t>JD6층힉원</t>
        </is>
      </c>
      <c r="C67" s="2" t="inlineStr">
        <is>
          <t>학원/교습소</t>
        </is>
      </c>
      <c r="D67" s="2" t="inlineStr">
        <is>
          <t>본공사</t>
        </is>
      </c>
      <c r="E67" s="3" t="n"/>
      <c r="F67" s="4" t="n">
        <v>10857000</v>
      </c>
      <c r="G67" s="4">
        <f>IF(AND(E67&gt;0,F67&gt;0),F67/E67,"")</f>
        <v/>
      </c>
      <c r="H67" s="2" t="inlineStr">
        <is>
          <t>260219_JD윙스 6층 영어학원.xlsb</t>
        </is>
      </c>
    </row>
    <row r="68">
      <c r="A68" s="2" t="inlineStr">
        <is>
          <t>2026년</t>
        </is>
      </c>
      <c r="B68" s="2" t="inlineStr">
        <is>
          <t>밀양미부닥트(주)</t>
        </is>
      </c>
      <c r="C68" s="2" t="inlineStr">
        <is>
          <t>상업/기타</t>
        </is>
      </c>
      <c r="D68" s="2" t="inlineStr">
        <is>
          <t>부분공사</t>
        </is>
      </c>
      <c r="E68" s="3" t="n"/>
      <c r="F68" s="4" t="n">
        <v>8514000</v>
      </c>
      <c r="G68" s="4">
        <f>IF(AND(E68&gt;0,F68&gt;0),F68/E68,"")</f>
        <v/>
      </c>
      <c r="H68" s="2" t="inlineStr">
        <is>
          <t>260220_밀양 미부닥트(주)- 금속작업.xlsb</t>
        </is>
      </c>
    </row>
    <row r="69">
      <c r="A69" s="2" t="inlineStr">
        <is>
          <t>2026년</t>
        </is>
      </c>
      <c r="B69" s="2" t="inlineStr">
        <is>
          <t>장유사무실</t>
        </is>
      </c>
      <c r="C69" s="2" t="inlineStr">
        <is>
          <t>사무실</t>
        </is>
      </c>
      <c r="D69" s="2" t="inlineStr">
        <is>
          <t>본공사</t>
        </is>
      </c>
      <c r="E69" s="3" t="n">
        <v>34.8</v>
      </c>
      <c r="F69" s="4" t="n">
        <v>24090000</v>
      </c>
      <c r="G69" s="4">
        <f>IF(AND(E69&gt;0,F69&gt;0),F69/E69,"")</f>
        <v/>
      </c>
      <c r="H69" s="2" t="inlineStr">
        <is>
          <t>260302_장유대청동 사무실인테리어.xlsb</t>
        </is>
      </c>
    </row>
    <row r="70">
      <c r="A70" s="2" t="inlineStr">
        <is>
          <t>2026년</t>
        </is>
      </c>
      <c r="B70" s="2" t="inlineStr">
        <is>
          <t>JD6층힉원</t>
        </is>
      </c>
      <c r="C70" s="2" t="inlineStr">
        <is>
          <t>학원/교습소</t>
        </is>
      </c>
      <c r="D70" s="2" t="inlineStr">
        <is>
          <t>추가공사</t>
        </is>
      </c>
      <c r="E70" s="3" t="n"/>
      <c r="F70" s="4" t="n">
        <v>2816000</v>
      </c>
      <c r="G70" s="4">
        <f>IF(AND(E70&gt;0,F70&gt;0),F70/E70,"")</f>
        <v/>
      </c>
      <c r="H70" s="2" t="inlineStr">
        <is>
          <t>260303_JD윙스6층 영어학원 추가견적서.xlsb</t>
        </is>
      </c>
    </row>
    <row r="71">
      <c r="A71" s="2" t="inlineStr">
        <is>
          <t>2026년</t>
        </is>
      </c>
      <c r="B71" s="2" t="inlineStr">
        <is>
          <t>경남 테크노파크</t>
        </is>
      </c>
      <c r="C71" s="2" t="inlineStr">
        <is>
          <t>대학/공공</t>
        </is>
      </c>
      <c r="D71" s="2" t="inlineStr">
        <is>
          <t>부분공사</t>
        </is>
      </c>
      <c r="E71" s="3" t="n"/>
      <c r="F71" s="4" t="n">
        <v>4268000</v>
      </c>
      <c r="G71" s="4">
        <f>IF(AND(E71&gt;0,F71&gt;0),F71/E71,"")</f>
        <v/>
      </c>
      <c r="H71" s="2" t="inlineStr">
        <is>
          <t>260305_경남 테크노파크-최종본.xlsb</t>
        </is>
      </c>
    </row>
    <row r="72">
      <c r="A72" s="2" t="inlineStr">
        <is>
          <t>2026년</t>
        </is>
      </c>
      <c r="B72" s="2" t="inlineStr">
        <is>
          <t>어반브릭스 국어교습소</t>
        </is>
      </c>
      <c r="C72" s="2" t="inlineStr">
        <is>
          <t>학원/교습소</t>
        </is>
      </c>
      <c r="D72" s="2" t="inlineStr">
        <is>
          <t>부분공사</t>
        </is>
      </c>
      <c r="E72" s="3" t="n"/>
      <c r="F72" s="4" t="n">
        <v>1683000</v>
      </c>
      <c r="G72" s="4">
        <f>IF(AND(E72&gt;0,F72&gt;0),F72/E72,"")</f>
        <v/>
      </c>
      <c r="H72" s="2" t="inlineStr">
        <is>
          <t>260310_어반브릭스1312호.xlsb</t>
        </is>
      </c>
    </row>
    <row r="73">
      <c r="A73" s="2" t="inlineStr">
        <is>
          <t>2026년</t>
        </is>
      </c>
      <c r="B73" s="2" t="inlineStr">
        <is>
          <t>헥사곤 사인물</t>
        </is>
      </c>
      <c r="C73" s="2" t="inlineStr">
        <is>
          <t>상업/기타</t>
        </is>
      </c>
      <c r="D73" s="2" t="inlineStr">
        <is>
          <t>부분공사</t>
        </is>
      </c>
      <c r="E73" s="3" t="n"/>
      <c r="F73" s="4" t="n">
        <v>3652000</v>
      </c>
      <c r="G73" s="4">
        <f>IF(AND(E73&gt;0,F73&gt;0),F73/E73,"")</f>
        <v/>
      </c>
      <c r="H73" s="2" t="inlineStr">
        <is>
          <t>260313_헥사곤_최종본.xlsb</t>
        </is>
      </c>
    </row>
    <row r="74">
      <c r="A74" s="2" t="inlineStr">
        <is>
          <t>2026년</t>
        </is>
      </c>
      <c r="B74" s="2" t="inlineStr">
        <is>
          <t>반도유보라 교습소</t>
        </is>
      </c>
      <c r="C74" s="2" t="inlineStr">
        <is>
          <t>학원/교습소</t>
        </is>
      </c>
      <c r="D74" s="2" t="inlineStr">
        <is>
          <t>본공사</t>
        </is>
      </c>
      <c r="E74" s="3" t="n">
        <v>9.4</v>
      </c>
      <c r="F74" s="4" t="n">
        <v>15037000</v>
      </c>
      <c r="G74" s="4">
        <f>IF(AND(E74&gt;0,F74&gt;0),F74/E74,"")</f>
        <v/>
      </c>
      <c r="H74" s="2" t="inlineStr">
        <is>
          <t>260317_반도유보라교습소 인테리어.xlsb</t>
        </is>
      </c>
    </row>
    <row r="75">
      <c r="A75" s="2" t="inlineStr">
        <is>
          <t>2026년</t>
        </is>
      </c>
      <c r="B75" s="2" t="inlineStr">
        <is>
          <t>현대마린엔진 선주실</t>
        </is>
      </c>
      <c r="C75" s="2" t="inlineStr">
        <is>
          <t>사무실</t>
        </is>
      </c>
      <c r="D75" s="2" t="inlineStr">
        <is>
          <t>본공사</t>
        </is>
      </c>
      <c r="E75" s="3" t="n">
        <v>27.2</v>
      </c>
      <c r="F75" s="4" t="n">
        <v>52899000</v>
      </c>
      <c r="G75" s="4">
        <f>IF(AND(E75&gt;0,F75&gt;0),F75/E75,"")</f>
        <v/>
      </c>
      <c r="H75" s="2" t="inlineStr">
        <is>
          <t>260318_현대마린엔진 현장동 사무실(최종본).xlsb</t>
        </is>
      </c>
    </row>
    <row r="76">
      <c r="A76" s="2" t="inlineStr">
        <is>
          <t>2026년</t>
        </is>
      </c>
      <c r="B76" s="2" t="inlineStr">
        <is>
          <t>린데코리아 사무실</t>
        </is>
      </c>
      <c r="C76" s="2" t="inlineStr">
        <is>
          <t>사무실</t>
        </is>
      </c>
      <c r="D76" s="2" t="inlineStr">
        <is>
          <t>본공사</t>
        </is>
      </c>
      <c r="E76" s="3" t="n">
        <v>27.9</v>
      </c>
      <c r="F76" s="4" t="n">
        <v>52789000</v>
      </c>
      <c r="G76" s="4">
        <f>IF(AND(E76&gt;0,F76&gt;0),F76/E76,"")</f>
        <v/>
      </c>
      <c r="H76" s="2" t="inlineStr">
        <is>
          <t>260319_린데코리아(최종본).xlsb</t>
        </is>
      </c>
    </row>
    <row r="77">
      <c r="A77" s="2" t="inlineStr">
        <is>
          <t>2026년</t>
        </is>
      </c>
      <c r="B77" s="2" t="inlineStr">
        <is>
          <t>부산대바이오 추가</t>
        </is>
      </c>
      <c r="C77" s="2" t="inlineStr">
        <is>
          <t>대학/공공</t>
        </is>
      </c>
      <c r="D77" s="2" t="inlineStr">
        <is>
          <t>추가공사</t>
        </is>
      </c>
      <c r="E77" s="3" t="n"/>
      <c r="F77" s="4" t="n"/>
      <c r="G77" s="4">
        <f>IF(AND(E77&gt;0,F77&gt;0),F77/E77,"")</f>
        <v/>
      </c>
      <c r="H77" s="2" t="inlineStr">
        <is>
          <t>260319_부산대 바이오 추가견적서.xlsb</t>
        </is>
      </c>
    </row>
    <row r="78">
      <c r="A78" s="2" t="inlineStr">
        <is>
          <t>2026년</t>
        </is>
      </c>
      <c r="B78" s="2" t="inlineStr">
        <is>
          <t>어반브릭스 컴퓨터학원</t>
        </is>
      </c>
      <c r="C78" s="2" t="inlineStr">
        <is>
          <t>학원/교습소</t>
        </is>
      </c>
      <c r="D78" s="2" t="inlineStr">
        <is>
          <t>본공사</t>
        </is>
      </c>
      <c r="E78" s="3" t="n">
        <v>26.3</v>
      </c>
      <c r="F78" s="4" t="n">
        <v>15466000</v>
      </c>
      <c r="G78" s="4">
        <f>IF(AND(E78&gt;0,F78&gt;0),F78/E78,"")</f>
        <v/>
      </c>
      <c r="H78" s="2" t="inlineStr">
        <is>
          <t>260319_어반브릭스(1606호, 1607호) 컴퓨터학원(최종본).xlsb</t>
        </is>
      </c>
    </row>
    <row r="79">
      <c r="A79" s="2" t="inlineStr">
        <is>
          <t>2026년</t>
        </is>
      </c>
      <c r="B79" s="2" t="inlineStr">
        <is>
          <t>진해푸른회</t>
        </is>
      </c>
      <c r="C79" s="2" t="inlineStr">
        <is>
          <t>식음료</t>
        </is>
      </c>
      <c r="D79" s="2" t="inlineStr">
        <is>
          <t>부분공사</t>
        </is>
      </c>
      <c r="E79" s="3" t="n">
        <v>16</v>
      </c>
      <c r="F79" s="4" t="n">
        <v>9196000</v>
      </c>
      <c r="G79" s="4">
        <f>IF(AND(E79&gt;0,F79&gt;0),F79/E79,"")</f>
        <v/>
      </c>
      <c r="H79" s="2" t="inlineStr">
        <is>
          <t>260319_진해 푸른회(부분수리).xlsb</t>
        </is>
      </c>
    </row>
    <row r="80">
      <c r="A80" s="2" t="inlineStr">
        <is>
          <t>2026년</t>
        </is>
      </c>
      <c r="B80" s="2" t="inlineStr">
        <is>
          <t>감계 덕산아내 203동 1305호</t>
        </is>
      </c>
      <c r="C80" s="2" t="inlineStr">
        <is>
          <t>주거</t>
        </is>
      </c>
      <c r="D80" s="2" t="inlineStr">
        <is>
          <t>본공사</t>
        </is>
      </c>
      <c r="E80" s="3" t="n"/>
      <c r="F80" s="4" t="n">
        <v>44418000</v>
      </c>
      <c r="G80" s="4">
        <f>IF(AND(E80&gt;0,F80&gt;0),F80/E80,"")</f>
        <v/>
      </c>
      <c r="H80" s="2" t="inlineStr">
        <is>
          <t>260328덕산감계 아내 203동 1305.xlsb</t>
        </is>
      </c>
    </row>
    <row r="81">
      <c r="A81" s="2" t="inlineStr">
        <is>
          <t>2026년</t>
        </is>
      </c>
      <c r="B81" s="2" t="inlineStr">
        <is>
          <t>팔용동사진관(이담사진관)</t>
        </is>
      </c>
      <c r="C81" s="2" t="inlineStr">
        <is>
          <t>상업/기타</t>
        </is>
      </c>
      <c r="D81" s="2" t="inlineStr">
        <is>
          <t>본공사</t>
        </is>
      </c>
      <c r="E81" s="3" t="n">
        <v>13.3</v>
      </c>
      <c r="F81" s="4" t="n">
        <v>21703000</v>
      </c>
      <c r="G81" s="4">
        <f>IF(AND(E81&gt;0,F81&gt;0),F81/E81,"")</f>
        <v/>
      </c>
      <c r="H81" s="2" t="inlineStr">
        <is>
          <t>260405_팔용동 사진관(최종본).xlsb</t>
        </is>
      </c>
    </row>
    <row r="82">
      <c r="A82" s="2" t="inlineStr">
        <is>
          <t>2026년</t>
        </is>
      </c>
      <c r="B82" s="2" t="inlineStr">
        <is>
          <t>롯데캐슬교습소</t>
        </is>
      </c>
      <c r="C82" s="2" t="inlineStr">
        <is>
          <t>학원/교습소</t>
        </is>
      </c>
      <c r="D82" s="2" t="inlineStr">
        <is>
          <t>본공사</t>
        </is>
      </c>
      <c r="E82" s="3" t="n">
        <v>9.4</v>
      </c>
      <c r="F82" s="4" t="n">
        <v>15851000</v>
      </c>
      <c r="G82" s="4">
        <f>IF(AND(E82&gt;0,F82&gt;0),F82/E82,"")</f>
        <v/>
      </c>
      <c r="H82" s="2" t="inlineStr">
        <is>
          <t>260408_롯데캐슬교습소.xlsb</t>
        </is>
      </c>
    </row>
    <row r="83">
      <c r="A83" s="2" t="inlineStr">
        <is>
          <t>2026년</t>
        </is>
      </c>
      <c r="B83" s="2" t="inlineStr">
        <is>
          <t>밀양미부닥트(주)</t>
        </is>
      </c>
      <c r="C83" s="2" t="inlineStr">
        <is>
          <t>상업/기타</t>
        </is>
      </c>
      <c r="D83" s="2" t="inlineStr">
        <is>
          <t>부분공사</t>
        </is>
      </c>
      <c r="E83" s="3" t="n"/>
      <c r="F83" s="4" t="n"/>
      <c r="G83" s="4">
        <f>IF(AND(E83&gt;0,F83&gt;0),F83/E83,"")</f>
        <v/>
      </c>
      <c r="H83" s="2" t="inlineStr">
        <is>
          <t>260417_밀양 미부닥트(주)- 시트작업(최종본).xlsb</t>
        </is>
      </c>
    </row>
    <row r="84">
      <c r="A84" s="2" t="inlineStr">
        <is>
          <t>2026년</t>
        </is>
      </c>
      <c r="B84" s="2" t="inlineStr">
        <is>
          <t>문화콘크리트 사무실</t>
        </is>
      </c>
      <c r="C84" s="2" t="inlineStr">
        <is>
          <t>사무실</t>
        </is>
      </c>
      <c r="D84" s="2" t="inlineStr">
        <is>
          <t>본공사</t>
        </is>
      </c>
      <c r="E84" s="3" t="n">
        <v>19.2</v>
      </c>
      <c r="F84" s="4" t="n">
        <v>74767000</v>
      </c>
      <c r="G84" s="4">
        <f>IF(AND(E84&gt;0,F84&gt;0),F84/E84,"")</f>
        <v/>
      </c>
      <c r="H84" s="2" t="inlineStr">
        <is>
          <t>260420_문화콘크리트 사무실 인테리어.xlsb</t>
        </is>
      </c>
    </row>
    <row r="85">
      <c r="A85" s="2" t="inlineStr">
        <is>
          <t>2026년</t>
        </is>
      </c>
      <c r="B85" s="2" t="inlineStr">
        <is>
          <t>진해푸른회</t>
        </is>
      </c>
      <c r="C85" s="2" t="inlineStr">
        <is>
          <t>식음료</t>
        </is>
      </c>
      <c r="D85" s="2" t="inlineStr">
        <is>
          <t>추가공사</t>
        </is>
      </c>
      <c r="E85" s="3" t="n"/>
      <c r="F85" s="4" t="n">
        <v>1243000</v>
      </c>
      <c r="G85" s="4">
        <f>IF(AND(E85&gt;0,F85&gt;0),F85/E85,"")</f>
        <v/>
      </c>
      <c r="H85" s="2" t="inlineStr">
        <is>
          <t>260424_진해술집부분수리 추가견적서(최종본).xlsb</t>
        </is>
      </c>
    </row>
    <row r="86">
      <c r="A86" s="2" t="inlineStr">
        <is>
          <t>2026년</t>
        </is>
      </c>
      <c r="B86" s="2" t="inlineStr">
        <is>
          <t>지엔티 옷장</t>
        </is>
      </c>
      <c r="C86" s="2" t="inlineStr">
        <is>
          <t>상업/기타</t>
        </is>
      </c>
      <c r="D86" s="2" t="inlineStr">
        <is>
          <t>가구</t>
        </is>
      </c>
      <c r="E86" s="3" t="n"/>
      <c r="F86" s="4" t="n">
        <v>1243000</v>
      </c>
      <c r="G86" s="4">
        <f>IF(AND(E86&gt;0,F86&gt;0),F86/E86,"")</f>
        <v/>
      </c>
      <c r="H86" s="2" t="inlineStr">
        <is>
          <t>260429_지엔티가구견적서.xlsx</t>
        </is>
      </c>
    </row>
    <row r="87">
      <c r="A87" s="2" t="inlineStr">
        <is>
          <t>2026년</t>
        </is>
      </c>
      <c r="B87" s="2" t="inlineStr">
        <is>
          <t>현대마린엔진 접견실 인테리어(도배)</t>
        </is>
      </c>
      <c r="C87" s="2" t="inlineStr">
        <is>
          <t>사무실</t>
        </is>
      </c>
      <c r="D87" s="2" t="inlineStr">
        <is>
          <t>부분공사</t>
        </is>
      </c>
      <c r="E87" s="3" t="n"/>
      <c r="F87" s="4" t="n">
        <v>1991000</v>
      </c>
      <c r="G87" s="4">
        <f>IF(AND(E87&gt;0,F87&gt;0),F87/E87,"")</f>
        <v/>
      </c>
      <c r="H87" s="2" t="inlineStr">
        <is>
          <t>260504_현대마린엔진 접견실 인테리어.xlsb</t>
        </is>
      </c>
    </row>
    <row r="88">
      <c r="A88" s="2" t="inlineStr">
        <is>
          <t>2026년</t>
        </is>
      </c>
      <c r="B88" s="2" t="inlineStr">
        <is>
          <t>롯데캐슬 미용실</t>
        </is>
      </c>
      <c r="C88" s="2" t="inlineStr">
        <is>
          <t>뷰티/미용</t>
        </is>
      </c>
      <c r="D88" s="2" t="inlineStr">
        <is>
          <t>본공사</t>
        </is>
      </c>
      <c r="E88" s="3" t="n">
        <v>9.1</v>
      </c>
      <c r="F88" s="4" t="n">
        <v>23078000</v>
      </c>
      <c r="G88" s="4">
        <f>IF(AND(E88&gt;0,F88&gt;0),F88/E88,"")</f>
        <v/>
      </c>
      <c r="H88" s="2" t="inlineStr">
        <is>
          <t>260518_롯데캐슬 미용실 인테리어.xlsb</t>
        </is>
      </c>
    </row>
    <row r="89">
      <c r="A89" s="2" t="inlineStr">
        <is>
          <t>2026년</t>
        </is>
      </c>
      <c r="B89" s="2" t="inlineStr">
        <is>
          <t>지엔티 4공장</t>
        </is>
      </c>
      <c r="C89" s="2" t="inlineStr">
        <is>
          <t>상업/기타</t>
        </is>
      </c>
      <c r="D89" s="2" t="inlineStr">
        <is>
          <t>본공사</t>
        </is>
      </c>
      <c r="E89" s="3" t="n">
        <v>32</v>
      </c>
      <c r="F89" s="4" t="n">
        <v>53130000</v>
      </c>
      <c r="G89" s="4">
        <f>IF(AND(E89&gt;0,F89&gt;0),F89/E89,"")</f>
        <v/>
      </c>
      <c r="H89" s="2" t="inlineStr">
        <is>
          <t>260602_지엔티-최종본.xlsb</t>
        </is>
      </c>
    </row>
    <row r="90">
      <c r="A90" s="2" t="inlineStr">
        <is>
          <t>2026년</t>
        </is>
      </c>
      <c r="B90" s="2" t="inlineStr">
        <is>
          <t>북면 반찬가게</t>
        </is>
      </c>
      <c r="C90" s="2" t="inlineStr">
        <is>
          <t>식음료</t>
        </is>
      </c>
      <c r="D90" s="2" t="inlineStr">
        <is>
          <t>본공사</t>
        </is>
      </c>
      <c r="E90" s="3" t="n">
        <v>10.4</v>
      </c>
      <c r="F90" s="4" t="n">
        <v>39314000</v>
      </c>
      <c r="G90" s="4">
        <f>IF(AND(E90&gt;0,F90&gt;0),F90/E90,"")</f>
        <v/>
      </c>
      <c r="H90" s="2" t="inlineStr">
        <is>
          <t>260609_북면 반찬가게.xlsb</t>
        </is>
      </c>
    </row>
    <row r="91">
      <c r="A91" s="2" t="inlineStr">
        <is>
          <t>2026년</t>
        </is>
      </c>
      <c r="B91" s="2" t="inlineStr">
        <is>
          <t>크랭크샤프트 강당</t>
        </is>
      </c>
      <c r="C91" s="2" t="inlineStr">
        <is>
          <t>상업/기타</t>
        </is>
      </c>
      <c r="D91" s="2" t="inlineStr">
        <is>
          <t>본공사</t>
        </is>
      </c>
      <c r="E91" s="3" t="n">
        <v>62</v>
      </c>
      <c r="F91" s="4" t="n">
        <v>99924000</v>
      </c>
      <c r="G91" s="4">
        <f>IF(AND(E91&gt;0,F91&gt;0),F91/E91,"")</f>
        <v/>
      </c>
      <c r="H91" s="2" t="inlineStr">
        <is>
          <t>260613_현대크랭크샤프트 교육실(최종본).xlsb</t>
        </is>
      </c>
    </row>
    <row r="93">
      <c r="A93" s="5" t="inlineStr">
        <is>
          <t>※ 출처: NAS(jm) 002_JM회계 &gt; 003_계약 &gt; 01_고객계약 각 현장 001_견적서 (90건, 2026-07-02 재추출). 평수 = 내역서 먹메김/보양/현장정리/준공청소 M2 수량 최대값 ÷ 3.3058. 총액 = 갑지(또는 원가계산서) 최대 금액(VAT 포함). 평수 공란 = 내역서에 면적 행이 없는 견적서(사파동변호사, JD윙스, 감계아내 2건 등).</t>
        </is>
      </c>
    </row>
  </sheetData>
  <autoFilter ref="A1:H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1" customWidth="1" min="3" max="3"/>
    <col width="7" customWidth="1" min="4" max="4"/>
    <col width="16" customWidth="1" min="5" max="5"/>
    <col width="15" customWidth="1" min="6" max="6"/>
    <col width="15" customWidth="1" min="7" max="7"/>
  </cols>
  <sheetData>
    <row r="1">
      <c r="A1" s="1" t="inlineStr">
        <is>
          <t>연도</t>
        </is>
      </c>
      <c r="B1" s="1" t="inlineStr">
        <is>
          <t>현장명</t>
        </is>
      </c>
      <c r="C1" s="1" t="inlineStr">
        <is>
          <t>업종</t>
        </is>
      </c>
      <c r="D1" s="1" t="inlineStr">
        <is>
          <t>평수</t>
        </is>
      </c>
      <c r="E1" s="1" t="inlineStr">
        <is>
          <t>견적총액(VAT포함)</t>
        </is>
      </c>
      <c r="F1" s="1" t="inlineStr">
        <is>
          <t>평당가(VAT포함)</t>
        </is>
      </c>
      <c r="G1" s="1" t="inlineStr">
        <is>
          <t>평당가(VAT제외)</t>
        </is>
      </c>
    </row>
    <row r="2">
      <c r="A2" s="2" t="inlineStr">
        <is>
          <t>2025년</t>
        </is>
      </c>
      <c r="B2" s="2" t="inlineStr">
        <is>
          <t xml:space="preserve"> PNU 펜토미노 교육과정 원예생명과학과 강의실 환경개선 공사</t>
        </is>
      </c>
      <c r="C2" s="2" t="inlineStr">
        <is>
          <t>대학/공공</t>
        </is>
      </c>
      <c r="D2" s="3" t="n">
        <v>24.2</v>
      </c>
      <c r="E2" s="4" t="n">
        <v>33500000</v>
      </c>
      <c r="F2" s="4">
        <f>E2/D2</f>
        <v/>
      </c>
      <c r="G2" s="4">
        <f>E2/1.1/D2</f>
        <v/>
      </c>
    </row>
    <row r="3">
      <c r="A3" s="2" t="inlineStr">
        <is>
          <t>2024년</t>
        </is>
      </c>
      <c r="B3" s="2" t="inlineStr">
        <is>
          <t>부산대학교생명자원과학대학</t>
        </is>
      </c>
      <c r="C3" s="2" t="inlineStr">
        <is>
          <t>대학/공공</t>
        </is>
      </c>
      <c r="D3" s="3" t="n">
        <v>27.2</v>
      </c>
      <c r="E3" s="4" t="n">
        <v>31856000</v>
      </c>
      <c r="F3" s="4">
        <f>E3/D3</f>
        <v/>
      </c>
      <c r="G3" s="4">
        <f>E3/1.1/D3</f>
        <v/>
      </c>
    </row>
    <row r="4">
      <c r="A4" s="2" t="inlineStr">
        <is>
          <t>2024년</t>
        </is>
      </c>
      <c r="B4" s="2" t="inlineStr">
        <is>
          <t>더 젤 네일샾</t>
        </is>
      </c>
      <c r="C4" s="2" t="inlineStr">
        <is>
          <t>뷰티/미용</t>
        </is>
      </c>
      <c r="D4" s="3" t="n">
        <v>10</v>
      </c>
      <c r="E4" s="4" t="n">
        <v>32538000</v>
      </c>
      <c r="F4" s="4">
        <f>E4/D4</f>
        <v/>
      </c>
      <c r="G4" s="4">
        <f>E4/1.1/D4</f>
        <v/>
      </c>
    </row>
    <row r="5">
      <c r="A5" s="2" t="inlineStr">
        <is>
          <t>2025년</t>
        </is>
      </c>
      <c r="B5" s="2" t="inlineStr">
        <is>
          <t>중동미용실</t>
        </is>
      </c>
      <c r="C5" s="2" t="inlineStr">
        <is>
          <t>뷰티/미용</t>
        </is>
      </c>
      <c r="D5" s="3" t="n">
        <v>7.1</v>
      </c>
      <c r="E5" s="4" t="n">
        <v>18282000</v>
      </c>
      <c r="F5" s="4">
        <f>E5/D5</f>
        <v/>
      </c>
      <c r="G5" s="4">
        <f>E5/1.1/D5</f>
        <v/>
      </c>
    </row>
    <row r="6">
      <c r="A6" s="2" t="inlineStr">
        <is>
          <t>2026년</t>
        </is>
      </c>
      <c r="B6" s="2" t="inlineStr">
        <is>
          <t>대상힐스 미용실</t>
        </is>
      </c>
      <c r="C6" s="2" t="inlineStr">
        <is>
          <t>뷰티/미용</t>
        </is>
      </c>
      <c r="D6" s="3" t="n">
        <v>12.1</v>
      </c>
      <c r="E6" s="4" t="n">
        <v>30800000</v>
      </c>
      <c r="F6" s="4">
        <f>E6/D6</f>
        <v/>
      </c>
      <c r="G6" s="4">
        <f>E6/1.1/D6</f>
        <v/>
      </c>
    </row>
    <row r="7">
      <c r="A7" s="2" t="inlineStr">
        <is>
          <t>2026년</t>
        </is>
      </c>
      <c r="B7" s="2" t="inlineStr">
        <is>
          <t>롯데캐슬 미용실</t>
        </is>
      </c>
      <c r="C7" s="2" t="inlineStr">
        <is>
          <t>뷰티/미용</t>
        </is>
      </c>
      <c r="D7" s="3" t="n">
        <v>9.1</v>
      </c>
      <c r="E7" s="4" t="n">
        <v>23078000</v>
      </c>
      <c r="F7" s="4">
        <f>E7/D7</f>
        <v/>
      </c>
      <c r="G7" s="4">
        <f>E7/1.1/D7</f>
        <v/>
      </c>
    </row>
    <row r="8">
      <c r="A8" s="2" t="inlineStr">
        <is>
          <t>2025년</t>
        </is>
      </c>
      <c r="B8" s="2" t="inlineStr">
        <is>
          <t>함안뷰티샵</t>
        </is>
      </c>
      <c r="C8" s="2" t="inlineStr">
        <is>
          <t>뷰티/미용</t>
        </is>
      </c>
      <c r="D8" s="3" t="n">
        <v>12.9</v>
      </c>
      <c r="E8" s="4" t="n">
        <v>29205000</v>
      </c>
      <c r="F8" s="4">
        <f>E8/D8</f>
        <v/>
      </c>
      <c r="G8" s="4">
        <f>E8/1.1/D8</f>
        <v/>
      </c>
    </row>
    <row r="9">
      <c r="A9" s="2" t="inlineStr">
        <is>
          <t>2025년</t>
        </is>
      </c>
      <c r="B9" s="2" t="inlineStr">
        <is>
          <t>현동바버샵</t>
        </is>
      </c>
      <c r="C9" s="2" t="inlineStr">
        <is>
          <t>뷰티/미용</t>
        </is>
      </c>
      <c r="D9" s="3" t="n">
        <v>13.6</v>
      </c>
      <c r="E9" s="4" t="n">
        <v>30437000</v>
      </c>
      <c r="F9" s="4">
        <f>E9/D9</f>
        <v/>
      </c>
      <c r="G9" s="4">
        <f>E9/1.1/D9</f>
        <v/>
      </c>
    </row>
    <row r="10">
      <c r="A10" s="2" t="inlineStr">
        <is>
          <t>2025년</t>
        </is>
      </c>
      <c r="B10" s="2" t="inlineStr">
        <is>
          <t>밀양 뷰티샵</t>
        </is>
      </c>
      <c r="C10" s="2" t="inlineStr">
        <is>
          <t>뷰티/미용</t>
        </is>
      </c>
      <c r="D10" s="3" t="n">
        <v>7.9</v>
      </c>
      <c r="E10" s="4" t="n">
        <v>16379000</v>
      </c>
      <c r="F10" s="4">
        <f>E10/D10</f>
        <v/>
      </c>
      <c r="G10" s="4">
        <f>E10/1.1/D10</f>
        <v/>
      </c>
    </row>
    <row r="11">
      <c r="A11" s="2" t="inlineStr">
        <is>
          <t>2025년</t>
        </is>
      </c>
      <c r="B11" s="2" t="inlineStr">
        <is>
          <t>현동네일샵</t>
        </is>
      </c>
      <c r="C11" s="2" t="inlineStr">
        <is>
          <t>뷰티/미용</t>
        </is>
      </c>
      <c r="D11" s="3" t="n">
        <v>11.8</v>
      </c>
      <c r="E11" s="4" t="n">
        <v>21000000</v>
      </c>
      <c r="F11" s="4">
        <f>E11/D11</f>
        <v/>
      </c>
      <c r="G11" s="4">
        <f>E11/1.1/D11</f>
        <v/>
      </c>
    </row>
    <row r="12">
      <c r="A12" s="2" t="inlineStr">
        <is>
          <t>2025년</t>
        </is>
      </c>
      <c r="B12" s="2" t="inlineStr">
        <is>
          <t>정우상가(용호동)뷰티샵</t>
        </is>
      </c>
      <c r="C12" s="2" t="inlineStr">
        <is>
          <t>뷰티/미용</t>
        </is>
      </c>
      <c r="D12" s="3" t="n">
        <v>23.9</v>
      </c>
      <c r="E12" s="4" t="n">
        <v>35673000</v>
      </c>
      <c r="F12" s="4">
        <f>E12/D12</f>
        <v/>
      </c>
      <c r="G12" s="4">
        <f>E12/1.1/D12</f>
        <v/>
      </c>
    </row>
    <row r="13">
      <c r="A13" s="2" t="inlineStr">
        <is>
          <t>2026년</t>
        </is>
      </c>
      <c r="B13" s="2" t="inlineStr">
        <is>
          <t>문화콘크리트 사무실</t>
        </is>
      </c>
      <c r="C13" s="2" t="inlineStr">
        <is>
          <t>사무실</t>
        </is>
      </c>
      <c r="D13" s="3" t="n">
        <v>19.2</v>
      </c>
      <c r="E13" s="4" t="n">
        <v>74767000</v>
      </c>
      <c r="F13" s="4">
        <f>E13/D13</f>
        <v/>
      </c>
      <c r="G13" s="4">
        <f>E13/1.1/D13</f>
        <v/>
      </c>
    </row>
    <row r="14">
      <c r="A14" s="2" t="inlineStr">
        <is>
          <t>2026년</t>
        </is>
      </c>
      <c r="B14" s="2" t="inlineStr">
        <is>
          <t>현대마린엔진 선주실</t>
        </is>
      </c>
      <c r="C14" s="2" t="inlineStr">
        <is>
          <t>사무실</t>
        </is>
      </c>
      <c r="D14" s="3" t="n">
        <v>27.2</v>
      </c>
      <c r="E14" s="4" t="n">
        <v>52899000</v>
      </c>
      <c r="F14" s="4">
        <f>E14/D14</f>
        <v/>
      </c>
      <c r="G14" s="4">
        <f>E14/1.1/D14</f>
        <v/>
      </c>
    </row>
    <row r="15">
      <c r="A15" s="2" t="inlineStr">
        <is>
          <t>2026년</t>
        </is>
      </c>
      <c r="B15" s="2" t="inlineStr">
        <is>
          <t>린데코리아 사무실</t>
        </is>
      </c>
      <c r="C15" s="2" t="inlineStr">
        <is>
          <t>사무실</t>
        </is>
      </c>
      <c r="D15" s="3" t="n">
        <v>27.9</v>
      </c>
      <c r="E15" s="4" t="n">
        <v>52789000</v>
      </c>
      <c r="F15" s="4">
        <f>E15/D15</f>
        <v/>
      </c>
      <c r="G15" s="4">
        <f>E15/1.1/D15</f>
        <v/>
      </c>
    </row>
    <row r="16">
      <c r="A16" s="2" t="inlineStr">
        <is>
          <t>2025년</t>
        </is>
      </c>
      <c r="B16" s="2" t="inlineStr">
        <is>
          <t>이홍열법률사무소</t>
        </is>
      </c>
      <c r="C16" s="2" t="inlineStr">
        <is>
          <t>사무실</t>
        </is>
      </c>
      <c r="D16" s="3" t="n">
        <v>31</v>
      </c>
      <c r="E16" s="4" t="n">
        <v>53119000</v>
      </c>
      <c r="F16" s="4">
        <f>E16/D16</f>
        <v/>
      </c>
      <c r="G16" s="4">
        <f>E16/1.1/D16</f>
        <v/>
      </c>
    </row>
    <row r="17">
      <c r="A17" s="2" t="inlineStr">
        <is>
          <t>2025년</t>
        </is>
      </c>
      <c r="B17" s="2" t="inlineStr">
        <is>
          <t>나라정보시스템</t>
        </is>
      </c>
      <c r="C17" s="2" t="inlineStr">
        <is>
          <t>사무실</t>
        </is>
      </c>
      <c r="D17" s="3" t="n">
        <v>10.6</v>
      </c>
      <c r="E17" s="4" t="n">
        <v>17578000</v>
      </c>
      <c r="F17" s="4">
        <f>E17/D17</f>
        <v/>
      </c>
      <c r="G17" s="4">
        <f>E17/1.1/D17</f>
        <v/>
      </c>
    </row>
    <row r="18">
      <c r="A18" s="2" t="inlineStr">
        <is>
          <t>2025년</t>
        </is>
      </c>
      <c r="B18" s="2" t="inlineStr">
        <is>
          <t>MH에탄올 사무실 2,3층 인테리어</t>
        </is>
      </c>
      <c r="C18" s="2" t="inlineStr">
        <is>
          <t>사무실</t>
        </is>
      </c>
      <c r="D18" s="3" t="n">
        <v>98.59999999999999</v>
      </c>
      <c r="E18" s="4" t="n">
        <v>160413000</v>
      </c>
      <c r="F18" s="4">
        <f>E18/D18</f>
        <v/>
      </c>
      <c r="G18" s="4">
        <f>E18/1.1/D18</f>
        <v/>
      </c>
    </row>
    <row r="19">
      <c r="A19" s="2" t="inlineStr">
        <is>
          <t>2025년</t>
        </is>
      </c>
      <c r="B19" s="2" t="inlineStr">
        <is>
          <t>법무법인DH</t>
        </is>
      </c>
      <c r="C19" s="2" t="inlineStr">
        <is>
          <t>사무실</t>
        </is>
      </c>
      <c r="D19" s="3" t="n">
        <v>34.5</v>
      </c>
      <c r="E19" s="4" t="n">
        <v>45001000</v>
      </c>
      <c r="F19" s="4">
        <f>E19/D19</f>
        <v/>
      </c>
      <c r="G19" s="4">
        <f>E19/1.1/D19</f>
        <v/>
      </c>
    </row>
    <row r="20">
      <c r="A20" s="2" t="inlineStr">
        <is>
          <t>2025년</t>
        </is>
      </c>
      <c r="B20" s="2" t="inlineStr">
        <is>
          <t>라온메디칼 사무실</t>
        </is>
      </c>
      <c r="C20" s="2" t="inlineStr">
        <is>
          <t>사무실</t>
        </is>
      </c>
      <c r="D20" s="3" t="n">
        <v>29.6</v>
      </c>
      <c r="E20" s="4" t="n">
        <v>34529000</v>
      </c>
      <c r="F20" s="4">
        <f>E20/D20</f>
        <v/>
      </c>
      <c r="G20" s="4">
        <f>E20/1.1/D20</f>
        <v/>
      </c>
    </row>
    <row r="21">
      <c r="A21" s="2" t="inlineStr">
        <is>
          <t>2025년</t>
        </is>
      </c>
      <c r="B21" s="2" t="inlineStr">
        <is>
          <t>키움에셋플래너</t>
        </is>
      </c>
      <c r="C21" s="2" t="inlineStr">
        <is>
          <t>사무실</t>
        </is>
      </c>
      <c r="D21" s="3" t="n">
        <v>47.5</v>
      </c>
      <c r="E21" s="4" t="n">
        <v>40931000</v>
      </c>
      <c r="F21" s="4">
        <f>E21/D21</f>
        <v/>
      </c>
      <c r="G21" s="4">
        <f>E21/1.1/D21</f>
        <v/>
      </c>
    </row>
    <row r="22">
      <c r="A22" s="2" t="inlineStr">
        <is>
          <t>2025년</t>
        </is>
      </c>
      <c r="B22" s="2" t="inlineStr">
        <is>
          <t>에이지로보틱스 경남창조혁신센터 사무실</t>
        </is>
      </c>
      <c r="C22" s="2" t="inlineStr">
        <is>
          <t>사무실</t>
        </is>
      </c>
      <c r="D22" s="3" t="n">
        <v>45.4</v>
      </c>
      <c r="E22" s="4" t="n">
        <v>32494000</v>
      </c>
      <c r="F22" s="4">
        <f>E22/D22</f>
        <v/>
      </c>
      <c r="G22" s="4">
        <f>E22/1.1/D22</f>
        <v/>
      </c>
    </row>
    <row r="23">
      <c r="A23" s="2" t="inlineStr">
        <is>
          <t>2026년</t>
        </is>
      </c>
      <c r="B23" s="2" t="inlineStr">
        <is>
          <t>장유사무실</t>
        </is>
      </c>
      <c r="C23" s="2" t="inlineStr">
        <is>
          <t>사무실</t>
        </is>
      </c>
      <c r="D23" s="3" t="n">
        <v>34.8</v>
      </c>
      <c r="E23" s="4" t="n">
        <v>24090000</v>
      </c>
      <c r="F23" s="4">
        <f>E23/D23</f>
        <v/>
      </c>
      <c r="G23" s="4">
        <f>E23/1.1/D23</f>
        <v/>
      </c>
    </row>
    <row r="24">
      <c r="A24" s="2" t="inlineStr">
        <is>
          <t>2025년</t>
        </is>
      </c>
      <c r="B24" s="2" t="inlineStr">
        <is>
          <t>경남산소</t>
        </is>
      </c>
      <c r="C24" s="2" t="inlineStr">
        <is>
          <t>상업/기타</t>
        </is>
      </c>
      <c r="D24" s="3" t="n">
        <v>26.6</v>
      </c>
      <c r="E24" s="4" t="n">
        <v>72204000</v>
      </c>
      <c r="F24" s="4">
        <f>E24/D24</f>
        <v/>
      </c>
      <c r="G24" s="4">
        <f>E24/1.1/D24</f>
        <v/>
      </c>
    </row>
    <row r="25">
      <c r="A25" s="2" t="inlineStr">
        <is>
          <t>2025년</t>
        </is>
      </c>
      <c r="B25" s="2" t="inlineStr">
        <is>
          <t>진례제일전자공업</t>
        </is>
      </c>
      <c r="C25" s="2" t="inlineStr">
        <is>
          <t>상업/기타</t>
        </is>
      </c>
      <c r="D25" s="3" t="n">
        <v>25.7</v>
      </c>
      <c r="E25" s="4" t="n">
        <v>58190000</v>
      </c>
      <c r="F25" s="4">
        <f>E25/D25</f>
        <v/>
      </c>
      <c r="G25" s="4">
        <f>E25/1.1/D25</f>
        <v/>
      </c>
    </row>
    <row r="26">
      <c r="A26" s="2" t="inlineStr">
        <is>
          <t>2025년</t>
        </is>
      </c>
      <c r="B26" s="2" t="inlineStr">
        <is>
          <t>서경방송</t>
        </is>
      </c>
      <c r="C26" s="2" t="inlineStr">
        <is>
          <t>상업/기타</t>
        </is>
      </c>
      <c r="D26" s="3" t="n">
        <v>158.2</v>
      </c>
      <c r="E26" s="4" t="n">
        <v>291236000</v>
      </c>
      <c r="F26" s="4">
        <f>E26/D26</f>
        <v/>
      </c>
      <c r="G26" s="4">
        <f>E26/1.1/D26</f>
        <v/>
      </c>
    </row>
    <row r="27">
      <c r="A27" s="2" t="inlineStr">
        <is>
          <t>2026년</t>
        </is>
      </c>
      <c r="B27" s="2" t="inlineStr">
        <is>
          <t>지엔티 4공장</t>
        </is>
      </c>
      <c r="C27" s="2" t="inlineStr">
        <is>
          <t>상업/기타</t>
        </is>
      </c>
      <c r="D27" s="3" t="n">
        <v>32</v>
      </c>
      <c r="E27" s="4" t="n">
        <v>53130000</v>
      </c>
      <c r="F27" s="4">
        <f>E27/D27</f>
        <v/>
      </c>
      <c r="G27" s="4">
        <f>E27/1.1/D27</f>
        <v/>
      </c>
    </row>
    <row r="28">
      <c r="A28" s="2" t="inlineStr">
        <is>
          <t>2026년</t>
        </is>
      </c>
      <c r="B28" s="2" t="inlineStr">
        <is>
          <t>팔용동사진관(이담사진관)</t>
        </is>
      </c>
      <c r="C28" s="2" t="inlineStr">
        <is>
          <t>상업/기타</t>
        </is>
      </c>
      <c r="D28" s="3" t="n">
        <v>13.3</v>
      </c>
      <c r="E28" s="4" t="n">
        <v>21703000</v>
      </c>
      <c r="F28" s="4">
        <f>E28/D28</f>
        <v/>
      </c>
      <c r="G28" s="4">
        <f>E28/1.1/D28</f>
        <v/>
      </c>
    </row>
    <row r="29">
      <c r="A29" s="2" t="inlineStr">
        <is>
          <t>2026년</t>
        </is>
      </c>
      <c r="B29" s="2" t="inlineStr">
        <is>
          <t>크랭크샤프트 강당</t>
        </is>
      </c>
      <c r="C29" s="2" t="inlineStr">
        <is>
          <t>상업/기타</t>
        </is>
      </c>
      <c r="D29" s="3" t="n">
        <v>62</v>
      </c>
      <c r="E29" s="4" t="n">
        <v>99924000</v>
      </c>
      <c r="F29" s="4">
        <f>E29/D29</f>
        <v/>
      </c>
      <c r="G29" s="4">
        <f>E29/1.1/D29</f>
        <v/>
      </c>
    </row>
    <row r="30">
      <c r="A30" s="2" t="inlineStr">
        <is>
          <t>2024년</t>
        </is>
      </c>
      <c r="B30" s="2" t="inlineStr">
        <is>
          <t>터보링크</t>
        </is>
      </c>
      <c r="C30" s="2" t="inlineStr">
        <is>
          <t>상업/기타</t>
        </is>
      </c>
      <c r="D30" s="3" t="n">
        <v>24.2</v>
      </c>
      <c r="E30" s="4" t="n">
        <v>33220000</v>
      </c>
      <c r="F30" s="4">
        <f>E30/D30</f>
        <v/>
      </c>
      <c r="G30" s="4">
        <f>E30/1.1/D30</f>
        <v/>
      </c>
    </row>
    <row r="31">
      <c r="A31" s="2" t="inlineStr">
        <is>
          <t>2024년</t>
        </is>
      </c>
      <c r="B31" s="2" t="inlineStr">
        <is>
          <t>현대크랭크 탈의실 샤워실 보수공사</t>
        </is>
      </c>
      <c r="C31" s="2" t="inlineStr">
        <is>
          <t>상업/기타</t>
        </is>
      </c>
      <c r="D31" s="3" t="n">
        <v>28.7</v>
      </c>
      <c r="E31" s="4" t="n">
        <v>23287000</v>
      </c>
      <c r="F31" s="4">
        <f>E31/D31</f>
        <v/>
      </c>
      <c r="G31" s="4">
        <f>E31/1.1/D31</f>
        <v/>
      </c>
    </row>
    <row r="32">
      <c r="A32" s="2" t="inlineStr">
        <is>
          <t>2025년</t>
        </is>
      </c>
      <c r="B32" s="2" t="inlineStr">
        <is>
          <t>구산면 도만카페</t>
        </is>
      </c>
      <c r="C32" s="2" t="inlineStr">
        <is>
          <t>식음료</t>
        </is>
      </c>
      <c r="D32" s="3" t="n">
        <v>39.6</v>
      </c>
      <c r="E32" s="4" t="n">
        <v>178607000</v>
      </c>
      <c r="F32" s="4">
        <f>E32/D32</f>
        <v/>
      </c>
      <c r="G32" s="4">
        <f>E32/1.1/D32</f>
        <v/>
      </c>
    </row>
    <row r="33">
      <c r="A33" s="2" t="inlineStr">
        <is>
          <t>2026년</t>
        </is>
      </c>
      <c r="B33" s="2" t="inlineStr">
        <is>
          <t>북면 반찬가게</t>
        </is>
      </c>
      <c r="C33" s="2" t="inlineStr">
        <is>
          <t>식음료</t>
        </is>
      </c>
      <c r="D33" s="3" t="n">
        <v>10.4</v>
      </c>
      <c r="E33" s="4" t="n">
        <v>39314000</v>
      </c>
      <c r="F33" s="4">
        <f>E33/D33</f>
        <v/>
      </c>
      <c r="G33" s="4">
        <f>E33/1.1/D33</f>
        <v/>
      </c>
    </row>
    <row r="34">
      <c r="A34" s="2" t="inlineStr">
        <is>
          <t>2025년</t>
        </is>
      </c>
      <c r="B34" s="2" t="inlineStr">
        <is>
          <t>양산타코야끼</t>
        </is>
      </c>
      <c r="C34" s="2" t="inlineStr">
        <is>
          <t>식음료</t>
        </is>
      </c>
      <c r="D34" s="3" t="n">
        <v>18.5</v>
      </c>
      <c r="E34" s="4" t="n">
        <v>29469000</v>
      </c>
      <c r="F34" s="4">
        <f>E34/D34</f>
        <v/>
      </c>
      <c r="G34" s="4">
        <f>E34/1.1/D34</f>
        <v/>
      </c>
    </row>
    <row r="35">
      <c r="A35" s="2" t="inlineStr">
        <is>
          <t>2025년</t>
        </is>
      </c>
      <c r="B35" s="2" t="inlineStr">
        <is>
          <t>진해 디아크마린</t>
        </is>
      </c>
      <c r="C35" s="2" t="inlineStr">
        <is>
          <t>식음료</t>
        </is>
      </c>
      <c r="D35" s="3" t="n">
        <v>59.3</v>
      </c>
      <c r="E35" s="4" t="n">
        <v>76824000</v>
      </c>
      <c r="F35" s="4">
        <f>E35/D35</f>
        <v/>
      </c>
      <c r="G35" s="4">
        <f>E35/1.1/D35</f>
        <v/>
      </c>
    </row>
    <row r="36">
      <c r="A36" s="2" t="inlineStr">
        <is>
          <t>2025년</t>
        </is>
      </c>
      <c r="B36" s="2" t="inlineStr">
        <is>
          <t>진해 이우철 삼계탕</t>
        </is>
      </c>
      <c r="C36" s="2" t="inlineStr">
        <is>
          <t>식음료</t>
        </is>
      </c>
      <c r="D36" s="3" t="n">
        <v>110.4</v>
      </c>
      <c r="E36" s="4" t="n">
        <v>99320000</v>
      </c>
      <c r="F36" s="4">
        <f>E36/D36</f>
        <v/>
      </c>
      <c r="G36" s="4">
        <f>E36/1.1/D36</f>
        <v/>
      </c>
    </row>
    <row r="37">
      <c r="A37" s="2" t="inlineStr">
        <is>
          <t>2024년</t>
        </is>
      </c>
      <c r="B37" s="2" t="inlineStr">
        <is>
          <t>진주음악학원</t>
        </is>
      </c>
      <c r="C37" s="2" t="inlineStr">
        <is>
          <t>학원/교습소</t>
        </is>
      </c>
      <c r="D37" s="3" t="n">
        <v>43.1</v>
      </c>
      <c r="E37" s="4" t="n">
        <v>96162000</v>
      </c>
      <c r="F37" s="4">
        <f>E37/D37</f>
        <v/>
      </c>
      <c r="G37" s="4">
        <f>E37/1.1/D37</f>
        <v/>
      </c>
    </row>
    <row r="38">
      <c r="A38" s="2" t="inlineStr">
        <is>
          <t>2024년</t>
        </is>
      </c>
      <c r="B38" s="2" t="inlineStr">
        <is>
          <t>진해교습소</t>
        </is>
      </c>
      <c r="C38" s="2" t="inlineStr">
        <is>
          <t>학원/교습소</t>
        </is>
      </c>
      <c r="D38" s="3" t="n">
        <v>14.5</v>
      </c>
      <c r="E38" s="4" t="n">
        <v>25916000</v>
      </c>
      <c r="F38" s="4">
        <f>E38/D38</f>
        <v/>
      </c>
      <c r="G38" s="4">
        <f>E38/1.1/D38</f>
        <v/>
      </c>
    </row>
    <row r="39">
      <c r="A39" s="2" t="inlineStr">
        <is>
          <t>2026년</t>
        </is>
      </c>
      <c r="B39" s="2" t="inlineStr">
        <is>
          <t>롯데캐슬교습소</t>
        </is>
      </c>
      <c r="C39" s="2" t="inlineStr">
        <is>
          <t>학원/교습소</t>
        </is>
      </c>
      <c r="D39" s="3" t="n">
        <v>9.4</v>
      </c>
      <c r="E39" s="4" t="n">
        <v>15851000</v>
      </c>
      <c r="F39" s="4">
        <f>E39/D39</f>
        <v/>
      </c>
      <c r="G39" s="4">
        <f>E39/1.1/D39</f>
        <v/>
      </c>
    </row>
    <row r="40">
      <c r="A40" s="2" t="inlineStr">
        <is>
          <t>2026년</t>
        </is>
      </c>
      <c r="B40" s="2" t="inlineStr">
        <is>
          <t>반도유보라 교습소</t>
        </is>
      </c>
      <c r="C40" s="2" t="inlineStr">
        <is>
          <t>학원/교습소</t>
        </is>
      </c>
      <c r="D40" s="3" t="n">
        <v>9.4</v>
      </c>
      <c r="E40" s="4" t="n">
        <v>15037000</v>
      </c>
      <c r="F40" s="4">
        <f>E40/D40</f>
        <v/>
      </c>
      <c r="G40" s="4">
        <f>E40/1.1/D40</f>
        <v/>
      </c>
    </row>
    <row r="41">
      <c r="A41" s="2" t="inlineStr">
        <is>
          <t>2025년</t>
        </is>
      </c>
      <c r="B41" s="2" t="inlineStr">
        <is>
          <t>내동교습소</t>
        </is>
      </c>
      <c r="C41" s="2" t="inlineStr">
        <is>
          <t>학원/교습소</t>
        </is>
      </c>
      <c r="D41" s="3" t="n">
        <v>12.4</v>
      </c>
      <c r="E41" s="4" t="n">
        <v>18282000</v>
      </c>
      <c r="F41" s="4">
        <f>E41/D41</f>
        <v/>
      </c>
      <c r="G41" s="4">
        <f>E41/1.1/D41</f>
        <v/>
      </c>
    </row>
    <row r="42">
      <c r="A42" s="2" t="inlineStr">
        <is>
          <t>2025년</t>
        </is>
      </c>
      <c r="B42" s="2" t="inlineStr">
        <is>
          <t>회원동교습소</t>
        </is>
      </c>
      <c r="C42" s="2" t="inlineStr">
        <is>
          <t>학원/교습소</t>
        </is>
      </c>
      <c r="D42" s="3" t="n">
        <v>25.7</v>
      </c>
      <c r="E42" s="4" t="n">
        <v>30338000</v>
      </c>
      <c r="F42" s="4">
        <f>E42/D42</f>
        <v/>
      </c>
      <c r="G42" s="4">
        <f>E42/1.1/D42</f>
        <v/>
      </c>
    </row>
    <row r="43">
      <c r="A43" s="2" t="inlineStr">
        <is>
          <t>2026년</t>
        </is>
      </c>
      <c r="B43" s="2" t="inlineStr">
        <is>
          <t>어반브릭스 기타 학원</t>
        </is>
      </c>
      <c r="C43" s="2" t="inlineStr">
        <is>
          <t>학원/교습소</t>
        </is>
      </c>
      <c r="D43" s="3" t="n">
        <v>12.2</v>
      </c>
      <c r="E43" s="4" t="n">
        <v>11836000</v>
      </c>
      <c r="F43" s="4">
        <f>E43/D43</f>
        <v/>
      </c>
      <c r="G43" s="4">
        <f>E43/1.1/D43</f>
        <v/>
      </c>
    </row>
    <row r="44">
      <c r="A44" s="2" t="inlineStr">
        <is>
          <t>2024년</t>
        </is>
      </c>
      <c r="B44" s="2" t="inlineStr">
        <is>
          <t>문소영수학관리</t>
        </is>
      </c>
      <c r="C44" s="2" t="inlineStr">
        <is>
          <t>학원/교습소</t>
        </is>
      </c>
      <c r="D44" s="3" t="n">
        <v>45.4</v>
      </c>
      <c r="E44" s="4" t="n">
        <v>31999000</v>
      </c>
      <c r="F44" s="4">
        <f>E44/D44</f>
        <v/>
      </c>
      <c r="G44" s="4">
        <f>E44/1.1/D44</f>
        <v/>
      </c>
    </row>
    <row r="45">
      <c r="A45" s="2" t="inlineStr">
        <is>
          <t>2026년</t>
        </is>
      </c>
      <c r="B45" s="2" t="inlineStr">
        <is>
          <t>어반브릭스 컴퓨터학원</t>
        </is>
      </c>
      <c r="C45" s="2" t="inlineStr">
        <is>
          <t>학원/교습소</t>
        </is>
      </c>
      <c r="D45" s="3" t="n">
        <v>26.3</v>
      </c>
      <c r="E45" s="4" t="n">
        <v>15466000</v>
      </c>
      <c r="F45" s="4">
        <f>E45/D45</f>
        <v/>
      </c>
      <c r="G45" s="4">
        <f>E45/1.1/D45</f>
        <v/>
      </c>
    </row>
    <row r="47">
      <c r="A47" s="5" t="inlineStr">
        <is>
          <t>※ 본공사(전체 인테리어)이면서 견적서에서 면적이 확인되는 44건만. 부분공사·추가공사·가구단독·원상복구 도급·일부공정 견적은 제외 (전체목록의 구분 참조).</t>
        </is>
      </c>
    </row>
  </sheetData>
  <autoFilter ref="A1:G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업종</t>
        </is>
      </c>
      <c r="B1" s="1" t="inlineStr">
        <is>
          <t>건수</t>
        </is>
      </c>
      <c r="C1" s="1" t="inlineStr">
        <is>
          <t>평당가 중앙값</t>
        </is>
      </c>
      <c r="D1" s="1" t="inlineStr">
        <is>
          <t>평균</t>
        </is>
      </c>
      <c r="E1" s="1" t="inlineStr">
        <is>
          <t>최소</t>
        </is>
      </c>
      <c r="F1" s="1" t="inlineStr">
        <is>
          <t>최대</t>
        </is>
      </c>
      <c r="G1" s="1" t="inlineStr">
        <is>
          <t>평균 평수</t>
        </is>
      </c>
    </row>
    <row r="2">
      <c r="A2" s="2" t="inlineStr">
        <is>
          <t>사무실</t>
        </is>
      </c>
      <c r="B2" s="2" t="n">
        <v>11</v>
      </c>
      <c r="C2" s="4" t="n">
        <v>1626906.693711968</v>
      </c>
      <c r="D2" s="4" t="n">
        <v>1588209.538087873</v>
      </c>
      <c r="E2" s="4" t="n">
        <v>692241.3793103449</v>
      </c>
      <c r="F2" s="4" t="n">
        <v>3894114.583333333</v>
      </c>
      <c r="G2" s="3" t="n">
        <v>36.93636363636364</v>
      </c>
    </row>
    <row r="3">
      <c r="A3" s="2" t="inlineStr">
        <is>
          <t>학원/교습소</t>
        </is>
      </c>
      <c r="B3" s="2" t="n">
        <v>9</v>
      </c>
      <c r="C3" s="4" t="n">
        <v>1474354.838709677</v>
      </c>
      <c r="D3" s="4" t="n">
        <v>1358030.556315719</v>
      </c>
      <c r="E3" s="4" t="n">
        <v>588060.8365019012</v>
      </c>
      <c r="F3" s="4" t="n">
        <v>2231136.890951276</v>
      </c>
      <c r="G3" s="3" t="n">
        <v>22.04444444444444</v>
      </c>
    </row>
    <row r="4">
      <c r="A4" s="2" t="inlineStr">
        <is>
          <t>뷰티/미용</t>
        </is>
      </c>
      <c r="B4" s="2" t="n">
        <v>9</v>
      </c>
      <c r="C4" s="4" t="n">
        <v>2263953.488372093</v>
      </c>
      <c r="D4" s="4" t="n">
        <v>2306415.841296312</v>
      </c>
      <c r="E4" s="4" t="n">
        <v>1492594.142259414</v>
      </c>
      <c r="F4" s="4" t="n">
        <v>3253800</v>
      </c>
      <c r="G4" s="3" t="n">
        <v>12.04444444444444</v>
      </c>
    </row>
    <row r="5">
      <c r="A5" s="2" t="inlineStr">
        <is>
          <t>상업/기타</t>
        </is>
      </c>
      <c r="B5" s="2" t="n">
        <v>8</v>
      </c>
      <c r="C5" s="4" t="n">
        <v>1646058.505639098</v>
      </c>
      <c r="D5" s="4" t="n">
        <v>1738436.172636444</v>
      </c>
      <c r="E5" s="4" t="n">
        <v>811393.7282229966</v>
      </c>
      <c r="F5" s="4" t="n">
        <v>2714436.090225564</v>
      </c>
      <c r="G5" s="3" t="n">
        <v>46.3375</v>
      </c>
    </row>
    <row r="6">
      <c r="A6" s="2" t="inlineStr">
        <is>
          <t>식음료</t>
        </is>
      </c>
      <c r="B6" s="2" t="n">
        <v>5</v>
      </c>
      <c r="C6" s="4" t="n">
        <v>1592918.918918919</v>
      </c>
      <c r="D6" s="4" t="n">
        <v>2415708.203888774</v>
      </c>
      <c r="E6" s="4" t="n">
        <v>899637.6811594203</v>
      </c>
      <c r="F6" s="4" t="n">
        <v>4510277.777777778</v>
      </c>
      <c r="G6" s="3" t="n">
        <v>47.64</v>
      </c>
    </row>
    <row r="7">
      <c r="A7" s="2" t="inlineStr">
        <is>
          <t>대학/공공</t>
        </is>
      </c>
      <c r="B7" s="2" t="n">
        <v>2</v>
      </c>
      <c r="C7" s="4" t="n">
        <v>1277736.995624696</v>
      </c>
      <c r="D7" s="4" t="n">
        <v>1277736.995624696</v>
      </c>
      <c r="E7" s="4" t="n">
        <v>1171176.470588235</v>
      </c>
      <c r="F7" s="4" t="n">
        <v>1384297.520661157</v>
      </c>
      <c r="G7" s="3" t="n">
        <v>25.7</v>
      </c>
    </row>
    <row r="8">
      <c r="A8" s="6" t="inlineStr">
        <is>
          <t>전체</t>
        </is>
      </c>
      <c r="B8" s="6" t="n">
        <v>44</v>
      </c>
      <c r="C8" s="7" t="n">
        <v>1645053.199035324</v>
      </c>
      <c r="D8" s="7" t="n">
        <v>1795268.792937721</v>
      </c>
      <c r="E8" s="7" t="n">
        <v>588060.8365019012</v>
      </c>
      <c r="F8" s="7" t="n">
        <v>4510277.777777778</v>
      </c>
      <c r="G8" s="8" t="n">
        <v>31.21363636363636</v>
      </c>
    </row>
    <row r="10">
      <c r="A10" s="5" t="inlineStr">
        <is>
          <t>※ VAT 포함 기준. 업종은 90건 전체 수동 분류 (자동 키워드 분류 아님).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14" customWidth="1" min="5" max="5"/>
    <col width="9" customWidth="1" min="6" max="6"/>
    <col width="9" customWidth="1" min="7" max="7"/>
    <col width="15" customWidth="1" min="8" max="8"/>
    <col width="9" customWidth="1" min="9" max="9"/>
  </cols>
  <sheetData>
    <row r="1">
      <c r="A1" s="1" t="inlineStr">
        <is>
          <t>공종</t>
        </is>
      </c>
      <c r="B1" s="1" t="inlineStr">
        <is>
          <t>등장 현장수</t>
        </is>
      </c>
      <c r="C1" s="1" t="inlineStr">
        <is>
          <t>등장률</t>
        </is>
      </c>
      <c r="D1" s="1" t="inlineStr">
        <is>
          <t>금액 비중</t>
        </is>
      </c>
      <c r="E1" s="1" t="inlineStr">
        <is>
          <t>평당금액 중앙값</t>
        </is>
      </c>
      <c r="F1" s="1" t="inlineStr">
        <is>
          <t>재료비 비율</t>
        </is>
      </c>
      <c r="G1" s="1" t="inlineStr">
        <is>
          <t>노무비 비율</t>
        </is>
      </c>
      <c r="H1" s="1" t="inlineStr">
        <is>
          <t>평당 투입품 중앙값</t>
        </is>
      </c>
      <c r="I1" s="1" t="inlineStr">
        <is>
          <t>총 투입품</t>
        </is>
      </c>
    </row>
    <row r="2">
      <c r="A2" s="2" t="inlineStr">
        <is>
          <t>목작업</t>
        </is>
      </c>
      <c r="B2" s="2" t="n">
        <v>43</v>
      </c>
      <c r="C2" s="9" t="n">
        <v>0.9772727272727273</v>
      </c>
      <c r="D2" s="9" t="n">
        <v>0.2499402461017315</v>
      </c>
      <c r="E2" s="4" t="n">
        <v>395574.4680851063</v>
      </c>
      <c r="F2" s="9" t="n">
        <v>0.4122284695664829</v>
      </c>
      <c r="G2" s="9" t="n">
        <v>0.5298166104992772</v>
      </c>
      <c r="H2" s="2" t="n">
        <v>0.7</v>
      </c>
      <c r="I2" s="2" t="n">
        <v>754</v>
      </c>
    </row>
    <row r="3">
      <c r="A3" s="2" t="inlineStr">
        <is>
          <t>전기</t>
        </is>
      </c>
      <c r="B3" s="2" t="n">
        <v>41</v>
      </c>
      <c r="C3" s="9" t="n">
        <v>0.9318181818181818</v>
      </c>
      <c r="D3" s="9" t="n">
        <v>0.1325357441527028</v>
      </c>
      <c r="E3" s="4" t="n">
        <v>169744.9275362319</v>
      </c>
      <c r="F3" s="9" t="n">
        <v>0.543199692048861</v>
      </c>
      <c r="G3" s="9" t="n">
        <v>0.4315266726662597</v>
      </c>
      <c r="H3" s="2" t="n">
        <v>0.29</v>
      </c>
      <c r="I3" s="2" t="n">
        <v>341.5</v>
      </c>
    </row>
    <row r="4">
      <c r="A4" s="2" t="inlineStr">
        <is>
          <t>가구</t>
        </is>
      </c>
      <c r="B4" s="2" t="n">
        <v>30</v>
      </c>
      <c r="C4" s="9" t="n">
        <v>0.6818181818181818</v>
      </c>
      <c r="D4" s="9" t="n">
        <v>0.08541951726739248</v>
      </c>
      <c r="E4" s="4" t="n">
        <v>127375.4818673432</v>
      </c>
      <c r="F4" s="9" t="n">
        <v>0.9805386785288055</v>
      </c>
      <c r="G4" s="9" t="n">
        <v>0.01661332320711728</v>
      </c>
      <c r="H4" s="2" t="n">
        <v>0.11</v>
      </c>
      <c r="I4" s="2" t="n">
        <v>9</v>
      </c>
    </row>
    <row r="5">
      <c r="A5" s="2" t="inlineStr">
        <is>
          <t>수장</t>
        </is>
      </c>
      <c r="B5" s="2" t="n">
        <v>19</v>
      </c>
      <c r="C5" s="9" t="n">
        <v>0.4318181818181818</v>
      </c>
      <c r="D5" s="9" t="n">
        <v>0.05150355753215529</v>
      </c>
      <c r="E5" s="4" t="n">
        <v>186808.5106382979</v>
      </c>
      <c r="F5" s="9" t="n">
        <v>0.434017859151128</v>
      </c>
      <c r="G5" s="9" t="n">
        <v>0.4834791605749117</v>
      </c>
      <c r="H5" s="2" t="n">
        <v>0.32</v>
      </c>
      <c r="I5" s="2" t="n">
        <v>156</v>
      </c>
    </row>
    <row r="6">
      <c r="A6" s="2" t="inlineStr">
        <is>
          <t>타일</t>
        </is>
      </c>
      <c r="B6" s="2" t="n">
        <v>14</v>
      </c>
      <c r="C6" s="9" t="n">
        <v>0.3181818181818182</v>
      </c>
      <c r="D6" s="9" t="n">
        <v>0.05068598098458744</v>
      </c>
      <c r="E6" s="4" t="n">
        <v>164857.4901928735</v>
      </c>
      <c r="F6" s="9" t="n">
        <v>0.5059567003594019</v>
      </c>
      <c r="G6" s="9" t="n">
        <v>0.4265968813745264</v>
      </c>
      <c r="H6" s="2" t="n">
        <v>0.22</v>
      </c>
      <c r="I6" s="2" t="n">
        <v>125</v>
      </c>
    </row>
    <row r="7">
      <c r="A7" s="2" t="inlineStr">
        <is>
          <t>냉난방</t>
        </is>
      </c>
      <c r="B7" s="2" t="n">
        <v>14</v>
      </c>
      <c r="C7" s="9" t="n">
        <v>0.3181818181818182</v>
      </c>
      <c r="D7" s="9" t="n">
        <v>0.04668556127096556</v>
      </c>
      <c r="E7" s="4" t="n">
        <v>197730.2379988303</v>
      </c>
      <c r="F7" s="9" t="n">
        <v>0.9900744416873449</v>
      </c>
      <c r="G7" s="9" t="n">
        <v>0.009925558312655087</v>
      </c>
      <c r="H7" s="2" t="n">
        <v>0.04</v>
      </c>
      <c r="I7" s="2" t="n">
        <v>1</v>
      </c>
    </row>
    <row r="8">
      <c r="A8" s="2" t="inlineStr">
        <is>
          <t>철거</t>
        </is>
      </c>
      <c r="B8" s="2" t="n">
        <v>23</v>
      </c>
      <c r="C8" s="9" t="n">
        <v>0.5227272727272727</v>
      </c>
      <c r="D8" s="9" t="n">
        <v>0.04311000333392251</v>
      </c>
      <c r="E8" s="4" t="n">
        <v>90082.64462809918</v>
      </c>
      <c r="F8" s="9" t="n">
        <v>0.2739597189192094</v>
      </c>
      <c r="G8" s="9" t="n">
        <v>0.4503741921614468</v>
      </c>
      <c r="H8" s="2" t="n">
        <v>0.17</v>
      </c>
      <c r="I8" s="2" t="n">
        <v>140</v>
      </c>
    </row>
    <row r="9">
      <c r="A9" s="2" t="inlineStr">
        <is>
          <t>도장</t>
        </is>
      </c>
      <c r="B9" s="2" t="n">
        <v>11</v>
      </c>
      <c r="C9" s="9" t="n">
        <v>0.25</v>
      </c>
      <c r="D9" s="9" t="n">
        <v>0.04302601566166084</v>
      </c>
      <c r="E9" s="4" t="n">
        <v>125145.3855878635</v>
      </c>
      <c r="F9" s="9" t="n">
        <v>0.5422578821248755</v>
      </c>
      <c r="G9" s="9" t="n">
        <v>0.4333485905064484</v>
      </c>
      <c r="H9" s="2" t="n">
        <v>0.1</v>
      </c>
      <c r="I9" s="2" t="n">
        <v>72</v>
      </c>
    </row>
    <row r="10">
      <c r="A10" s="2" t="inlineStr">
        <is>
          <t>금속</t>
        </is>
      </c>
      <c r="B10" s="2" t="n">
        <v>16</v>
      </c>
      <c r="C10" s="9" t="n">
        <v>0.3636363636363636</v>
      </c>
      <c r="D10" s="9" t="n">
        <v>0.0402411002945293</v>
      </c>
      <c r="E10" s="4" t="n">
        <v>107715.9350160571</v>
      </c>
      <c r="F10" s="9" t="n">
        <v>0.8732475458444886</v>
      </c>
      <c r="G10" s="9" t="n">
        <v>0.114287359299882</v>
      </c>
      <c r="H10" s="2" t="n">
        <v>0.07000000000000001</v>
      </c>
      <c r="I10" s="2" t="n">
        <v>29</v>
      </c>
    </row>
    <row r="11">
      <c r="A11" s="2" t="inlineStr">
        <is>
          <t>가설</t>
        </is>
      </c>
      <c r="B11" s="2" t="n">
        <v>44</v>
      </c>
      <c r="C11" s="9" t="n">
        <v>1</v>
      </c>
      <c r="D11" s="9" t="n">
        <v>0.03649126909599395</v>
      </c>
      <c r="E11" s="4" t="n">
        <v>52046.23655913978</v>
      </c>
      <c r="F11" s="9" t="n">
        <v>0.1996995815579864</v>
      </c>
      <c r="G11" s="9" t="n">
        <v>0.5005794353398685</v>
      </c>
      <c r="H11" s="2" t="n"/>
      <c r="I11" s="2" t="n"/>
    </row>
    <row r="12">
      <c r="A12" s="2" t="inlineStr">
        <is>
          <t>설비</t>
        </is>
      </c>
      <c r="B12" s="2" t="n">
        <v>23</v>
      </c>
      <c r="C12" s="9" t="n">
        <v>0.5227272727272727</v>
      </c>
      <c r="D12" s="9" t="n">
        <v>0.03598640066281866</v>
      </c>
      <c r="E12" s="4" t="n">
        <v>113305.0847457627</v>
      </c>
      <c r="F12" s="9" t="n">
        <v>0.6305560250126754</v>
      </c>
      <c r="G12" s="9" t="n">
        <v>0.3426768713231448</v>
      </c>
      <c r="H12" s="2" t="n">
        <v>0.11</v>
      </c>
      <c r="I12" s="2" t="n">
        <v>73</v>
      </c>
    </row>
    <row r="13">
      <c r="A13" s="2" t="inlineStr">
        <is>
          <t>필름</t>
        </is>
      </c>
      <c r="B13" s="2" t="n">
        <v>22</v>
      </c>
      <c r="C13" s="9" t="n">
        <v>0.5</v>
      </c>
      <c r="D13" s="9" t="n">
        <v>0.02858071525798082</v>
      </c>
      <c r="E13" s="4" t="n">
        <v>41021.73561732385</v>
      </c>
      <c r="F13" s="9" t="n">
        <v>0.3922136878584602</v>
      </c>
      <c r="G13" s="9" t="n">
        <v>0.5788055043268548</v>
      </c>
      <c r="H13" s="2" t="n">
        <v>0.1</v>
      </c>
      <c r="I13" s="2" t="n">
        <v>99</v>
      </c>
    </row>
    <row r="14">
      <c r="A14" s="2" t="inlineStr">
        <is>
          <t>바닥</t>
        </is>
      </c>
      <c r="B14" s="2" t="n">
        <v>14</v>
      </c>
      <c r="C14" s="9" t="n">
        <v>0.3181818181818182</v>
      </c>
      <c r="D14" s="9" t="n">
        <v>0.02005133272081452</v>
      </c>
      <c r="E14" s="4" t="n">
        <v>81376.34408602151</v>
      </c>
      <c r="F14" s="9" t="n">
        <v>0.5954358344767819</v>
      </c>
      <c r="G14" s="9" t="n">
        <v>0.3405791868274717</v>
      </c>
      <c r="H14" s="2" t="n">
        <v>0.1</v>
      </c>
      <c r="I14" s="2" t="n">
        <v>46</v>
      </c>
    </row>
    <row r="15">
      <c r="A15" s="2" t="inlineStr">
        <is>
          <t>도배</t>
        </is>
      </c>
      <c r="B15" s="2" t="n">
        <v>17</v>
      </c>
      <c r="C15" s="9" t="n">
        <v>0.3863636363636364</v>
      </c>
      <c r="D15" s="9" t="n">
        <v>0.01793976679509113</v>
      </c>
      <c r="E15" s="4" t="n">
        <v>85652.17391304347</v>
      </c>
      <c r="F15" s="9" t="n">
        <v>0.3973911920444272</v>
      </c>
      <c r="G15" s="9" t="n">
        <v>0.5666408368849283</v>
      </c>
      <c r="H15" s="2" t="n">
        <v>0.18</v>
      </c>
      <c r="I15" s="2" t="n">
        <v>63</v>
      </c>
    </row>
    <row r="16">
      <c r="A16" s="2" t="inlineStr">
        <is>
          <t>기타작업</t>
        </is>
      </c>
      <c r="B16" s="2" t="n">
        <v>10</v>
      </c>
      <c r="C16" s="9" t="n">
        <v>0.2272727272727273</v>
      </c>
      <c r="D16" s="9" t="n">
        <v>0.01503616700022332</v>
      </c>
      <c r="E16" s="4" t="n">
        <v>35649.7105595848</v>
      </c>
      <c r="F16" s="9" t="n">
        <v>0.6891264095539837</v>
      </c>
      <c r="G16" s="9" t="n">
        <v>0.2831376883742263</v>
      </c>
      <c r="H16" s="2" t="n">
        <v>0.08</v>
      </c>
      <c r="I16" s="2" t="n">
        <v>27</v>
      </c>
    </row>
    <row r="17">
      <c r="A17" s="2" t="inlineStr">
        <is>
          <t>집기류</t>
        </is>
      </c>
      <c r="B17" s="2" t="n">
        <v>2</v>
      </c>
      <c r="C17" s="9" t="n">
        <v>0.04545454545454546</v>
      </c>
      <c r="D17" s="9" t="n">
        <v>0.01345772122294806</v>
      </c>
      <c r="E17" s="4" t="n">
        <v>260053.5857104772</v>
      </c>
      <c r="F17" s="9" t="n">
        <v>0.9870878884393561</v>
      </c>
      <c r="G17" s="9" t="n">
        <v>0</v>
      </c>
      <c r="H17" s="2" t="n"/>
      <c r="I17" s="2" t="n"/>
    </row>
    <row r="18">
      <c r="A18" s="2" t="inlineStr">
        <is>
          <t>소방</t>
        </is>
      </c>
      <c r="B18" s="2" t="n">
        <v>12</v>
      </c>
      <c r="C18" s="9" t="n">
        <v>0.2727272727272727</v>
      </c>
      <c r="D18" s="9" t="n">
        <v>0.01258511826941569</v>
      </c>
      <c r="E18" s="4" t="n">
        <v>34490.4319300164</v>
      </c>
      <c r="F18" s="9" t="n">
        <v>0.5290300310666206</v>
      </c>
      <c r="G18" s="9" t="n">
        <v>0.4492003221723622</v>
      </c>
      <c r="H18" s="2" t="n">
        <v>0.07000000000000001</v>
      </c>
      <c r="I18" s="2" t="n">
        <v>35</v>
      </c>
    </row>
    <row r="19">
      <c r="A19" s="2" t="inlineStr">
        <is>
          <t>징크작업</t>
        </is>
      </c>
      <c r="B19" s="2" t="n">
        <v>1</v>
      </c>
      <c r="C19" s="9" t="n">
        <v>0.02272727272727273</v>
      </c>
      <c r="D19" s="9" t="n">
        <v>0.009782999910103651</v>
      </c>
      <c r="E19" s="4" t="n">
        <v>879677.0833333334</v>
      </c>
      <c r="F19" s="9" t="n">
        <v>0.5796279411242288</v>
      </c>
      <c r="G19" s="9" t="n">
        <v>0.3730061930869519</v>
      </c>
      <c r="H19" s="2" t="n">
        <v>1.09</v>
      </c>
      <c r="I19" s="2" t="n">
        <v>21</v>
      </c>
    </row>
    <row r="20">
      <c r="A20" s="2" t="inlineStr">
        <is>
          <t>경량</t>
        </is>
      </c>
      <c r="B20" s="2" t="n">
        <v>2</v>
      </c>
      <c r="C20" s="9" t="n">
        <v>0.04545454545454546</v>
      </c>
      <c r="D20" s="9" t="n">
        <v>0.00920910345715982</v>
      </c>
      <c r="E20" s="4" t="n">
        <v>165788.3491389992</v>
      </c>
      <c r="F20" s="9" t="n">
        <v>0.8666582803949934</v>
      </c>
      <c r="G20" s="9" t="n">
        <v>0.1132146675891565</v>
      </c>
      <c r="H20" s="2" t="n"/>
      <c r="I20" s="2" t="n"/>
    </row>
    <row r="21">
      <c r="A21" s="2" t="inlineStr">
        <is>
          <t>싸인</t>
        </is>
      </c>
      <c r="B21" s="2" t="n">
        <v>8</v>
      </c>
      <c r="C21" s="9" t="n">
        <v>0.1818181818181818</v>
      </c>
      <c r="D21" s="9" t="n">
        <v>0.008747750485046618</v>
      </c>
      <c r="E21" s="4" t="n">
        <v>40778.89792870337</v>
      </c>
      <c r="F21" s="9" t="n">
        <v>0.9470286376427743</v>
      </c>
      <c r="G21" s="9" t="n">
        <v>0.02979639132593941</v>
      </c>
      <c r="H21" s="2" t="n">
        <v>0.02</v>
      </c>
      <c r="I21" s="2" t="n">
        <v>2</v>
      </c>
    </row>
    <row r="22">
      <c r="A22" s="2" t="inlineStr">
        <is>
          <t>마당포장공사</t>
        </is>
      </c>
      <c r="B22" s="2" t="n">
        <v>1</v>
      </c>
      <c r="C22" s="9" t="n">
        <v>0.02272727272727273</v>
      </c>
      <c r="D22" s="9" t="n">
        <v>0.007861246123691622</v>
      </c>
      <c r="E22" s="4" t="n">
        <v>342727.2727272727</v>
      </c>
      <c r="F22" s="9" t="n">
        <v>0.6716033009136457</v>
      </c>
      <c r="G22" s="9" t="n">
        <v>0.1809608016504568</v>
      </c>
      <c r="H22" s="2" t="n"/>
      <c r="I22" s="2" t="n"/>
    </row>
    <row r="23">
      <c r="A23" s="2" t="inlineStr">
        <is>
          <t>샷시</t>
        </is>
      </c>
      <c r="B23" s="2" t="n">
        <v>3</v>
      </c>
      <c r="C23" s="9" t="n">
        <v>0.06818181818181818</v>
      </c>
      <c r="D23" s="9" t="n">
        <v>0.006220300775296516</v>
      </c>
      <c r="E23" s="4" t="n">
        <v>110627.1777003484</v>
      </c>
      <c r="F23" s="9" t="n">
        <v>0.8267995157835926</v>
      </c>
      <c r="G23" s="9" t="n">
        <v>0.1601638886302263</v>
      </c>
      <c r="H23" s="2" t="n">
        <v>0.07000000000000001</v>
      </c>
      <c r="I23" s="2" t="n">
        <v>6</v>
      </c>
    </row>
    <row r="24">
      <c r="A24" s="2" t="inlineStr">
        <is>
          <t>비품</t>
        </is>
      </c>
      <c r="B24" s="2" t="n">
        <v>1</v>
      </c>
      <c r="C24" s="9" t="n">
        <v>0.02272727272727273</v>
      </c>
      <c r="D24" s="9" t="n">
        <v>0.006186126481065909</v>
      </c>
      <c r="E24" s="4" t="n">
        <v>392647.0588235294</v>
      </c>
      <c r="F24" s="9" t="n">
        <v>1</v>
      </c>
      <c r="G24" s="9" t="n">
        <v>0</v>
      </c>
      <c r="H24" s="2" t="n"/>
      <c r="I24" s="2" t="n"/>
    </row>
    <row r="25">
      <c r="A25" s="2" t="inlineStr">
        <is>
          <t>샤워실</t>
        </is>
      </c>
      <c r="B25" s="2" t="n">
        <v>1</v>
      </c>
      <c r="C25" s="9" t="n">
        <v>0.02272727272727273</v>
      </c>
      <c r="D25" s="9" t="n">
        <v>0.006080417859081403</v>
      </c>
      <c r="E25" s="4" t="n">
        <v>365766.5505226481</v>
      </c>
      <c r="F25" s="9" t="n">
        <v>0.7094546320552513</v>
      </c>
      <c r="G25" s="9" t="n">
        <v>0.2905453679447487</v>
      </c>
      <c r="H25" s="2" t="n">
        <v>0.42</v>
      </c>
      <c r="I25" s="2" t="n">
        <v>12</v>
      </c>
    </row>
    <row r="26">
      <c r="A26" s="2" t="inlineStr">
        <is>
          <t>기타</t>
        </is>
      </c>
      <c r="B26" s="2" t="n">
        <v>4</v>
      </c>
      <c r="C26" s="9" t="n">
        <v>0.09090909090909091</v>
      </c>
      <c r="D26" s="9" t="n">
        <v>0.00378871401544055</v>
      </c>
      <c r="E26" s="4" t="n">
        <v>41912.63282172373</v>
      </c>
      <c r="F26" s="9" t="n">
        <v>0.8555264162891251</v>
      </c>
      <c r="G26" s="9" t="n">
        <v>0.1383583126866495</v>
      </c>
      <c r="H26" s="2" t="n"/>
      <c r="I26" s="2" t="n"/>
    </row>
    <row r="27">
      <c r="A27" s="2" t="inlineStr">
        <is>
          <t>화장실</t>
        </is>
      </c>
      <c r="B27" s="2" t="n">
        <v>1</v>
      </c>
      <c r="C27" s="9" t="n">
        <v>0.02272727272727273</v>
      </c>
      <c r="D27" s="9" t="n">
        <v>0.003571213747098489</v>
      </c>
      <c r="E27" s="4" t="n">
        <v>321119.7916666667</v>
      </c>
      <c r="F27" s="9" t="n">
        <v>0.5150433865866515</v>
      </c>
      <c r="G27" s="9" t="n">
        <v>0.3892628335090422</v>
      </c>
      <c r="H27" s="2" t="n">
        <v>0.42</v>
      </c>
      <c r="I27" s="2" t="n">
        <v>8</v>
      </c>
    </row>
    <row r="28">
      <c r="A28" s="2" t="inlineStr">
        <is>
          <t>닥트</t>
        </is>
      </c>
      <c r="B28" s="2" t="n">
        <v>3</v>
      </c>
      <c r="C28" s="9" t="n">
        <v>0.06818181818181818</v>
      </c>
      <c r="D28" s="9" t="n">
        <v>0.003129554436067332</v>
      </c>
      <c r="E28" s="4" t="n">
        <v>97459.45945945945</v>
      </c>
      <c r="F28" s="9" t="n">
        <v>0.6816583379603923</v>
      </c>
      <c r="G28" s="9" t="n">
        <v>0.2887284841754581</v>
      </c>
      <c r="H28" s="2" t="n">
        <v>0.11</v>
      </c>
      <c r="I28" s="2" t="n">
        <v>6</v>
      </c>
    </row>
    <row r="29">
      <c r="A29" s="2" t="inlineStr">
        <is>
          <t>블라인드</t>
        </is>
      </c>
      <c r="B29" s="2" t="n">
        <v>6</v>
      </c>
      <c r="C29" s="9" t="n">
        <v>0.1363636363636364</v>
      </c>
      <c r="D29" s="9" t="n">
        <v>0.002827198815925346</v>
      </c>
      <c r="E29" s="4" t="n">
        <v>17218.75</v>
      </c>
      <c r="F29" s="9" t="n">
        <v>0.8565867650071707</v>
      </c>
      <c r="G29" s="9" t="n">
        <v>0.1434132349928293</v>
      </c>
      <c r="H29" s="2" t="n">
        <v>0.03</v>
      </c>
      <c r="I29" s="2" t="n">
        <v>5</v>
      </c>
    </row>
    <row r="30">
      <c r="A30" s="2" t="inlineStr">
        <is>
          <t>갈바작업</t>
        </is>
      </c>
      <c r="B30" s="2" t="n">
        <v>1</v>
      </c>
      <c r="C30" s="9" t="n">
        <v>0.02272727272727273</v>
      </c>
      <c r="D30" s="9" t="n">
        <v>0.001787489355858557</v>
      </c>
      <c r="E30" s="4" t="n">
        <v>166810.8108108108</v>
      </c>
      <c r="F30" s="9" t="n">
        <v>0.712896953985742</v>
      </c>
      <c r="G30" s="9" t="n">
        <v>0.2430330524951393</v>
      </c>
      <c r="H30" s="2" t="n">
        <v>0.16</v>
      </c>
      <c r="I30" s="2" t="n">
        <v>3</v>
      </c>
    </row>
    <row r="31">
      <c r="A31" s="2" t="inlineStr">
        <is>
          <t>텍스</t>
        </is>
      </c>
      <c r="B31" s="2" t="n">
        <v>1</v>
      </c>
      <c r="C31" s="9" t="n">
        <v>0.02272727272727273</v>
      </c>
      <c r="D31" s="9" t="n">
        <v>0.001629360841876255</v>
      </c>
      <c r="E31" s="4" t="n">
        <v>95033.78378378377</v>
      </c>
      <c r="F31" s="9" t="n">
        <v>0.541414859580519</v>
      </c>
      <c r="G31" s="9" t="n">
        <v>0.4372555990046214</v>
      </c>
      <c r="H31" s="2" t="n">
        <v>0.14</v>
      </c>
      <c r="I31" s="2" t="n">
        <v>4</v>
      </c>
    </row>
    <row r="32">
      <c r="A32" s="2" t="inlineStr">
        <is>
          <t>영상</t>
        </is>
      </c>
      <c r="B32" s="2" t="n">
        <v>1</v>
      </c>
      <c r="C32" s="9" t="n">
        <v>0.02272727272727273</v>
      </c>
      <c r="D32" s="9" t="n">
        <v>0.00150308972082079</v>
      </c>
      <c r="E32" s="4" t="n">
        <v>43760.53962900506</v>
      </c>
      <c r="F32" s="9" t="n">
        <v>0.8651252408477842</v>
      </c>
      <c r="G32" s="9" t="n">
        <v>0.1348747591522158</v>
      </c>
      <c r="H32" s="2" t="n">
        <v>0.02</v>
      </c>
      <c r="I32" s="2" t="n">
        <v>1</v>
      </c>
    </row>
    <row r="34">
      <c r="A34" s="5" t="inlineStr">
        <is>
          <t>※ 본공사 44건의 내역서 [소계] 기준 (직접공사비, VAT·간접비 제외). 투입품 = 내역서의 "인" 단위 수량.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</cols>
  <sheetData>
    <row r="1">
      <c r="A1" s="1" t="inlineStr">
        <is>
          <t>항목</t>
        </is>
      </c>
      <c r="B1" s="1" t="inlineStr">
        <is>
          <t>표준값</t>
        </is>
      </c>
      <c r="C1" s="1" t="inlineStr">
        <is>
          <t>비고</t>
        </is>
      </c>
    </row>
    <row r="2">
      <c r="A2" s="2" t="inlineStr">
        <is>
          <t>고용보험</t>
        </is>
      </c>
      <c r="B2" s="10" t="n">
        <v>0.0101</v>
      </c>
      <c r="C2" s="2" t="inlineStr">
        <is>
          <t>노무비 기준 (견적서 86건 중 85건 동일)</t>
        </is>
      </c>
    </row>
    <row r="3">
      <c r="A3" s="2" t="inlineStr">
        <is>
          <t>산재보험</t>
        </is>
      </c>
      <c r="B3" s="10" t="n">
        <v>0.0356</v>
      </c>
      <c r="C3" s="2" t="inlineStr">
        <is>
          <t>노무비 기준 (86건 중 84건 동일)</t>
        </is>
      </c>
    </row>
    <row r="4">
      <c r="A4" s="2" t="inlineStr">
        <is>
          <t>일반관리비</t>
        </is>
      </c>
      <c r="B4" s="10" t="n">
        <v>0.05</v>
      </c>
      <c r="C4" s="2" t="inlineStr">
        <is>
          <t>직접공사비 기준 (86건 중 79건 동일)</t>
        </is>
      </c>
    </row>
    <row r="5">
      <c r="A5" s="2" t="inlineStr">
        <is>
          <t>이윤</t>
        </is>
      </c>
      <c r="B5" s="10" t="n">
        <v>0.1</v>
      </c>
      <c r="C5" s="2" t="inlineStr">
        <is>
          <t>직접공사비 기준 (88건 중 85건 동일)</t>
        </is>
      </c>
    </row>
    <row r="6">
      <c r="A6" s="2" t="inlineStr">
        <is>
          <t>부가세</t>
        </is>
      </c>
      <c r="B6" s="10" t="n">
        <v>0.1</v>
      </c>
      <c r="C6" s="2" t="inlineStr">
        <is>
          <t>88건 전체 동일</t>
        </is>
      </c>
    </row>
    <row r="7">
      <c r="A7" s="2" t="inlineStr">
        <is>
          <t>단수정리</t>
        </is>
      </c>
      <c r="B7" s="2" t="inlineStr">
        <is>
          <t>만단위 절사</t>
        </is>
      </c>
      <c r="C7" s="2" t="inlineStr">
        <is>
          <t>갑지 표기는 '천단위절사'지만 실제 계산은 만단위 절사</t>
        </is>
      </c>
    </row>
    <row r="8">
      <c r="A8" s="2" t="inlineStr">
        <is>
          <t>노무비 단가(1품)</t>
        </is>
      </c>
      <c r="B8" s="4" t="n">
        <v>300000</v>
      </c>
      <c r="C8" s="2" t="inlineStr">
        <is>
          <t>내역서 표준 단가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6" customWidth="1" min="4" max="4"/>
  </cols>
  <sheetData>
    <row r="1">
      <c r="A1" s="11" t="inlineStr">
        <is>
          <t>공종</t>
        </is>
      </c>
      <c r="B1" s="11" t="inlineStr">
        <is>
          <t>표본(현장수)</t>
        </is>
      </c>
      <c r="C1" s="11" t="inlineStr">
        <is>
          <t>실지출/견적 중앙값</t>
        </is>
      </c>
      <c r="D1" s="11" t="inlineStr">
        <is>
          <t>해석</t>
        </is>
      </c>
    </row>
    <row r="2">
      <c r="A2" s="2" t="inlineStr">
        <is>
          <t>목작업</t>
        </is>
      </c>
      <c r="B2" s="2" t="n">
        <v>58</v>
      </c>
      <c r="C2" s="13" t="n">
        <v>0.6580217357198295</v>
      </c>
      <c r="D2" s="2" t="inlineStr"/>
    </row>
    <row r="3">
      <c r="A3" s="2" t="inlineStr">
        <is>
          <t>가설</t>
        </is>
      </c>
      <c r="B3" s="2" t="n">
        <v>53</v>
      </c>
      <c r="C3" s="13" t="n">
        <v>0.4328883495145631</v>
      </c>
      <c r="D3" s="2" t="inlineStr">
        <is>
          <t>여유 큼</t>
        </is>
      </c>
    </row>
    <row r="4">
      <c r="A4" s="2" t="inlineStr">
        <is>
          <t>전기</t>
        </is>
      </c>
      <c r="B4" s="2" t="n">
        <v>52</v>
      </c>
      <c r="C4" s="13" t="n">
        <v>0.7453677431889113</v>
      </c>
      <c r="D4" s="2" t="inlineStr"/>
    </row>
    <row r="5">
      <c r="A5" s="2" t="inlineStr">
        <is>
          <t>가구</t>
        </is>
      </c>
      <c r="B5" s="2" t="n">
        <v>42</v>
      </c>
      <c r="C5" s="13" t="n">
        <v>0.8740573152337858</v>
      </c>
      <c r="D5" s="2" t="inlineStr"/>
    </row>
    <row r="6">
      <c r="A6" s="2" t="inlineStr">
        <is>
          <t>필름</t>
        </is>
      </c>
      <c r="B6" s="2" t="n">
        <v>24</v>
      </c>
      <c r="C6" s="13" t="n">
        <v>0.8286056363971266</v>
      </c>
      <c r="D6" s="2" t="inlineStr"/>
    </row>
    <row r="7">
      <c r="A7" s="2" t="inlineStr">
        <is>
          <t>철거</t>
        </is>
      </c>
      <c r="B7" s="2" t="n">
        <v>24</v>
      </c>
      <c r="C7" s="13" t="n">
        <v>0.5814601176470588</v>
      </c>
      <c r="D7" s="2" t="inlineStr">
        <is>
          <t>여유 큼</t>
        </is>
      </c>
    </row>
    <row r="8">
      <c r="A8" s="2" t="inlineStr">
        <is>
          <t>도배</t>
        </is>
      </c>
      <c r="B8" s="2" t="n">
        <v>23</v>
      </c>
      <c r="C8" s="13" t="n">
        <v>0.6165733333333333</v>
      </c>
      <c r="D8" s="2" t="inlineStr"/>
    </row>
    <row r="9">
      <c r="A9" s="2" t="inlineStr">
        <is>
          <t>설비</t>
        </is>
      </c>
      <c r="B9" s="2" t="n">
        <v>22</v>
      </c>
      <c r="C9" s="13" t="n">
        <v>0.4523075510820973</v>
      </c>
      <c r="D9" s="2" t="inlineStr">
        <is>
          <t>여유 큼</t>
        </is>
      </c>
    </row>
    <row r="10">
      <c r="A10" s="2" t="inlineStr">
        <is>
          <t>수장</t>
        </is>
      </c>
      <c r="B10" s="2" t="n">
        <v>22</v>
      </c>
      <c r="C10" s="13" t="n">
        <v>0.6454821924803139</v>
      </c>
      <c r="D10" s="2" t="inlineStr"/>
    </row>
    <row r="11">
      <c r="A11" s="2" t="inlineStr">
        <is>
          <t>금속</t>
        </is>
      </c>
      <c r="B11" s="2" t="n">
        <v>20</v>
      </c>
      <c r="C11" s="13" t="n">
        <v>0.8031838686165436</v>
      </c>
      <c r="D11" s="2" t="inlineStr"/>
    </row>
    <row r="12">
      <c r="A12" s="2" t="inlineStr">
        <is>
          <t>도장</t>
        </is>
      </c>
      <c r="B12" s="2" t="n">
        <v>19</v>
      </c>
      <c r="C12" s="13" t="n">
        <v>0.6915213469633193</v>
      </c>
      <c r="D12" s="2" t="inlineStr"/>
    </row>
    <row r="13">
      <c r="A13" s="2" t="inlineStr">
        <is>
          <t>바닥</t>
        </is>
      </c>
      <c r="B13" s="2" t="n">
        <v>18</v>
      </c>
      <c r="C13" s="13" t="n">
        <v>0.6341802003076509</v>
      </c>
      <c r="D13" s="2" t="inlineStr"/>
    </row>
    <row r="14">
      <c r="A14" s="2" t="inlineStr">
        <is>
          <t>타일</t>
        </is>
      </c>
      <c r="B14" s="2" t="n">
        <v>15</v>
      </c>
      <c r="C14" s="13" t="n">
        <v>0.6294937099454071</v>
      </c>
      <c r="D14" s="2" t="inlineStr"/>
    </row>
    <row r="15">
      <c r="A15" s="2" t="inlineStr">
        <is>
          <t>냉난방</t>
        </is>
      </c>
      <c r="B15" s="2" t="n">
        <v>13</v>
      </c>
      <c r="C15" s="13" t="n">
        <v>0.9689698927211905</v>
      </c>
      <c r="D15" s="2" t="inlineStr"/>
    </row>
    <row r="16">
      <c r="A16" s="2" t="inlineStr">
        <is>
          <t>샷시</t>
        </is>
      </c>
      <c r="B16" s="2" t="n">
        <v>9</v>
      </c>
      <c r="C16" s="13" t="n">
        <v>0.8505154639175257</v>
      </c>
      <c r="D16" s="2" t="inlineStr"/>
    </row>
    <row r="17">
      <c r="A17" s="2" t="inlineStr">
        <is>
          <t>소방</t>
        </is>
      </c>
      <c r="B17" s="2" t="n">
        <v>9</v>
      </c>
      <c r="C17" s="13" t="n">
        <v>1.31234995998933</v>
      </c>
      <c r="D17" s="2" t="inlineStr">
        <is>
          <t>견적 초과 주의</t>
        </is>
      </c>
    </row>
    <row r="18">
      <c r="A18" s="2" t="inlineStr">
        <is>
          <t>싸인</t>
        </is>
      </c>
      <c r="B18" s="2" t="n">
        <v>7</v>
      </c>
      <c r="C18" s="13" t="n">
        <v>0.8642384105960265</v>
      </c>
      <c r="D18" s="2" t="inlineStr"/>
    </row>
    <row r="19">
      <c r="A19" s="2" t="inlineStr">
        <is>
          <t>블라인드</t>
        </is>
      </c>
      <c r="B19" s="2" t="n">
        <v>6</v>
      </c>
      <c r="C19" s="13" t="n">
        <v>0.8073034000931533</v>
      </c>
      <c r="D19" s="2" t="inlineStr"/>
    </row>
    <row r="20">
      <c r="A20" s="2" t="inlineStr">
        <is>
          <t>기타작업</t>
        </is>
      </c>
      <c r="B20" s="2" t="n">
        <v>6</v>
      </c>
      <c r="C20" s="13" t="n">
        <v>0.6276624424452466</v>
      </c>
      <c r="D20" s="2" t="inlineStr"/>
    </row>
    <row r="22">
      <c r="A22" s="5" t="inlineStr">
        <is>
          <t>※ 견적금액 20만원 이상 공종만. 실지출 = 손익표 내역서 부가세 뺀 금액.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4" customWidth="1" min="4" max="4"/>
    <col width="14" customWidth="1" min="5" max="5"/>
  </cols>
  <sheetData>
    <row r="1">
      <c r="A1" s="11" t="inlineStr">
        <is>
          <t>연도</t>
        </is>
      </c>
      <c r="B1" s="11" t="inlineStr">
        <is>
          <t>현장명</t>
        </is>
      </c>
      <c r="C1" s="11" t="inlineStr">
        <is>
          <t>매출(VAT포함)</t>
        </is>
      </c>
      <c r="D1" s="11" t="inlineStr">
        <is>
          <t>순이익</t>
        </is>
      </c>
      <c r="E1" s="11" t="inlineStr">
        <is>
          <t>이익률(대장 기재)</t>
        </is>
      </c>
    </row>
    <row r="2">
      <c r="A2" s="2" t="inlineStr">
        <is>
          <t>2024</t>
        </is>
      </c>
      <c r="B2" s="2" t="inlineStr">
        <is>
          <t>HCS공장 사무동 계단</t>
        </is>
      </c>
      <c r="C2" s="4" t="n">
        <v>19624000</v>
      </c>
      <c r="D2" s="4" t="n"/>
      <c r="E2" s="9" t="n"/>
    </row>
    <row r="3">
      <c r="A3" s="2" t="inlineStr">
        <is>
          <t>2024</t>
        </is>
      </c>
      <c r="B3" s="2" t="inlineStr">
        <is>
          <t>HK창원</t>
        </is>
      </c>
      <c r="C3" s="4" t="n">
        <v>29799000</v>
      </c>
      <c r="D3" s="4" t="n"/>
      <c r="E3" s="9" t="n">
        <v>0.36</v>
      </c>
    </row>
    <row r="4">
      <c r="A4" s="2" t="inlineStr">
        <is>
          <t>2024</t>
        </is>
      </c>
      <c r="B4" s="2" t="inlineStr">
        <is>
          <t>Hk대구</t>
        </is>
      </c>
      <c r="C4" s="4" t="n">
        <v>13222000</v>
      </c>
      <c r="D4" s="4" t="n"/>
      <c r="E4" s="9" t="n"/>
    </row>
    <row r="5">
      <c r="A5" s="2" t="inlineStr">
        <is>
          <t>2024</t>
        </is>
      </c>
      <c r="B5" s="2" t="inlineStr">
        <is>
          <t>JD504 리드인</t>
        </is>
      </c>
      <c r="C5" s="4" t="n">
        <v>31625000</v>
      </c>
      <c r="D5" s="4" t="n"/>
      <c r="E5" s="9" t="n">
        <v>0.27</v>
      </c>
    </row>
    <row r="6">
      <c r="A6" s="2" t="inlineStr">
        <is>
          <t>2024</t>
        </is>
      </c>
      <c r="B6" s="2" t="inlineStr">
        <is>
          <t>JD505 LT수학</t>
        </is>
      </c>
      <c r="C6" s="4" t="n">
        <v>43703000</v>
      </c>
      <c r="D6" s="4" t="n"/>
      <c r="E6" s="9" t="n">
        <v>0.32</v>
      </c>
    </row>
    <row r="7">
      <c r="A7" s="2" t="inlineStr">
        <is>
          <t>2024</t>
        </is>
      </c>
      <c r="B7" s="2" t="inlineStr">
        <is>
          <t>SK 615호</t>
        </is>
      </c>
      <c r="C7" s="4" t="n">
        <v>27500000</v>
      </c>
      <c r="D7" s="4" t="n"/>
      <c r="E7" s="9" t="n"/>
    </row>
    <row r="8">
      <c r="A8" s="2" t="inlineStr">
        <is>
          <t>2024</t>
        </is>
      </c>
      <c r="B8" s="2" t="inlineStr">
        <is>
          <t>감계 푸르지오 교습소</t>
        </is>
      </c>
      <c r="C8" s="4" t="n">
        <v>16470000</v>
      </c>
      <c r="D8" s="4" t="n"/>
      <c r="E8" s="9" t="n"/>
    </row>
    <row r="9">
      <c r="A9" s="2" t="inlineStr">
        <is>
          <t>2024</t>
        </is>
      </c>
      <c r="B9" s="2" t="inlineStr">
        <is>
          <t>경남대 미래라이프대학</t>
        </is>
      </c>
      <c r="C9" s="4" t="n">
        <v>83330187</v>
      </c>
      <c r="D9" s="4" t="n"/>
      <c r="E9" s="9" t="n"/>
    </row>
    <row r="10">
      <c r="A10" s="2" t="inlineStr">
        <is>
          <t>2024</t>
        </is>
      </c>
      <c r="B10" s="2" t="inlineStr">
        <is>
          <t>교방동 누리학원</t>
        </is>
      </c>
      <c r="C10" s="4" t="n">
        <v>52448000</v>
      </c>
      <c r="D10" s="4" t="n"/>
      <c r="E10" s="9" t="n"/>
    </row>
    <row r="11">
      <c r="A11" s="2" t="inlineStr">
        <is>
          <t>2024</t>
        </is>
      </c>
      <c r="B11" s="2" t="inlineStr">
        <is>
          <t>낙동강2층</t>
        </is>
      </c>
      <c r="C11" s="4" t="n">
        <v>1826000</v>
      </c>
      <c r="D11" s="4" t="n"/>
      <c r="E11" s="9" t="n"/>
    </row>
    <row r="12">
      <c r="A12" s="2" t="inlineStr">
        <is>
          <t>2024</t>
        </is>
      </c>
      <c r="B12" s="2" t="inlineStr">
        <is>
          <t>낙동강유역환경청</t>
        </is>
      </c>
      <c r="C12" s="4" t="n">
        <v>18877000</v>
      </c>
      <c r="D12" s="4" t="n"/>
      <c r="E12" s="9" t="n"/>
    </row>
    <row r="13">
      <c r="A13" s="2" t="inlineStr">
        <is>
          <t>2024</t>
        </is>
      </c>
      <c r="B13" s="2" t="inlineStr">
        <is>
          <t>다원이엔씨</t>
        </is>
      </c>
      <c r="C13" s="4" t="n">
        <v>85800000</v>
      </c>
      <c r="D13" s="4" t="n"/>
      <c r="E13" s="9" t="n">
        <v>0.21</v>
      </c>
    </row>
    <row r="14">
      <c r="A14" s="2" t="inlineStr">
        <is>
          <t>2024</t>
        </is>
      </c>
      <c r="B14" s="2" t="inlineStr">
        <is>
          <t>더강해진수학교습소</t>
        </is>
      </c>
      <c r="C14" s="4" t="n">
        <v>15300000</v>
      </c>
      <c r="D14" s="4" t="n"/>
      <c r="E14" s="9" t="n"/>
    </row>
    <row r="15">
      <c r="A15" s="2" t="inlineStr">
        <is>
          <t>2024</t>
        </is>
      </c>
      <c r="B15" s="2" t="inlineStr">
        <is>
          <t>더베이커스</t>
        </is>
      </c>
      <c r="C15" s="4" t="n">
        <v>18600000</v>
      </c>
      <c r="D15" s="4" t="n"/>
      <c r="E15" s="9" t="n"/>
    </row>
    <row r="16">
      <c r="A16" s="2" t="inlineStr">
        <is>
          <t>2024</t>
        </is>
      </c>
      <c r="B16" s="2" t="inlineStr">
        <is>
          <t>두산위브앨리스</t>
        </is>
      </c>
      <c r="C16" s="4" t="n">
        <v>16192000</v>
      </c>
      <c r="D16" s="4" t="n"/>
      <c r="E16" s="9" t="n"/>
    </row>
    <row r="17">
      <c r="A17" s="2" t="inlineStr">
        <is>
          <t>2024</t>
        </is>
      </c>
      <c r="B17" s="2" t="inlineStr">
        <is>
          <t>디오오토갤러리</t>
        </is>
      </c>
      <c r="C17" s="4" t="n">
        <v>6502000</v>
      </c>
      <c r="D17" s="4" t="n"/>
      <c r="E17" s="9" t="n">
        <v>0.52</v>
      </c>
    </row>
    <row r="18">
      <c r="A18" s="2" t="inlineStr">
        <is>
          <t>2024</t>
        </is>
      </c>
      <c r="B18" s="2" t="inlineStr">
        <is>
          <t>모드텍</t>
        </is>
      </c>
      <c r="C18" s="4" t="n">
        <v>4136000</v>
      </c>
      <c r="D18" s="4" t="n"/>
      <c r="E18" s="9" t="n"/>
    </row>
    <row r="19">
      <c r="A19" s="2" t="inlineStr">
        <is>
          <t>2024</t>
        </is>
      </c>
      <c r="B19" s="2" t="inlineStr">
        <is>
          <t>문소영</t>
        </is>
      </c>
      <c r="C19" s="4" t="n">
        <v>31999000</v>
      </c>
      <c r="D19" s="4" t="n"/>
      <c r="E19" s="9" t="n">
        <v>0.29</v>
      </c>
    </row>
    <row r="20">
      <c r="A20" s="2" t="inlineStr">
        <is>
          <t>2024</t>
        </is>
      </c>
      <c r="B20" s="2" t="inlineStr">
        <is>
          <t>미래환경</t>
        </is>
      </c>
      <c r="C20" s="4" t="n">
        <v>22500000</v>
      </c>
      <c r="D20" s="4" t="n"/>
      <c r="E20" s="9" t="n"/>
    </row>
    <row r="21">
      <c r="A21" s="2" t="inlineStr">
        <is>
          <t>2024</t>
        </is>
      </c>
      <c r="B21" s="2" t="inlineStr">
        <is>
          <t>봉덕소 세영수학교습소</t>
        </is>
      </c>
      <c r="C21" s="4" t="n">
        <v>12529000</v>
      </c>
      <c r="D21" s="4" t="n"/>
      <c r="E21" s="9" t="n">
        <v>0.58</v>
      </c>
    </row>
    <row r="22">
      <c r="A22" s="2" t="inlineStr">
        <is>
          <t>2024</t>
        </is>
      </c>
      <c r="B22" s="2" t="inlineStr">
        <is>
          <t>부산대학교 생명자원과학대학</t>
        </is>
      </c>
      <c r="C22" s="4" t="n">
        <v>31850000</v>
      </c>
      <c r="D22" s="4" t="n"/>
      <c r="E22" s="9" t="n">
        <v>0.28</v>
      </c>
    </row>
    <row r="23">
      <c r="A23" s="2" t="inlineStr">
        <is>
          <t>2024</t>
        </is>
      </c>
      <c r="B23" s="2" t="inlineStr">
        <is>
          <t>북면 학원인테리어</t>
        </is>
      </c>
      <c r="C23" s="4" t="n">
        <v>24800000</v>
      </c>
      <c r="D23" s="4" t="n"/>
      <c r="E23" s="9" t="n"/>
    </row>
    <row r="24">
      <c r="A24" s="2" t="inlineStr">
        <is>
          <t>2024</t>
        </is>
      </c>
      <c r="B24" s="2" t="inlineStr">
        <is>
          <t>북면교습소</t>
        </is>
      </c>
      <c r="C24" s="4" t="n">
        <v>3905000</v>
      </c>
      <c r="D24" s="4" t="n"/>
      <c r="E24" s="9" t="n">
        <v>0.53</v>
      </c>
    </row>
    <row r="25">
      <c r="A25" s="2" t="inlineStr">
        <is>
          <t>2024</t>
        </is>
      </c>
      <c r="B25" s="2" t="inlineStr">
        <is>
          <t>블루돌핀어학원</t>
        </is>
      </c>
      <c r="C25" s="4" t="n">
        <v>49100000</v>
      </c>
      <c r="D25" s="4" t="n"/>
      <c r="E25" s="9" t="n">
        <v>0.31</v>
      </c>
    </row>
    <row r="26">
      <c r="A26" s="2" t="inlineStr">
        <is>
          <t>2024</t>
        </is>
      </c>
      <c r="B26" s="2" t="inlineStr">
        <is>
          <t>산호동 국밥집</t>
        </is>
      </c>
      <c r="C26" s="4" t="n">
        <v>2684000</v>
      </c>
      <c r="D26" s="4" t="n"/>
      <c r="E26" s="9" t="n"/>
    </row>
    <row r="27">
      <c r="A27" s="2" t="inlineStr">
        <is>
          <t>2024</t>
        </is>
      </c>
      <c r="B27" s="2" t="inlineStr">
        <is>
          <t>삼명기계공업</t>
        </is>
      </c>
      <c r="C27" s="4" t="n">
        <v>66000000</v>
      </c>
      <c r="D27" s="4" t="n"/>
      <c r="E27" s="9" t="n">
        <v>0.24</v>
      </c>
    </row>
    <row r="28">
      <c r="A28" s="2" t="inlineStr">
        <is>
          <t>2024</t>
        </is>
      </c>
      <c r="B28" s="2" t="inlineStr">
        <is>
          <t>삼일기술단</t>
        </is>
      </c>
      <c r="C28" s="4" t="n">
        <v>7316000</v>
      </c>
      <c r="D28" s="4" t="n"/>
      <c r="E28" s="9" t="n"/>
    </row>
    <row r="29">
      <c r="A29" s="2" t="inlineStr">
        <is>
          <t>2024</t>
        </is>
      </c>
      <c r="B29" s="2" t="inlineStr">
        <is>
          <t>샌드빅회의실</t>
        </is>
      </c>
      <c r="C29" s="4" t="n">
        <v>2255000</v>
      </c>
      <c r="D29" s="4" t="n"/>
      <c r="E29" s="9" t="n"/>
    </row>
    <row r="30">
      <c r="A30" s="2" t="inlineStr">
        <is>
          <t>2024</t>
        </is>
      </c>
      <c r="B30" s="2" t="inlineStr">
        <is>
          <t>소답동미용실</t>
        </is>
      </c>
      <c r="C30" s="4" t="n">
        <v>9830000</v>
      </c>
      <c r="D30" s="4" t="n"/>
      <c r="E30" s="9" t="n"/>
    </row>
    <row r="31">
      <c r="A31" s="2" t="inlineStr">
        <is>
          <t>2024</t>
        </is>
      </c>
      <c r="B31" s="2" t="inlineStr">
        <is>
          <t>소답동카페</t>
        </is>
      </c>
      <c r="C31" s="4" t="n">
        <v>23400000</v>
      </c>
      <c r="D31" s="4" t="n"/>
      <c r="E31" s="9" t="n"/>
    </row>
    <row r="32">
      <c r="A32" s="2" t="inlineStr">
        <is>
          <t>2024</t>
        </is>
      </c>
      <c r="B32" s="2" t="inlineStr">
        <is>
          <t>손길헤어</t>
        </is>
      </c>
      <c r="C32" s="4" t="n">
        <v>13695000</v>
      </c>
      <c r="D32" s="4" t="n"/>
      <c r="E32" s="9" t="n"/>
    </row>
    <row r="33">
      <c r="A33" s="2" t="inlineStr">
        <is>
          <t>2024</t>
        </is>
      </c>
      <c r="B33" s="2" t="inlineStr">
        <is>
          <t>스포츠가치센터 디자인</t>
        </is>
      </c>
      <c r="C33" s="4" t="n">
        <v>2800000</v>
      </c>
      <c r="D33" s="4" t="n"/>
      <c r="E33" s="9" t="n"/>
    </row>
    <row r="34">
      <c r="A34" s="2" t="inlineStr">
        <is>
          <t>2024</t>
        </is>
      </c>
      <c r="B34" s="2" t="inlineStr">
        <is>
          <t>아름드리숲상담센터</t>
        </is>
      </c>
      <c r="C34" s="4" t="n">
        <v>14872000</v>
      </c>
      <c r="D34" s="4" t="n"/>
      <c r="E34" s="9" t="n">
        <v>0.46</v>
      </c>
    </row>
    <row r="35">
      <c r="A35" s="2" t="inlineStr">
        <is>
          <t>2024</t>
        </is>
      </c>
      <c r="B35" s="2" t="inlineStr">
        <is>
          <t>양덕동 미용실</t>
        </is>
      </c>
      <c r="C35" s="4" t="n">
        <v>17600000</v>
      </c>
      <c r="D35" s="4" t="n"/>
      <c r="E35" s="9" t="n"/>
    </row>
    <row r="36">
      <c r="A36" s="2" t="inlineStr">
        <is>
          <t>2024</t>
        </is>
      </c>
      <c r="B36" s="2" t="inlineStr">
        <is>
          <t>어반브릭스12층</t>
        </is>
      </c>
      <c r="C36" s="4" t="n">
        <v>8700000</v>
      </c>
      <c r="D36" s="4" t="n"/>
      <c r="E36" s="9" t="n"/>
    </row>
    <row r="37">
      <c r="A37" s="2" t="inlineStr">
        <is>
          <t>2024</t>
        </is>
      </c>
      <c r="B37" s="2" t="inlineStr">
        <is>
          <t>에스지정공</t>
        </is>
      </c>
      <c r="C37" s="4" t="n">
        <v>6000000</v>
      </c>
      <c r="D37" s="4" t="n"/>
      <c r="E37" s="9" t="n">
        <v>0.28</v>
      </c>
    </row>
    <row r="38">
      <c r="A38" s="2" t="inlineStr">
        <is>
          <t>2024</t>
        </is>
      </c>
      <c r="B38" s="2" t="inlineStr">
        <is>
          <t>에이치케이 안동</t>
        </is>
      </c>
      <c r="C38" s="4" t="n">
        <v>10252000</v>
      </c>
      <c r="D38" s="4" t="n"/>
      <c r="E38" s="9" t="n"/>
    </row>
    <row r="39">
      <c r="A39" s="2" t="inlineStr">
        <is>
          <t>2024</t>
        </is>
      </c>
      <c r="B39" s="2" t="inlineStr">
        <is>
          <t>엠에스이 회의실</t>
        </is>
      </c>
      <c r="C39" s="4" t="n">
        <v>17952000</v>
      </c>
      <c r="D39" s="4" t="n"/>
      <c r="E39" s="9" t="n"/>
    </row>
    <row r="40">
      <c r="A40" s="2" t="inlineStr">
        <is>
          <t>2024</t>
        </is>
      </c>
      <c r="B40" s="2" t="inlineStr">
        <is>
          <t>지엔티 인테리어</t>
        </is>
      </c>
      <c r="C40" s="4" t="n">
        <v>440000</v>
      </c>
      <c r="D40" s="4" t="n"/>
      <c r="E40" s="9" t="n"/>
    </row>
    <row r="41">
      <c r="A41" s="2" t="inlineStr">
        <is>
          <t>2024</t>
        </is>
      </c>
      <c r="B41" s="2" t="inlineStr">
        <is>
          <t>진영HNS 로비</t>
        </is>
      </c>
      <c r="C41" s="4" t="n">
        <v>75900000</v>
      </c>
      <c r="D41" s="4" t="n"/>
      <c r="E41" s="9" t="n"/>
    </row>
    <row r="42">
      <c r="A42" s="2" t="inlineStr">
        <is>
          <t>2024</t>
        </is>
      </c>
      <c r="B42" s="2" t="inlineStr">
        <is>
          <t>진주유스호스텔 복도</t>
        </is>
      </c>
      <c r="C42" s="4" t="n">
        <v>7700000</v>
      </c>
      <c r="D42" s="4" t="n"/>
      <c r="E42" s="9" t="n"/>
    </row>
    <row r="43">
      <c r="A43" s="2" t="inlineStr">
        <is>
          <t>2024</t>
        </is>
      </c>
      <c r="B43" s="2" t="inlineStr">
        <is>
          <t>진주윤앤오 음악학원</t>
        </is>
      </c>
      <c r="C43" s="4" t="n">
        <v>96160000</v>
      </c>
      <c r="D43" s="4" t="n"/>
      <c r="E43" s="9" t="n">
        <v>0.29</v>
      </c>
    </row>
    <row r="44">
      <c r="A44" s="2" t="inlineStr">
        <is>
          <t>2024</t>
        </is>
      </c>
      <c r="B44" s="2" t="inlineStr">
        <is>
          <t>진해교습소인테리어</t>
        </is>
      </c>
      <c r="C44" s="4" t="n">
        <v>25900000</v>
      </c>
      <c r="D44" s="4" t="n"/>
      <c r="E44" s="9" t="n">
        <v>0.45</v>
      </c>
    </row>
    <row r="45">
      <c r="A45" s="2" t="inlineStr">
        <is>
          <t>2024</t>
        </is>
      </c>
      <c r="B45" s="2" t="inlineStr">
        <is>
          <t>진해삼서영어</t>
        </is>
      </c>
      <c r="C45" s="4" t="n">
        <v>22221100</v>
      </c>
      <c r="D45" s="4" t="n"/>
      <c r="E45" s="9" t="n"/>
    </row>
    <row r="46">
      <c r="A46" s="2" t="inlineStr">
        <is>
          <t>2024</t>
        </is>
      </c>
      <c r="B46" s="2" t="inlineStr">
        <is>
          <t>착한미용실</t>
        </is>
      </c>
      <c r="C46" s="4" t="n">
        <v>80487000</v>
      </c>
      <c r="D46" s="4" t="n"/>
      <c r="E46" s="9" t="n">
        <v>0.1</v>
      </c>
    </row>
    <row r="47">
      <c r="A47" s="2" t="inlineStr">
        <is>
          <t>2024</t>
        </is>
      </c>
      <c r="B47" s="2" t="inlineStr">
        <is>
          <t>청춘 푸줏간</t>
        </is>
      </c>
      <c r="C47" s="4" t="n">
        <v>16400000</v>
      </c>
      <c r="D47" s="4" t="n"/>
      <c r="E47" s="9" t="n"/>
    </row>
    <row r="48">
      <c r="A48" s="2" t="inlineStr">
        <is>
          <t>2024</t>
        </is>
      </c>
      <c r="B48" s="2" t="inlineStr">
        <is>
          <t>태웅산전</t>
        </is>
      </c>
      <c r="C48" s="4" t="n">
        <v>45000000</v>
      </c>
      <c r="D48" s="4" t="n"/>
      <c r="E48" s="9" t="n">
        <v>0.15</v>
      </c>
    </row>
    <row r="49">
      <c r="A49" s="2" t="inlineStr">
        <is>
          <t>2024</t>
        </is>
      </c>
      <c r="B49" s="2" t="inlineStr">
        <is>
          <t>터보링크</t>
        </is>
      </c>
      <c r="C49" s="4" t="n">
        <v>33220000</v>
      </c>
      <c r="D49" s="4" t="n"/>
      <c r="E49" s="9" t="n">
        <v>0.38</v>
      </c>
    </row>
    <row r="50">
      <c r="A50" s="2" t="inlineStr">
        <is>
          <t>2024</t>
        </is>
      </c>
      <c r="B50" s="2" t="inlineStr">
        <is>
          <t>합계</t>
        </is>
      </c>
      <c r="C50" s="4" t="n">
        <v>1330199287</v>
      </c>
      <c r="D50" s="4" t="n"/>
      <c r="E50" s="9" t="n"/>
    </row>
    <row r="51">
      <c r="A51" s="2" t="inlineStr">
        <is>
          <t>2024</t>
        </is>
      </c>
      <c r="B51" s="2" t="inlineStr">
        <is>
          <t>현대크랭크 탈의실 및 샤워실 보수공사</t>
        </is>
      </c>
      <c r="C51" s="4" t="n">
        <v>23287000</v>
      </c>
      <c r="D51" s="4" t="n"/>
      <c r="E51" s="9" t="n">
        <v>0.38</v>
      </c>
    </row>
    <row r="52">
      <c r="A52" s="2" t="inlineStr">
        <is>
          <t>2024</t>
        </is>
      </c>
      <c r="B52" s="2" t="inlineStr">
        <is>
          <t>화연제과</t>
        </is>
      </c>
      <c r="C52" s="4" t="n">
        <v>12606000</v>
      </c>
      <c r="D52" s="4" t="n"/>
      <c r="E52" s="9" t="n">
        <v>0.25</v>
      </c>
    </row>
    <row r="53">
      <c r="A53" s="2" t="inlineStr">
        <is>
          <t>2024</t>
        </is>
      </c>
      <c r="B53" s="2" t="inlineStr">
        <is>
          <t>휴텍스코리아</t>
        </is>
      </c>
      <c r="C53" s="4" t="n">
        <v>3685000</v>
      </c>
      <c r="D53" s="4" t="n"/>
      <c r="E53" s="9" t="n"/>
    </row>
    <row r="54">
      <c r="A54" s="2" t="inlineStr">
        <is>
          <t>2024</t>
        </is>
      </c>
      <c r="B54" s="2" t="inlineStr">
        <is>
          <t>힐스테이트미용실</t>
        </is>
      </c>
      <c r="C54" s="4" t="n">
        <v>22200000</v>
      </c>
      <c r="D54" s="4" t="n"/>
      <c r="E54" s="9" t="n">
        <v>0.28</v>
      </c>
    </row>
    <row r="55">
      <c r="A55" s="2" t="inlineStr">
        <is>
          <t>2025</t>
        </is>
      </c>
      <c r="B55" s="2" t="inlineStr">
        <is>
          <t>HD프랭크샤프트 가구</t>
        </is>
      </c>
      <c r="C55" s="4" t="n">
        <v>8019000</v>
      </c>
      <c r="D55" s="4" t="n">
        <v>1480000</v>
      </c>
      <c r="E55" s="9" t="n">
        <v>0.2</v>
      </c>
    </row>
    <row r="56">
      <c r="A56" s="2" t="inlineStr">
        <is>
          <t>2025</t>
        </is>
      </c>
      <c r="B56" s="2" t="inlineStr">
        <is>
          <t>MH에탄올 본관 2,3층 사무실</t>
        </is>
      </c>
      <c r="C56" s="4" t="n">
        <v>168949000</v>
      </c>
      <c r="D56" s="4" t="n">
        <v>55935688</v>
      </c>
      <c r="E56" s="9" t="n">
        <v>0.36</v>
      </c>
    </row>
    <row r="57">
      <c r="A57" s="2" t="inlineStr">
        <is>
          <t>2025</t>
        </is>
      </c>
      <c r="B57" s="2" t="inlineStr">
        <is>
          <t>MH에탄올 사무실 인테리어</t>
        </is>
      </c>
      <c r="C57" s="4" t="n">
        <v>91036000</v>
      </c>
      <c r="D57" s="4" t="n">
        <v>28792182</v>
      </c>
      <c r="E57" s="9" t="n">
        <v>0.34</v>
      </c>
    </row>
    <row r="58">
      <c r="A58" s="2" t="inlineStr">
        <is>
          <t>2025</t>
        </is>
      </c>
      <c r="B58" s="2" t="inlineStr">
        <is>
          <t>경남산소</t>
        </is>
      </c>
      <c r="C58" s="4" t="n">
        <v>77016000</v>
      </c>
      <c r="D58" s="4" t="n">
        <v>23206242</v>
      </c>
      <c r="E58" s="9" t="n">
        <v>0.34</v>
      </c>
    </row>
    <row r="59">
      <c r="A59" s="2" t="inlineStr">
        <is>
          <t>2025</t>
        </is>
      </c>
      <c r="B59" s="2" t="inlineStr">
        <is>
          <t>구산면 도만 카페</t>
        </is>
      </c>
      <c r="C59" s="4" t="n">
        <v>178000000</v>
      </c>
      <c r="D59" s="4" t="n">
        <v>60816168</v>
      </c>
      <c r="E59" s="9" t="n">
        <v>0.38</v>
      </c>
    </row>
    <row r="60">
      <c r="A60" s="2" t="inlineStr">
        <is>
          <t>2025</t>
        </is>
      </c>
      <c r="B60" s="2" t="inlineStr">
        <is>
          <t>구산면 카페 건축</t>
        </is>
      </c>
      <c r="C60" s="4" t="n">
        <v>287617000</v>
      </c>
      <c r="D60" s="4" t="n">
        <v>17380423</v>
      </c>
      <c r="E60" s="9" t="n">
        <v>0.1</v>
      </c>
    </row>
    <row r="61">
      <c r="A61" s="2" t="inlineStr">
        <is>
          <t>2025</t>
        </is>
      </c>
      <c r="B61" s="2" t="inlineStr">
        <is>
          <t>구산면 카페 철거</t>
        </is>
      </c>
      <c r="C61" s="4" t="n">
        <v>3300000</v>
      </c>
      <c r="D61" s="4" t="n">
        <v>3300000</v>
      </c>
      <c r="E61" s="9">
        <f>IF(AND(C61&gt;0,D61&gt;0),D61/(C61/1.1),"")</f>
        <v/>
      </c>
    </row>
    <row r="62">
      <c r="A62" s="2" t="inlineStr">
        <is>
          <t>2025</t>
        </is>
      </c>
      <c r="B62" s="2" t="inlineStr">
        <is>
          <t>나라정보시스템</t>
        </is>
      </c>
      <c r="C62" s="4" t="n">
        <v>16790000</v>
      </c>
      <c r="D62" s="4" t="n">
        <v>4423459</v>
      </c>
      <c r="E62" s="9" t="n">
        <v>0.29</v>
      </c>
    </row>
    <row r="63">
      <c r="A63" s="2" t="inlineStr">
        <is>
          <t>2025</t>
        </is>
      </c>
      <c r="B63" s="2" t="inlineStr">
        <is>
          <t>내동교습소</t>
        </is>
      </c>
      <c r="C63" s="4" t="n">
        <v>18282000</v>
      </c>
      <c r="D63" s="4" t="n">
        <v>8241053</v>
      </c>
      <c r="E63" s="9" t="n">
        <v>0.5</v>
      </c>
    </row>
    <row r="64">
      <c r="A64" s="2" t="inlineStr">
        <is>
          <t>2025</t>
        </is>
      </c>
      <c r="B64" s="2" t="inlineStr">
        <is>
          <t>동전산단 사무실</t>
        </is>
      </c>
      <c r="C64" s="4" t="n">
        <v>12760000</v>
      </c>
      <c r="D64" s="4" t="n">
        <v>3732122</v>
      </c>
      <c r="E64" s="9" t="n">
        <v>0.32</v>
      </c>
    </row>
    <row r="65">
      <c r="A65" s="2" t="inlineStr">
        <is>
          <t>2025</t>
        </is>
      </c>
      <c r="B65" s="2" t="inlineStr">
        <is>
          <t>디자인마산</t>
        </is>
      </c>
      <c r="C65" s="4" t="n">
        <v>660000</v>
      </c>
      <c r="D65" s="4" t="n">
        <v>200000</v>
      </c>
      <c r="E65" s="9" t="n">
        <v>0.44</v>
      </c>
    </row>
    <row r="66">
      <c r="A66" s="2" t="inlineStr">
        <is>
          <t>2025</t>
        </is>
      </c>
      <c r="B66" s="2" t="inlineStr">
        <is>
          <t>디자인마산</t>
        </is>
      </c>
      <c r="C66" s="4" t="n">
        <v>990000</v>
      </c>
      <c r="D66" s="4" t="n">
        <v>405000</v>
      </c>
      <c r="E66" s="9" t="n">
        <v>0.45</v>
      </c>
    </row>
    <row r="67">
      <c r="A67" s="2" t="inlineStr">
        <is>
          <t>2025</t>
        </is>
      </c>
      <c r="B67" s="2" t="inlineStr">
        <is>
          <t>롯대백화점</t>
        </is>
      </c>
      <c r="C67" s="4" t="n">
        <v>550000</v>
      </c>
      <c r="D67" s="4" t="n">
        <v>550000</v>
      </c>
      <c r="E67" s="9">
        <f>IF(AND(C67&gt;0,D67&gt;0),D67/(C67/1.1),"")</f>
        <v/>
      </c>
    </row>
    <row r="68">
      <c r="A68" s="2" t="inlineStr">
        <is>
          <t>2025</t>
        </is>
      </c>
      <c r="B68" s="2" t="inlineStr">
        <is>
          <t>미테리어</t>
        </is>
      </c>
      <c r="C68" s="4" t="n">
        <v>660000</v>
      </c>
      <c r="D68" s="4" t="n">
        <v>236363</v>
      </c>
      <c r="E68" s="9" t="n">
        <v>0.44</v>
      </c>
    </row>
    <row r="69">
      <c r="A69" s="2" t="inlineStr">
        <is>
          <t>2025</t>
        </is>
      </c>
      <c r="B69" s="2" t="inlineStr">
        <is>
          <t>미테리어</t>
        </is>
      </c>
      <c r="C69" s="4" t="n">
        <v>275000</v>
      </c>
      <c r="D69" s="4" t="n">
        <v>275000</v>
      </c>
      <c r="E69" s="9">
        <f>IF(AND(C69&gt;0,D69&gt;0),D69/(C69/1.1),"")</f>
        <v/>
      </c>
    </row>
    <row r="70">
      <c r="A70" s="2" t="inlineStr">
        <is>
          <t>2025</t>
        </is>
      </c>
      <c r="B70" s="2" t="inlineStr">
        <is>
          <t>밀양 네일샵</t>
        </is>
      </c>
      <c r="C70" s="4" t="n">
        <v>20889000</v>
      </c>
      <c r="D70" s="4" t="n">
        <v>9722496</v>
      </c>
      <c r="E70" s="9" t="n">
        <v>0.51</v>
      </c>
    </row>
    <row r="71">
      <c r="A71" s="2" t="inlineStr">
        <is>
          <t>2025</t>
        </is>
      </c>
      <c r="B71" s="2" t="inlineStr">
        <is>
          <t>법무법인 디에이치</t>
        </is>
      </c>
      <c r="C71" s="4" t="n">
        <v>44342000</v>
      </c>
      <c r="D71" s="4" t="n">
        <v>13947935</v>
      </c>
      <c r="E71" s="9" t="n">
        <v>0.35</v>
      </c>
    </row>
    <row r="72">
      <c r="A72" s="2" t="inlineStr">
        <is>
          <t>2025</t>
        </is>
      </c>
      <c r="B72" s="2" t="inlineStr">
        <is>
          <t>보루</t>
        </is>
      </c>
      <c r="C72" s="4" t="n">
        <v>2530000</v>
      </c>
      <c r="D72" s="4" t="n">
        <v>830000</v>
      </c>
      <c r="E72" s="9" t="n">
        <v>0.36</v>
      </c>
    </row>
    <row r="73">
      <c r="A73" s="2" t="inlineStr">
        <is>
          <t>2025</t>
        </is>
      </c>
      <c r="B73" s="2" t="inlineStr">
        <is>
          <t>부산대 작년 미수금</t>
        </is>
      </c>
      <c r="C73" s="4" t="n">
        <v>3885000</v>
      </c>
      <c r="D73" s="4" t="n">
        <v>3555000</v>
      </c>
      <c r="E73" s="9">
        <f>IF(AND(C73&gt;0,D73&gt;0),D73/(C73/1.1),"")</f>
        <v/>
      </c>
    </row>
    <row r="74">
      <c r="A74" s="2" t="inlineStr">
        <is>
          <t>2025</t>
        </is>
      </c>
      <c r="B74" s="2" t="inlineStr">
        <is>
          <t>부산대학교 생명자원과학대학 바이오소재과학관</t>
        </is>
      </c>
      <c r="C74" s="4" t="n">
        <v>20850000</v>
      </c>
      <c r="D74" s="4" t="n">
        <v>8671645</v>
      </c>
      <c r="E74" s="9" t="n">
        <v>0.46</v>
      </c>
    </row>
    <row r="75">
      <c r="A75" s="2" t="inlineStr">
        <is>
          <t>2025</t>
        </is>
      </c>
      <c r="B75" s="2" t="inlineStr">
        <is>
          <t>부산대학교 생명자원과학대학 원예학과</t>
        </is>
      </c>
      <c r="C75" s="4" t="n">
        <v>33500000</v>
      </c>
      <c r="D75" s="4" t="n">
        <v>16114218</v>
      </c>
      <c r="E75" s="9" t="n">
        <v>0.53</v>
      </c>
    </row>
    <row r="76">
      <c r="A76" s="2" t="inlineStr">
        <is>
          <t>2025</t>
        </is>
      </c>
      <c r="B76" s="2" t="inlineStr">
        <is>
          <t>사파동 변호사 사무실</t>
        </is>
      </c>
      <c r="C76" s="4" t="n">
        <v>27335000</v>
      </c>
      <c r="D76" s="4" t="n">
        <v>12086038</v>
      </c>
      <c r="E76" s="9" t="n">
        <v>0.49</v>
      </c>
    </row>
    <row r="77">
      <c r="A77" s="2" t="inlineStr">
        <is>
          <t>2025</t>
        </is>
      </c>
      <c r="B77" s="2" t="inlineStr">
        <is>
          <t>상남동 금다방 빙수</t>
        </is>
      </c>
      <c r="C77" s="4" t="n">
        <v>2700000</v>
      </c>
      <c r="D77" s="4" t="n">
        <v>760908</v>
      </c>
      <c r="E77" s="9" t="n">
        <v>0.31</v>
      </c>
    </row>
    <row r="78">
      <c r="A78" s="2" t="inlineStr">
        <is>
          <t>2025</t>
        </is>
      </c>
      <c r="B78" s="2" t="inlineStr">
        <is>
          <t>서상동사무실</t>
        </is>
      </c>
      <c r="C78" s="4" t="n">
        <v>33000000</v>
      </c>
      <c r="D78" s="4" t="n">
        <v>10298373</v>
      </c>
      <c r="E78" s="9" t="n">
        <v>0.34</v>
      </c>
    </row>
    <row r="79">
      <c r="A79" s="2" t="inlineStr">
        <is>
          <t>2025</t>
        </is>
      </c>
      <c r="B79" s="2" t="inlineStr">
        <is>
          <t>세영 테크노벨리</t>
        </is>
      </c>
      <c r="C79" s="4" t="n">
        <v>6127000</v>
      </c>
      <c r="D79" s="4" t="n">
        <v>2298132</v>
      </c>
      <c r="E79" s="9" t="n">
        <v>0.41</v>
      </c>
    </row>
    <row r="80">
      <c r="A80" s="2" t="inlineStr">
        <is>
          <t>2025</t>
        </is>
      </c>
      <c r="B80" s="2" t="inlineStr">
        <is>
          <t>양산타코야끼 인테리어</t>
        </is>
      </c>
      <c r="C80" s="4" t="n">
        <v>33418000</v>
      </c>
      <c r="D80" s="4" t="n">
        <v>11767783</v>
      </c>
      <c r="E80" s="9" t="n">
        <v>0.39</v>
      </c>
    </row>
    <row r="81">
      <c r="A81" s="2" t="inlineStr">
        <is>
          <t>2025</t>
        </is>
      </c>
      <c r="B81" s="2" t="inlineStr">
        <is>
          <t>에이지로보틱스 사무실</t>
        </is>
      </c>
      <c r="C81" s="4" t="n">
        <v>32490000</v>
      </c>
      <c r="D81" s="4" t="n">
        <v>13191119</v>
      </c>
      <c r="E81" s="9" t="n">
        <v>0.45</v>
      </c>
    </row>
    <row r="82">
      <c r="A82" s="2" t="inlineStr">
        <is>
          <t>2025</t>
        </is>
      </c>
      <c r="B82" s="2" t="inlineStr">
        <is>
          <t>용호동(정우상가)뷰티샵</t>
        </is>
      </c>
      <c r="C82" s="4" t="n">
        <v>39800000</v>
      </c>
      <c r="D82" s="4" t="n">
        <v>10893394</v>
      </c>
      <c r="E82" s="9" t="n">
        <v>0.3</v>
      </c>
    </row>
    <row r="83">
      <c r="A83" s="2" t="inlineStr">
        <is>
          <t>2025</t>
        </is>
      </c>
      <c r="B83" s="2" t="inlineStr">
        <is>
          <t>웨딩홀 도면작업</t>
        </is>
      </c>
      <c r="C83" s="4" t="n">
        <v>3300000</v>
      </c>
      <c r="D83" s="4" t="n">
        <v>1200000</v>
      </c>
      <c r="E83" s="9" t="n">
        <v>0.55</v>
      </c>
    </row>
    <row r="84">
      <c r="A84" s="2" t="inlineStr">
        <is>
          <t>2025</t>
        </is>
      </c>
      <c r="B84" s="2" t="inlineStr">
        <is>
          <t>이우철 누수보수작업</t>
        </is>
      </c>
      <c r="C84" s="4" t="n">
        <v>2838000</v>
      </c>
      <c r="D84" s="4" t="n">
        <v>2838000</v>
      </c>
      <c r="E84" s="9">
        <f>IF(AND(C84&gt;0,D84&gt;0),D84/(C84/1.1),"")</f>
        <v/>
      </c>
    </row>
    <row r="85">
      <c r="A85" s="2" t="inlineStr">
        <is>
          <t>2025</t>
        </is>
      </c>
      <c r="B85" s="2" t="inlineStr">
        <is>
          <t>이홍열법률사무소</t>
        </is>
      </c>
      <c r="C85" s="4" t="n">
        <v>68233000</v>
      </c>
      <c r="D85" s="4" t="n">
        <v>12086038</v>
      </c>
      <c r="E85" s="9" t="n">
        <v>0.26</v>
      </c>
    </row>
    <row r="86">
      <c r="A86" s="2" t="inlineStr">
        <is>
          <t>2025</t>
        </is>
      </c>
      <c r="B86" s="2" t="inlineStr">
        <is>
          <t>주남 앨리브</t>
        </is>
      </c>
      <c r="C86" s="4" t="n">
        <v>64900000</v>
      </c>
      <c r="D86" s="4" t="n"/>
      <c r="E86" s="9" t="n"/>
    </row>
    <row r="87">
      <c r="A87" s="2" t="inlineStr">
        <is>
          <t>2025</t>
        </is>
      </c>
      <c r="B87" s="2" t="inlineStr">
        <is>
          <t>주식회사 좋은</t>
        </is>
      </c>
      <c r="C87" s="4" t="n">
        <v>440000</v>
      </c>
      <c r="D87" s="4" t="n">
        <v>440000</v>
      </c>
      <c r="E87" s="9">
        <f>IF(AND(C87&gt;0,D87&gt;0),D87/(C87/1.1),"")</f>
        <v/>
      </c>
    </row>
    <row r="88">
      <c r="A88" s="2" t="inlineStr">
        <is>
          <t>2025</t>
        </is>
      </c>
      <c r="B88" s="2" t="inlineStr">
        <is>
          <t>주식회사 좋은</t>
        </is>
      </c>
      <c r="C88" s="4" t="n">
        <v>165000</v>
      </c>
      <c r="D88" s="4" t="n">
        <v>165000</v>
      </c>
      <c r="E88" s="9">
        <f>IF(AND(C88&gt;0,D88&gt;0),D88/(C88/1.1),"")</f>
        <v/>
      </c>
    </row>
    <row r="89">
      <c r="A89" s="2" t="inlineStr">
        <is>
          <t>2025</t>
        </is>
      </c>
      <c r="B89" s="2" t="inlineStr">
        <is>
          <t>주식회사 좋은</t>
        </is>
      </c>
      <c r="C89" s="4" t="n">
        <v>330000</v>
      </c>
      <c r="D89" s="4" t="n">
        <v>330000</v>
      </c>
      <c r="E89" s="9">
        <f>IF(AND(C89&gt;0,D89&gt;0),D89/(C89/1.1),"")</f>
        <v/>
      </c>
    </row>
    <row r="90">
      <c r="A90" s="2" t="inlineStr">
        <is>
          <t>2025</t>
        </is>
      </c>
      <c r="B90" s="2" t="inlineStr">
        <is>
          <t>중동 미용실</t>
        </is>
      </c>
      <c r="C90" s="4" t="n">
        <v>18445000</v>
      </c>
      <c r="D90" s="4" t="n">
        <v>26203955</v>
      </c>
      <c r="E90" s="9" t="n">
        <v>0.44</v>
      </c>
    </row>
    <row r="91">
      <c r="A91" s="2" t="inlineStr">
        <is>
          <t>2025</t>
        </is>
      </c>
      <c r="B91" s="2" t="inlineStr">
        <is>
          <t>지엔티 가구</t>
        </is>
      </c>
      <c r="C91" s="4" t="n">
        <v>814000</v>
      </c>
      <c r="D91" s="4" t="n">
        <v>154000</v>
      </c>
      <c r="E91" s="9" t="n">
        <v>0.21</v>
      </c>
    </row>
    <row r="92">
      <c r="A92" s="2" t="inlineStr">
        <is>
          <t>2025</t>
        </is>
      </c>
      <c r="B92" s="2" t="inlineStr">
        <is>
          <t>지엔티 가구</t>
        </is>
      </c>
      <c r="C92" s="4" t="n">
        <v>396000</v>
      </c>
      <c r="D92" s="4" t="n">
        <v>74000</v>
      </c>
      <c r="E92" s="9" t="n">
        <v>0.21</v>
      </c>
    </row>
    <row r="93">
      <c r="A93" s="2" t="inlineStr">
        <is>
          <t>2025</t>
        </is>
      </c>
      <c r="B93" s="2" t="inlineStr">
        <is>
          <t>지엔티 가구</t>
        </is>
      </c>
      <c r="C93" s="4" t="n">
        <v>979000</v>
      </c>
      <c r="D93" s="4" t="n">
        <v>304000</v>
      </c>
      <c r="E93" s="9" t="n">
        <v>0.21</v>
      </c>
    </row>
    <row r="94">
      <c r="A94" s="2" t="inlineStr">
        <is>
          <t>2025</t>
        </is>
      </c>
      <c r="B94" s="2" t="inlineStr">
        <is>
          <t>지엔티 가구</t>
        </is>
      </c>
      <c r="C94" s="4" t="n">
        <v>935000</v>
      </c>
      <c r="D94" s="4" t="n">
        <v>110000</v>
      </c>
      <c r="E94" s="9" t="n">
        <v>0.14</v>
      </c>
    </row>
    <row r="95">
      <c r="A95" s="2" t="inlineStr">
        <is>
          <t>2025</t>
        </is>
      </c>
      <c r="B95" s="2" t="inlineStr">
        <is>
          <t>진동 목조주택</t>
        </is>
      </c>
      <c r="C95" s="4" t="n">
        <v>3300000</v>
      </c>
      <c r="D95" s="4" t="n">
        <v>3300000</v>
      </c>
      <c r="E95" s="9">
        <f>IF(AND(C95&gt;0,D95&gt;0),D95/(C95/1.1),"")</f>
        <v/>
      </c>
    </row>
    <row r="96">
      <c r="A96" s="2" t="inlineStr">
        <is>
          <t>2025</t>
        </is>
      </c>
      <c r="B96" s="2" t="inlineStr">
        <is>
          <t>진례 제일전자공업</t>
        </is>
      </c>
      <c r="C96" s="4" t="n">
        <v>59268000</v>
      </c>
      <c r="D96" s="4" t="n">
        <v>18357259</v>
      </c>
      <c r="E96" s="9" t="n">
        <v>0.38</v>
      </c>
    </row>
    <row r="97">
      <c r="A97" s="2" t="inlineStr">
        <is>
          <t>2025</t>
        </is>
      </c>
      <c r="B97" s="2" t="inlineStr">
        <is>
          <t>진영 HNS 온수기</t>
        </is>
      </c>
      <c r="C97" s="4" t="n">
        <v>7579000</v>
      </c>
      <c r="D97" s="4" t="n">
        <v>3558721</v>
      </c>
      <c r="E97" s="9" t="n">
        <v>0.52</v>
      </c>
    </row>
    <row r="98">
      <c r="A98" s="2" t="inlineStr">
        <is>
          <t>2025</t>
        </is>
      </c>
      <c r="B98" s="2" t="inlineStr">
        <is>
          <t>진영 HNS 휴게실</t>
        </is>
      </c>
      <c r="C98" s="4" t="n">
        <v>1518000</v>
      </c>
      <c r="D98" s="4" t="n">
        <v>180000</v>
      </c>
      <c r="E98" s="9" t="n">
        <v>0.13</v>
      </c>
    </row>
    <row r="99">
      <c r="A99" s="2" t="inlineStr">
        <is>
          <t>2025</t>
        </is>
      </c>
      <c r="B99" s="2" t="inlineStr">
        <is>
          <t>진주 서경방송</t>
        </is>
      </c>
      <c r="C99" s="4" t="n">
        <v>322619000</v>
      </c>
      <c r="D99" s="4" t="n">
        <v>57050134</v>
      </c>
      <c r="E99" s="9" t="n">
        <v>0.24</v>
      </c>
    </row>
    <row r="100">
      <c r="A100" s="2" t="inlineStr">
        <is>
          <t>2025</t>
        </is>
      </c>
      <c r="B100" s="2" t="inlineStr">
        <is>
          <t>진주 수학 학원</t>
        </is>
      </c>
      <c r="C100" s="4" t="n">
        <v>33638000</v>
      </c>
      <c r="D100" s="4" t="n">
        <v>11898064</v>
      </c>
      <c r="E100" s="9" t="n">
        <v>0.39</v>
      </c>
    </row>
    <row r="101">
      <c r="A101" s="2" t="inlineStr">
        <is>
          <t>2025</t>
        </is>
      </c>
      <c r="B101" s="2" t="inlineStr">
        <is>
          <t>진주스포츠센터</t>
        </is>
      </c>
      <c r="C101" s="4" t="n">
        <v>36905000</v>
      </c>
      <c r="D101" s="4" t="n">
        <v>17411938</v>
      </c>
      <c r="E101" s="9" t="n">
        <v>0.53</v>
      </c>
    </row>
    <row r="102">
      <c r="A102" s="2" t="inlineStr">
        <is>
          <t>2025</t>
        </is>
      </c>
      <c r="B102" s="2" t="inlineStr">
        <is>
          <t>진해 누룽지삼계탕</t>
        </is>
      </c>
      <c r="C102" s="4" t="n">
        <v>111485000</v>
      </c>
      <c r="D102" s="4" t="n">
        <v>31356294</v>
      </c>
      <c r="E102" s="9" t="n">
        <v>0.31</v>
      </c>
    </row>
    <row r="103">
      <c r="A103" s="2" t="inlineStr">
        <is>
          <t>2025</t>
        </is>
      </c>
      <c r="B103" s="2" t="inlineStr">
        <is>
          <t>진해 펍카페</t>
        </is>
      </c>
      <c r="C103" s="4" t="n">
        <v>72000000</v>
      </c>
      <c r="D103" s="4" t="n">
        <v>27114985</v>
      </c>
      <c r="E103" s="9" t="n">
        <v>0.41</v>
      </c>
    </row>
    <row r="104">
      <c r="A104" s="2" t="inlineStr">
        <is>
          <t>2025</t>
        </is>
      </c>
      <c r="B104" s="2" t="inlineStr">
        <is>
          <t>키움에셋플래너</t>
        </is>
      </c>
      <c r="C104" s="4" t="n">
        <v>40000000</v>
      </c>
      <c r="D104" s="4" t="n">
        <v>10606044</v>
      </c>
      <c r="E104" s="9" t="n">
        <v>0.29</v>
      </c>
    </row>
    <row r="105">
      <c r="A105" s="2" t="inlineStr">
        <is>
          <t>2025</t>
        </is>
      </c>
      <c r="B105" s="2" t="inlineStr">
        <is>
          <t>터보링크</t>
        </is>
      </c>
      <c r="C105" s="4" t="n">
        <v>33220000</v>
      </c>
      <c r="D105" s="4" t="n">
        <v>10654726</v>
      </c>
      <c r="E105" s="9" t="n">
        <v>0.35</v>
      </c>
    </row>
    <row r="106">
      <c r="A106" s="2" t="inlineStr">
        <is>
          <t>2025</t>
        </is>
      </c>
      <c r="B106" s="2" t="inlineStr">
        <is>
          <t>팔용동 사진관</t>
        </is>
      </c>
      <c r="C106" s="4" t="n">
        <v>7752566</v>
      </c>
      <c r="D106" s="4" t="n">
        <v>3592613</v>
      </c>
      <c r="E106" s="9" t="n">
        <v>0.51</v>
      </c>
    </row>
    <row r="107">
      <c r="A107" s="2" t="inlineStr">
        <is>
          <t>2025</t>
        </is>
      </c>
      <c r="B107" s="2" t="inlineStr">
        <is>
          <t>한국산업단지공단</t>
        </is>
      </c>
      <c r="C107" s="4" t="n">
        <v>1782000</v>
      </c>
      <c r="D107" s="4" t="n">
        <v>1782000</v>
      </c>
      <c r="E107" s="9">
        <f>IF(AND(C107&gt;0,D107&gt;0),D107/(C107/1.1),"")</f>
        <v/>
      </c>
    </row>
    <row r="108">
      <c r="A108" s="2" t="inlineStr">
        <is>
          <t>2025</t>
        </is>
      </c>
      <c r="B108" s="2" t="inlineStr">
        <is>
          <t>한국산업단지공단(인테리어)</t>
        </is>
      </c>
      <c r="C108" s="4" t="n">
        <v>21824000</v>
      </c>
      <c r="D108" s="4" t="n">
        <v>9276583</v>
      </c>
      <c r="E108" s="9" t="n">
        <v>0.47</v>
      </c>
    </row>
    <row r="109">
      <c r="A109" s="2" t="inlineStr">
        <is>
          <t>2025</t>
        </is>
      </c>
      <c r="B109" s="2" t="inlineStr">
        <is>
          <t>함안 네일샵</t>
        </is>
      </c>
      <c r="C109" s="4" t="n">
        <v>29000000</v>
      </c>
      <c r="D109" s="4" t="n">
        <v>11657866</v>
      </c>
      <c r="E109" s="9" t="n">
        <v>0.44</v>
      </c>
    </row>
    <row r="110">
      <c r="A110" s="2" t="inlineStr">
        <is>
          <t>2025</t>
        </is>
      </c>
      <c r="B110" s="2" t="inlineStr">
        <is>
          <t>합성동 이자카야</t>
        </is>
      </c>
      <c r="C110" s="4" t="n">
        <v>2965000</v>
      </c>
      <c r="D110" s="4" t="n">
        <v>1135181</v>
      </c>
      <c r="E110" s="9" t="n">
        <v>0.43</v>
      </c>
    </row>
    <row r="111">
      <c r="A111" s="2" t="inlineStr">
        <is>
          <t>2025</t>
        </is>
      </c>
      <c r="B111" s="2" t="inlineStr">
        <is>
          <t>합성동네일샵</t>
        </is>
      </c>
      <c r="C111" s="4" t="n">
        <v>32500000</v>
      </c>
      <c r="D111" s="4" t="n">
        <v>12373728</v>
      </c>
      <c r="E111" s="9" t="n">
        <v>0.42</v>
      </c>
    </row>
    <row r="112">
      <c r="A112" s="2" t="inlineStr">
        <is>
          <t>2025</t>
        </is>
      </c>
      <c r="B112" s="2" t="inlineStr">
        <is>
          <t>현대마린엔진</t>
        </is>
      </c>
      <c r="C112" s="4" t="n">
        <v>94567000</v>
      </c>
      <c r="D112" s="4" t="n">
        <v>26203955</v>
      </c>
      <c r="E112" s="9" t="n">
        <v>0.31</v>
      </c>
    </row>
    <row r="113">
      <c r="A113" s="2" t="inlineStr">
        <is>
          <t>2025</t>
        </is>
      </c>
      <c r="B113" s="2" t="inlineStr">
        <is>
          <t>현대마린엔진</t>
        </is>
      </c>
      <c r="C113" s="4" t="n">
        <v>4224000</v>
      </c>
      <c r="D113" s="4" t="n">
        <v>1740000</v>
      </c>
      <c r="E113" s="9" t="n">
        <v>0.45</v>
      </c>
    </row>
    <row r="114">
      <c r="A114" s="2" t="inlineStr">
        <is>
          <t>2025</t>
        </is>
      </c>
      <c r="B114" s="2" t="inlineStr">
        <is>
          <t>현동 네일샵</t>
        </is>
      </c>
      <c r="C114" s="4" t="n">
        <v>21150000</v>
      </c>
      <c r="D114" s="4" t="n">
        <v>8047766</v>
      </c>
      <c r="E114" s="9" t="n">
        <v>0.42</v>
      </c>
    </row>
    <row r="115">
      <c r="A115" s="2" t="inlineStr">
        <is>
          <t>2025</t>
        </is>
      </c>
      <c r="B115" s="2" t="inlineStr">
        <is>
          <t>현동 바버샵</t>
        </is>
      </c>
      <c r="C115" s="4" t="n">
        <v>30400000</v>
      </c>
      <c r="D115" s="4" t="n">
        <v>13234807</v>
      </c>
      <c r="E115" s="9" t="n">
        <v>0.48</v>
      </c>
    </row>
    <row r="116">
      <c r="A116" s="2" t="inlineStr">
        <is>
          <t>2025</t>
        </is>
      </c>
      <c r="B116" s="2" t="inlineStr">
        <is>
          <t>회원동 교습소</t>
        </is>
      </c>
      <c r="C116" s="4" t="n">
        <v>30000000</v>
      </c>
      <c r="D116" s="4" t="n">
        <v>7516101</v>
      </c>
      <c r="E116" s="9" t="n">
        <v>0.25</v>
      </c>
    </row>
    <row r="117">
      <c r="A117" s="2" t="inlineStr">
        <is>
          <t>2026</t>
        </is>
      </c>
      <c r="B117" s="2" t="inlineStr">
        <is>
          <t>RISE 기능성푸드평가 동물조직분석실 교육 환경 개선 공사</t>
        </is>
      </c>
      <c r="C117" s="4" t="n">
        <v>10000000</v>
      </c>
      <c r="D117" s="4" t="n">
        <v>4471732</v>
      </c>
      <c r="E117" s="9" t="n">
        <v>0.4908597145993414</v>
      </c>
    </row>
    <row r="118">
      <c r="A118" s="2" t="inlineStr">
        <is>
          <t>2026</t>
        </is>
      </c>
      <c r="B118" s="2" t="inlineStr">
        <is>
          <t>가로수길 촌놈스시(디자인)</t>
        </is>
      </c>
      <c r="C118" s="4" t="n">
        <v>1100000</v>
      </c>
      <c r="D118" s="4" t="n">
        <v>709900</v>
      </c>
      <c r="E118" s="9" t="n">
        <v>0.6453636363636364</v>
      </c>
    </row>
    <row r="119">
      <c r="A119" s="2" t="inlineStr">
        <is>
          <t>2026</t>
        </is>
      </c>
      <c r="B119" s="2" t="inlineStr">
        <is>
          <t>감계 반찬가게</t>
        </is>
      </c>
      <c r="C119" s="4" t="n">
        <v>39300000</v>
      </c>
      <c r="D119" s="4" t="n">
        <v>24724489</v>
      </c>
      <c r="E119" s="9" t="n">
        <v>0.6917876049244543</v>
      </c>
    </row>
    <row r="120">
      <c r="A120" s="2" t="inlineStr">
        <is>
          <t>2026</t>
        </is>
      </c>
      <c r="B120" s="2" t="inlineStr">
        <is>
          <t>감계아파트 202동 605호</t>
        </is>
      </c>
      <c r="C120" s="4" t="n">
        <v>12000000</v>
      </c>
      <c r="D120" s="4" t="n">
        <v>5510711</v>
      </c>
      <c r="E120" s="9" t="n">
        <v>0.4539300658978583</v>
      </c>
    </row>
    <row r="121">
      <c r="A121" s="2" t="inlineStr">
        <is>
          <t>2026</t>
        </is>
      </c>
      <c r="B121" s="2" t="inlineStr">
        <is>
          <t>경남 테크노파크</t>
        </is>
      </c>
      <c r="C121" s="4" t="n">
        <v>4268000</v>
      </c>
      <c r="D121" s="4" t="n">
        <v>3056403</v>
      </c>
      <c r="E121" s="9" t="n">
        <v>0.7877327319587629</v>
      </c>
    </row>
    <row r="122">
      <c r="A122" s="2" t="inlineStr">
        <is>
          <t>2026</t>
        </is>
      </c>
      <c r="B122" s="2" t="inlineStr">
        <is>
          <t>대상힐스 미용실</t>
        </is>
      </c>
      <c r="C122" s="4" t="n">
        <v>30800000</v>
      </c>
      <c r="D122" s="4" t="n">
        <v>13308492</v>
      </c>
      <c r="E122" s="9" t="n">
        <v>0.48</v>
      </c>
    </row>
    <row r="123">
      <c r="A123" s="2" t="inlineStr">
        <is>
          <t>2026</t>
        </is>
      </c>
      <c r="B123" s="2" t="inlineStr">
        <is>
          <t>롯데캐슬 교습소</t>
        </is>
      </c>
      <c r="C123" s="4" t="n">
        <v>15851000</v>
      </c>
      <c r="D123" s="4" t="n">
        <v>6901837</v>
      </c>
      <c r="E123" s="9" t="n">
        <v>0.4789616238723109</v>
      </c>
    </row>
    <row r="124">
      <c r="A124" s="2" t="inlineStr">
        <is>
          <t>2026</t>
        </is>
      </c>
      <c r="B124" s="2" t="inlineStr">
        <is>
          <t>롯데캐슬 미용실</t>
        </is>
      </c>
      <c r="C124" s="4" t="n">
        <v>23000000</v>
      </c>
      <c r="D124" s="4" t="n">
        <v>10117322</v>
      </c>
      <c r="E124" s="9" t="n">
        <v>0.4822365109628217</v>
      </c>
    </row>
    <row r="125">
      <c r="A125" s="2" t="inlineStr">
        <is>
          <t>2026</t>
        </is>
      </c>
      <c r="B125" s="2" t="inlineStr">
        <is>
          <t>린데코리아 사무실</t>
        </is>
      </c>
      <c r="C125" s="4" t="n">
        <v>52789000</v>
      </c>
      <c r="D125" s="4" t="n">
        <v>15641549</v>
      </c>
      <c r="E125" s="9" t="n">
        <v>0.325933506980621</v>
      </c>
    </row>
    <row r="126">
      <c r="A126" s="2" t="inlineStr">
        <is>
          <t>2026</t>
        </is>
      </c>
      <c r="B126" s="2" t="inlineStr">
        <is>
          <t>무동 토킹영어학원</t>
        </is>
      </c>
      <c r="C126" s="4" t="n">
        <v>4862000</v>
      </c>
      <c r="D126" s="4" t="n">
        <v>2371297</v>
      </c>
      <c r="E126" s="9" t="n">
        <v>0.54</v>
      </c>
    </row>
    <row r="127">
      <c r="A127" s="2" t="inlineStr">
        <is>
          <t>2026</t>
        </is>
      </c>
      <c r="B127" s="2" t="inlineStr">
        <is>
          <t>밀양미부닥트㈜</t>
        </is>
      </c>
      <c r="C127" s="4" t="n">
        <v>8500000</v>
      </c>
      <c r="D127" s="4" t="n">
        <v>6510010</v>
      </c>
      <c r="E127" s="9" t="n">
        <v>0.8410865633074935</v>
      </c>
    </row>
    <row r="128">
      <c r="A128" s="2" t="inlineStr">
        <is>
          <t>2026</t>
        </is>
      </c>
      <c r="B128" s="2" t="inlineStr">
        <is>
          <t>밀양미부닥트㈜</t>
        </is>
      </c>
      <c r="C128" s="4" t="n">
        <v>924000</v>
      </c>
      <c r="D128" s="4" t="n">
        <v>283768</v>
      </c>
      <c r="E128" s="9" t="n">
        <v>0.3378190476190476</v>
      </c>
    </row>
    <row r="129">
      <c r="A129" s="2" t="inlineStr">
        <is>
          <t>2026</t>
        </is>
      </c>
      <c r="B129" s="2" t="inlineStr">
        <is>
          <t>반도유보라 교습소</t>
        </is>
      </c>
      <c r="C129" s="4" t="n">
        <v>15129000</v>
      </c>
      <c r="D129" s="4" t="n">
        <v>6139197</v>
      </c>
      <c r="E129" s="9" t="n">
        <v>0.4491</v>
      </c>
    </row>
    <row r="130">
      <c r="A130" s="2" t="inlineStr">
        <is>
          <t>2026</t>
        </is>
      </c>
      <c r="B130" s="2" t="inlineStr">
        <is>
          <t>부산대 바이오소재 작년 잔금</t>
        </is>
      </c>
      <c r="C130" s="4" t="n">
        <v>8000000</v>
      </c>
      <c r="D130" s="4" t="n"/>
      <c r="E130" s="9" t="n"/>
    </row>
    <row r="131">
      <c r="A131" s="2" t="inlineStr">
        <is>
          <t>2026</t>
        </is>
      </c>
      <c r="B131" s="2" t="inlineStr">
        <is>
          <t>부산대 원예학과</t>
        </is>
      </c>
      <c r="C131" s="4" t="n">
        <v>24000000</v>
      </c>
      <c r="D131" s="4" t="n">
        <v>11972528</v>
      </c>
      <c r="E131" s="9" t="n">
        <v>0.55</v>
      </c>
    </row>
    <row r="132">
      <c r="A132" s="2" t="inlineStr">
        <is>
          <t>2026</t>
        </is>
      </c>
      <c r="B132" s="2" t="inlineStr">
        <is>
          <t>부산대바이오 추가</t>
        </is>
      </c>
      <c r="C132" s="4" t="n">
        <v>902000</v>
      </c>
      <c r="D132" s="4" t="n"/>
      <c r="E132" s="9" t="n"/>
    </row>
    <row r="133">
      <c r="A133" s="2" t="inlineStr">
        <is>
          <t>2026</t>
        </is>
      </c>
      <c r="B133" s="2" t="inlineStr">
        <is>
          <t>서경방송 1,8층 디자인</t>
        </is>
      </c>
      <c r="C133" s="4" t="n">
        <v>5830000</v>
      </c>
      <c r="D133" s="4" t="n">
        <v>5830000</v>
      </c>
      <c r="E133" s="9">
        <f>IF(AND(C133&gt;0,D133&gt;0),D133/(C133/1.1),"")</f>
        <v/>
      </c>
    </row>
    <row r="134">
      <c r="A134" s="2" t="inlineStr">
        <is>
          <t>2026</t>
        </is>
      </c>
      <c r="B134" s="2" t="inlineStr">
        <is>
          <t>어반브릭스 국어교습소</t>
        </is>
      </c>
      <c r="C134" s="4" t="n">
        <v>1683000</v>
      </c>
      <c r="D134" s="4" t="n">
        <v>558242</v>
      </c>
      <c r="E134" s="9" t="n">
        <v>0.3648640522875817</v>
      </c>
    </row>
    <row r="135">
      <c r="A135" s="2" t="inlineStr">
        <is>
          <t>2026</t>
        </is>
      </c>
      <c r="B135" s="2" t="inlineStr">
        <is>
          <t>어반브릭스 기타학원</t>
        </is>
      </c>
      <c r="C135" s="4" t="n">
        <v>11836000</v>
      </c>
      <c r="D135" s="4" t="n">
        <v>5919811</v>
      </c>
      <c r="E135" s="9" t="n">
        <v>0.5501683085501858</v>
      </c>
    </row>
    <row r="136">
      <c r="A136" s="2" t="inlineStr">
        <is>
          <t>2026</t>
        </is>
      </c>
      <c r="B136" s="2" t="inlineStr">
        <is>
          <t>어반브릭스 컴퓨터학원</t>
        </is>
      </c>
      <c r="C136" s="4" t="n">
        <v>15466000</v>
      </c>
      <c r="D136" s="4" t="n">
        <v>5986160</v>
      </c>
      <c r="E136" s="9" t="n">
        <v>0.4257581792318634</v>
      </c>
    </row>
    <row r="137">
      <c r="A137" s="2" t="inlineStr">
        <is>
          <t>2026</t>
        </is>
      </c>
      <c r="B137" s="2" t="inlineStr">
        <is>
          <t>장유사무실</t>
        </is>
      </c>
      <c r="C137" s="4" t="n">
        <v>24090000</v>
      </c>
      <c r="D137" s="4" t="n">
        <v>12489465</v>
      </c>
      <c r="E137" s="9" t="n">
        <v>0.52</v>
      </c>
    </row>
    <row r="138">
      <c r="A138" s="2" t="inlineStr">
        <is>
          <t>2026</t>
        </is>
      </c>
      <c r="B138" s="2" t="inlineStr">
        <is>
          <t>제이디윙스 6층</t>
        </is>
      </c>
      <c r="C138" s="4" t="n">
        <v>13673000</v>
      </c>
      <c r="D138" s="4" t="n">
        <v>5091524</v>
      </c>
      <c r="E138" s="9" t="n">
        <v>0.409615768302494</v>
      </c>
    </row>
    <row r="139">
      <c r="A139" s="2" t="inlineStr">
        <is>
          <t>2026</t>
        </is>
      </c>
      <c r="B139" s="2" t="inlineStr">
        <is>
          <t>지엔티 4공장 R&amp;D 센터공사</t>
        </is>
      </c>
      <c r="C139" s="4" t="n">
        <v>53130000</v>
      </c>
      <c r="D139" s="4" t="n">
        <v>31981152</v>
      </c>
      <c r="E139" s="9" t="n">
        <v>0.662135652173913</v>
      </c>
    </row>
    <row r="140">
      <c r="A140" s="2" t="inlineStr">
        <is>
          <t>2026</t>
        </is>
      </c>
      <c r="B140" s="2" t="inlineStr">
        <is>
          <t>지엔티 옷장구매</t>
        </is>
      </c>
      <c r="C140" s="4" t="n">
        <v>1243000</v>
      </c>
      <c r="D140" s="4" t="n">
        <v>253000</v>
      </c>
      <c r="E140" s="9">
        <f>IF(AND(C140&gt;0,D140&gt;0),D140/(C140/1.1),"")</f>
        <v/>
      </c>
    </row>
    <row r="141">
      <c r="A141" s="2" t="inlineStr">
        <is>
          <t>2026</t>
        </is>
      </c>
      <c r="B141" s="2" t="inlineStr">
        <is>
          <t>지엔티 책상구매</t>
        </is>
      </c>
      <c r="C141" s="4" t="n">
        <v>143000</v>
      </c>
      <c r="D141" s="4" t="n">
        <v>22000</v>
      </c>
      <c r="E141" s="9" t="n">
        <v>0.1538461538461539</v>
      </c>
    </row>
    <row r="142">
      <c r="A142" s="2" t="inlineStr">
        <is>
          <t>2026</t>
        </is>
      </c>
      <c r="B142" s="2" t="inlineStr">
        <is>
          <t>지엔티 회의테이블구매</t>
        </is>
      </c>
      <c r="C142" s="4" t="n">
        <v>407000</v>
      </c>
      <c r="D142" s="4" t="n">
        <v>77000</v>
      </c>
      <c r="E142" s="9" t="n">
        <v>0.1891891891891892</v>
      </c>
    </row>
    <row r="143">
      <c r="A143" s="2" t="inlineStr">
        <is>
          <t>2026</t>
        </is>
      </c>
      <c r="B143" s="2" t="inlineStr">
        <is>
          <t>진해푸른회</t>
        </is>
      </c>
      <c r="C143" s="4" t="n">
        <v>10243000</v>
      </c>
      <c r="D143" s="4" t="n">
        <v>3214557</v>
      </c>
      <c r="E143" s="9" t="n">
        <v>0.3387309799789252</v>
      </c>
    </row>
    <row r="144">
      <c r="A144" s="2" t="inlineStr">
        <is>
          <t>2026</t>
        </is>
      </c>
      <c r="B144" s="2" t="inlineStr">
        <is>
          <t>크랭크샤프트 강당</t>
        </is>
      </c>
      <c r="C144" s="4" t="n">
        <v>99924000</v>
      </c>
      <c r="D144" s="4" t="n">
        <v>90018273</v>
      </c>
      <c r="E144" s="9" t="n">
        <v>0.9909541281373844</v>
      </c>
    </row>
    <row r="145">
      <c r="A145" s="2" t="inlineStr">
        <is>
          <t>2026</t>
        </is>
      </c>
      <c r="B145" s="2" t="inlineStr">
        <is>
          <t>팔용동사진관</t>
        </is>
      </c>
      <c r="C145" s="4" t="n">
        <v>21703000</v>
      </c>
      <c r="D145" s="4" t="n">
        <v>10320303</v>
      </c>
      <c r="E145" s="9" t="n">
        <v>0.523076685250887</v>
      </c>
    </row>
    <row r="146">
      <c r="A146" s="2" t="inlineStr">
        <is>
          <t>2026</t>
        </is>
      </c>
      <c r="B146" s="2" t="inlineStr">
        <is>
          <t>헥사곤 사인물</t>
        </is>
      </c>
      <c r="C146" s="4" t="n">
        <v>3652000</v>
      </c>
      <c r="D146" s="4" t="n"/>
      <c r="E146" s="9" t="n"/>
    </row>
    <row r="147">
      <c r="A147" s="2" t="inlineStr">
        <is>
          <t>2026</t>
        </is>
      </c>
      <c r="B147" s="2" t="inlineStr">
        <is>
          <t>현대마린엔진 대표실</t>
        </is>
      </c>
      <c r="C147" s="4" t="n">
        <v>10593000</v>
      </c>
      <c r="D147" s="4" t="n">
        <v>5911753</v>
      </c>
      <c r="E147" s="9" t="n">
        <v>0.5580810912866988</v>
      </c>
    </row>
    <row r="148">
      <c r="A148" s="2" t="inlineStr">
        <is>
          <t>2026</t>
        </is>
      </c>
      <c r="B148" s="2" t="inlineStr">
        <is>
          <t>현대마린엔진 선주실</t>
        </is>
      </c>
      <c r="C148" s="4" t="n">
        <v>52899000</v>
      </c>
      <c r="D148" s="4" t="n">
        <v>26570606</v>
      </c>
      <c r="E148" s="9" t="n">
        <v>0.5525183198170098</v>
      </c>
    </row>
    <row r="149">
      <c r="A149" s="2" t="inlineStr">
        <is>
          <t>2026</t>
        </is>
      </c>
      <c r="B149" s="2" t="inlineStr">
        <is>
          <t>현대마린엔진 접견실 인테리어(도배)</t>
        </is>
      </c>
      <c r="C149" s="4" t="n">
        <v>1991000</v>
      </c>
      <c r="D149" s="4" t="n"/>
      <c r="E149" s="9" t="n"/>
    </row>
    <row r="151">
      <c r="A151" s="5" t="inlineStr">
        <is>
          <t>※ 공사경력 대장(JM공사경력.xlsx) 기준 — 회사 공식 수치. 손익표 상세 분석과 대조 결과 현장별 ±50만원 내 일치(차이는 식음료·차량비 차감 여부). 2024년은 순이익 금액 대신 이익률만 기재되어 있음.</t>
        </is>
      </c>
    </row>
    <row r="152">
      <c r="A152" s="14" t="inlineStr">
        <is>
          <t>⚠ 대장 확인 필요 2건: ① 중동 미용실 순이익 26,203,955원이 본공사금액(18,280,000원)보다 큼 — HD현대마린엔진 순이익과 동일한 값(복사 오류 추정). ② 팔용동 사진관이 2025년에 동일 금액으로 2번 기재됨(중복 여부 확인 필요).</t>
        </is>
      </c>
    </row>
  </sheetData>
  <autoFilter ref="A1:E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2026-07-03T05:39:42Z</dcterms:created>
  <dcterms:modified xmlns:dcterms="http://purl.org/dc/terms/" xmlns:xsi="http://www.w3.org/2001/XMLSchema-instance" xsi:type="dcterms:W3CDTF">2026-07-03T06:03:40Z</dcterms:modified>
</cp:coreProperties>
</file>