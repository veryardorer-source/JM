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목록" sheetId="1" state="visible" r:id="rId1"/>
    <sheet xmlns:r="http://schemas.openxmlformats.org/officeDocument/2006/relationships" name="평당가(본공사)" sheetId="2" state="visible" r:id="rId2"/>
    <sheet xmlns:r="http://schemas.openxmlformats.org/officeDocument/2006/relationships" name="업종별 요약" sheetId="3" state="visible" r:id="rId3"/>
    <sheet xmlns:r="http://schemas.openxmlformats.org/officeDocument/2006/relationships" name="공종별 통계" sheetId="4" state="visible" r:id="rId4"/>
    <sheet xmlns:r="http://schemas.openxmlformats.org/officeDocument/2006/relationships" name="견적 기준" sheetId="5" state="visible" r:id="rId5"/>
    <sheet xmlns:r="http://schemas.openxmlformats.org/officeDocument/2006/relationships" name="현장별 손익" sheetId="6" state="visible" r:id="rId6"/>
    <sheet xmlns:r="http://schemas.openxmlformats.org/officeDocument/2006/relationships" name="공종별 손익" sheetId="7" state="visible" r:id="rId7"/>
  </sheets>
  <definedNames>
    <definedName name="_xlnm._FilterDatabase" localSheetId="0" hidden="1">'전체목록'!$A$1:$H$91</definedName>
    <definedName name="_xlnm._FilterDatabase" localSheetId="1" hidden="1">'평당가(본공사)'!$A$1:$G$45</definedName>
    <definedName name="_xlnm._FilterDatabase" localSheetId="5" hidden="1">'현장별 손익'!$A$1:$G$70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08080"/>
      <sz val="9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5F1F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2" fillId="0" borderId="1" pivotButton="0" quotePrefix="0" xfId="0"/>
    <xf numFmtId="10" fontId="2" fillId="0" borderId="1" pivotButton="0" quotePrefix="0" xfId="0"/>
    <xf numFmtId="0" fontId="1" fillId="3" borderId="1" applyAlignment="1" pivotButton="0" quotePrefix="0" xfId="0">
      <alignment horizontal="center"/>
    </xf>
    <xf numFmtId="165" fontId="4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9" customWidth="1" min="4" max="4"/>
    <col width="7" customWidth="1" min="5" max="5"/>
    <col width="16" customWidth="1" min="6" max="6"/>
    <col width="12" customWidth="1" min="7" max="7"/>
    <col width="42" customWidth="1" min="8" max="8"/>
  </cols>
  <sheetData>
    <row r="1">
      <c r="A1" s="1" t="inlineStr">
        <is>
          <t>연도</t>
        </is>
      </c>
      <c r="B1" s="1" t="inlineStr">
        <is>
          <t>현장명</t>
        </is>
      </c>
      <c r="C1" s="1" t="inlineStr">
        <is>
          <t>업종</t>
        </is>
      </c>
      <c r="D1" s="1" t="inlineStr">
        <is>
          <t>구분</t>
        </is>
      </c>
      <c r="E1" s="1" t="inlineStr">
        <is>
          <t>평수</t>
        </is>
      </c>
      <c r="F1" s="1" t="inlineStr">
        <is>
          <t>견적총액(VAT포함)</t>
        </is>
      </c>
      <c r="G1" s="1" t="inlineStr">
        <is>
          <t>평당가</t>
        </is>
      </c>
      <c r="H1" s="1" t="inlineStr">
        <is>
          <t>파일명</t>
        </is>
      </c>
    </row>
    <row r="2">
      <c r="A2" s="2" t="inlineStr">
        <is>
          <t>2024년</t>
        </is>
      </c>
      <c r="B2" s="2" t="inlineStr">
        <is>
          <t>HK대구사업단</t>
        </is>
      </c>
      <c r="C2" s="2" t="inlineStr">
        <is>
          <t>사무실</t>
        </is>
      </c>
      <c r="D2" s="2" t="inlineStr">
        <is>
          <t>특수</t>
        </is>
      </c>
      <c r="E2" s="3" t="n">
        <v>30.2</v>
      </c>
      <c r="F2" s="4" t="n">
        <v>13222000</v>
      </c>
      <c r="G2" s="4">
        <f>IF(AND(E2&gt;0,F2&gt;0),F2/E2,"")</f>
        <v/>
      </c>
      <c r="H2" s="2" t="inlineStr">
        <is>
          <t>240911_대구HK금융파트너스(철거포함)-최종본.xlsb</t>
        </is>
      </c>
    </row>
    <row r="3">
      <c r="A3" s="2" t="inlineStr">
        <is>
          <t>2024년</t>
        </is>
      </c>
      <c r="B3" s="2" t="inlineStr">
        <is>
          <t>HK금융파트너스 대구사업단 안동</t>
        </is>
      </c>
      <c r="C3" s="2" t="inlineStr">
        <is>
          <t>사무실</t>
        </is>
      </c>
      <c r="D3" s="2" t="inlineStr">
        <is>
          <t>특수</t>
        </is>
      </c>
      <c r="E3" s="3" t="n">
        <v>18.1</v>
      </c>
      <c r="F3" s="4" t="n">
        <v>10252000</v>
      </c>
      <c r="G3" s="4">
        <f>IF(AND(E3&gt;0,F3&gt;0),F3/E3,"")</f>
        <v/>
      </c>
      <c r="H3" s="2" t="inlineStr">
        <is>
          <t>240911_안동HK금융파트너스-최종본.xlsb</t>
        </is>
      </c>
    </row>
    <row r="4">
      <c r="A4" s="2" t="inlineStr">
        <is>
          <t>2024년</t>
        </is>
      </c>
      <c r="B4" s="2" t="inlineStr">
        <is>
          <t>문소영수학관리</t>
        </is>
      </c>
      <c r="C4" s="2" t="inlineStr">
        <is>
          <t>학원/교습소</t>
        </is>
      </c>
      <c r="D4" s="2" t="inlineStr">
        <is>
          <t>본공사</t>
        </is>
      </c>
      <c r="E4" s="3" t="n">
        <v>45.4</v>
      </c>
      <c r="F4" s="4" t="n">
        <v>31999000</v>
      </c>
      <c r="G4" s="4">
        <f>IF(AND(E4&gt;0,F4&gt;0),F4/E4,"")</f>
        <v/>
      </c>
      <c r="H4" s="2" t="inlineStr">
        <is>
          <t>240925_315대로 5층학원(최종본).xlsb</t>
        </is>
      </c>
    </row>
    <row r="5">
      <c r="A5" s="2" t="inlineStr">
        <is>
          <t>2024년</t>
        </is>
      </c>
      <c r="B5" s="2" t="inlineStr">
        <is>
          <t>현대크랭크 계단,왁스,안내판</t>
        </is>
      </c>
      <c r="C5" s="2" t="inlineStr">
        <is>
          <t>상업/기타</t>
        </is>
      </c>
      <c r="D5" s="2" t="inlineStr">
        <is>
          <t>부분공사</t>
        </is>
      </c>
      <c r="E5" s="3" t="n"/>
      <c r="F5" s="4" t="n"/>
      <c r="G5" s="4">
        <f>IF(AND(E5&gt;0,F5&gt;0),F5/E5,"")</f>
        <v/>
      </c>
      <c r="H5" s="2" t="inlineStr">
        <is>
          <t>241018_HD현대플랭크샤프트(왁스).xlsb</t>
        </is>
      </c>
    </row>
    <row r="6">
      <c r="A6" s="2" t="inlineStr">
        <is>
          <t>2024년</t>
        </is>
      </c>
      <c r="B6" s="2" t="inlineStr">
        <is>
          <t>진주음악학원</t>
        </is>
      </c>
      <c r="C6" s="2" t="inlineStr">
        <is>
          <t>학원/교습소</t>
        </is>
      </c>
      <c r="D6" s="2" t="inlineStr">
        <is>
          <t>본공사</t>
        </is>
      </c>
      <c r="E6" s="3" t="n">
        <v>43.1</v>
      </c>
      <c r="F6" s="4" t="n">
        <v>96162000</v>
      </c>
      <c r="G6" s="4">
        <f>IF(AND(E6&gt;0,F6&gt;0),F6/E6,"")</f>
        <v/>
      </c>
      <c r="H6" s="2" t="inlineStr">
        <is>
          <t>241025_진주음악학원-최종본.xlsb</t>
        </is>
      </c>
    </row>
    <row r="7">
      <c r="A7" s="2" t="inlineStr">
        <is>
          <t>2024년</t>
        </is>
      </c>
      <c r="B7" s="2" t="inlineStr">
        <is>
          <t>현대크랭크 탈의실 샤워실 보수공사</t>
        </is>
      </c>
      <c r="C7" s="2" t="inlineStr">
        <is>
          <t>상업/기타</t>
        </is>
      </c>
      <c r="D7" s="2" t="inlineStr">
        <is>
          <t>가구</t>
        </is>
      </c>
      <c r="E7" s="3" t="n"/>
      <c r="F7" s="4" t="n">
        <v>15862000</v>
      </c>
      <c r="G7" s="4">
        <f>IF(AND(E7&gt;0,F7&gt;0),F7/E7,"")</f>
        <v/>
      </c>
      <c r="H7" s="2" t="inlineStr">
        <is>
          <t>241105_HD크랭크샤프트 샤워실 및 탈의실(가구).xls</t>
        </is>
      </c>
    </row>
    <row r="8">
      <c r="A8" s="2" t="inlineStr">
        <is>
          <t>2024년</t>
        </is>
      </c>
      <c r="B8" s="2" t="inlineStr">
        <is>
          <t>현대크랭크 탈의실 샤워실 보수공사</t>
        </is>
      </c>
      <c r="C8" s="2" t="inlineStr">
        <is>
          <t>상업/기타</t>
        </is>
      </c>
      <c r="D8" s="2" t="inlineStr">
        <is>
          <t>본공사</t>
        </is>
      </c>
      <c r="E8" s="3" t="n">
        <v>28.7</v>
      </c>
      <c r="F8" s="4" t="n">
        <v>23287000</v>
      </c>
      <c r="G8" s="4">
        <f>IF(AND(E8&gt;0,F8&gt;0),F8/E8,"")</f>
        <v/>
      </c>
      <c r="H8" s="2" t="inlineStr">
        <is>
          <t>241105_HD크랭크샤프트 샤워실 및 탈의실(인테리어).xls</t>
        </is>
      </c>
    </row>
    <row r="9">
      <c r="A9" s="2" t="inlineStr">
        <is>
          <t>2024년</t>
        </is>
      </c>
      <c r="B9" s="2" t="inlineStr">
        <is>
          <t>부산대학교생명자원과학대학</t>
        </is>
      </c>
      <c r="C9" s="2" t="inlineStr">
        <is>
          <t>대학/공공</t>
        </is>
      </c>
      <c r="D9" s="2" t="inlineStr">
        <is>
          <t>가구</t>
        </is>
      </c>
      <c r="E9" s="3" t="n"/>
      <c r="F9" s="4" t="n">
        <v>5610000</v>
      </c>
      <c r="G9" s="4">
        <f>IF(AND(E9&gt;0,F9&gt;0),F9/E9,"")</f>
        <v/>
      </c>
      <c r="H9" s="2" t="inlineStr">
        <is>
          <t>241108_부산대바이오소재학과 가구(제출용).xlsb</t>
        </is>
      </c>
    </row>
    <row r="10">
      <c r="A10" s="2" t="inlineStr">
        <is>
          <t>2024년</t>
        </is>
      </c>
      <c r="B10" s="2" t="inlineStr">
        <is>
          <t>부산대학교생명자원과학대학</t>
        </is>
      </c>
      <c r="C10" s="2" t="inlineStr">
        <is>
          <t>대학/공공</t>
        </is>
      </c>
      <c r="D10" s="2" t="inlineStr">
        <is>
          <t>본공사</t>
        </is>
      </c>
      <c r="E10" s="3" t="n">
        <v>27.2</v>
      </c>
      <c r="F10" s="4" t="n">
        <v>31856000</v>
      </c>
      <c r="G10" s="4">
        <f>IF(AND(E10&gt;0,F10&gt;0),F10/E10,"")</f>
        <v/>
      </c>
      <c r="H10" s="2" t="inlineStr">
        <is>
          <t>241108_부산바이오소재과학과인테리어(제출용).xlsb</t>
        </is>
      </c>
    </row>
    <row r="11">
      <c r="A11" s="2" t="inlineStr">
        <is>
          <t>2024년</t>
        </is>
      </c>
      <c r="B11" s="2" t="inlineStr">
        <is>
          <t>문소영수학관리</t>
        </is>
      </c>
      <c r="C11" s="2" t="inlineStr">
        <is>
          <t>학원/교습소</t>
        </is>
      </c>
      <c r="D11" s="2" t="inlineStr">
        <is>
          <t>추가공사</t>
        </is>
      </c>
      <c r="E11" s="3" t="n"/>
      <c r="F11" s="4" t="n">
        <v>3553000</v>
      </c>
      <c r="G11" s="4">
        <f>IF(AND(E11&gt;0,F11&gt;0),F11/E11,"")</f>
        <v/>
      </c>
      <c r="H11" s="2" t="inlineStr">
        <is>
          <t>241111_315대로5층학원(추가공사).xlsb</t>
        </is>
      </c>
    </row>
    <row r="12">
      <c r="A12" s="2" t="inlineStr">
        <is>
          <t>2024년</t>
        </is>
      </c>
      <c r="B12" s="2" t="inlineStr">
        <is>
          <t>디오오토갤러리</t>
        </is>
      </c>
      <c r="C12" s="2" t="inlineStr">
        <is>
          <t>상업/기타</t>
        </is>
      </c>
      <c r="D12" s="2" t="inlineStr">
        <is>
          <t>부분공사</t>
        </is>
      </c>
      <c r="E12" s="3" t="n">
        <v>6.9</v>
      </c>
      <c r="F12" s="4" t="n">
        <v>6402000</v>
      </c>
      <c r="G12" s="4">
        <f>IF(AND(E12&gt;0,F12&gt;0),F12/E12,"")</f>
        <v/>
      </c>
      <c r="H12" s="2" t="inlineStr">
        <is>
          <t>241111_디오오토갤러리.xlsb</t>
        </is>
      </c>
    </row>
    <row r="13">
      <c r="A13" s="2" t="inlineStr">
        <is>
          <t>2024년</t>
        </is>
      </c>
      <c r="B13" s="2" t="inlineStr">
        <is>
          <t>진해교습소</t>
        </is>
      </c>
      <c r="C13" s="2" t="inlineStr">
        <is>
          <t>학원/교습소</t>
        </is>
      </c>
      <c r="D13" s="2" t="inlineStr">
        <is>
          <t>본공사</t>
        </is>
      </c>
      <c r="E13" s="3" t="n">
        <v>14.5</v>
      </c>
      <c r="F13" s="4" t="n">
        <v>25916000</v>
      </c>
      <c r="G13" s="4">
        <f>IF(AND(E13&gt;0,F13&gt;0),F13/E13,"")</f>
        <v/>
      </c>
      <c r="H13" s="2" t="inlineStr">
        <is>
          <t>241127_진해자은동교습소견적서.xlsb</t>
        </is>
      </c>
    </row>
    <row r="14">
      <c r="A14" s="2" t="inlineStr">
        <is>
          <t>2024년</t>
        </is>
      </c>
      <c r="B14" s="2" t="inlineStr">
        <is>
          <t>터보링크</t>
        </is>
      </c>
      <c r="C14" s="2" t="inlineStr">
        <is>
          <t>상업/기타</t>
        </is>
      </c>
      <c r="D14" s="2" t="inlineStr">
        <is>
          <t>본공사</t>
        </is>
      </c>
      <c r="E14" s="3" t="n">
        <v>24.2</v>
      </c>
      <c r="F14" s="4" t="n">
        <v>33220000</v>
      </c>
      <c r="G14" s="4">
        <f>IF(AND(E14&gt;0,F14&gt;0),F14/E14,"")</f>
        <v/>
      </c>
      <c r="H14" s="2" t="inlineStr">
        <is>
          <t>241209_터보링크(목공사) - 최종본.xlsb</t>
        </is>
      </c>
    </row>
    <row r="15">
      <c r="A15" s="2" t="inlineStr">
        <is>
          <t>2024년</t>
        </is>
      </c>
      <c r="B15" s="2" t="inlineStr">
        <is>
          <t>북면교습소</t>
        </is>
      </c>
      <c r="C15" s="2" t="inlineStr">
        <is>
          <t>학원/교습소</t>
        </is>
      </c>
      <c r="D15" s="2" t="inlineStr">
        <is>
          <t>부분공사</t>
        </is>
      </c>
      <c r="E15" s="3" t="n"/>
      <c r="F15" s="4" t="n">
        <v>3905000</v>
      </c>
      <c r="G15" s="4">
        <f>IF(AND(E15&gt;0,F15&gt;0),F15/E15,"")</f>
        <v/>
      </c>
      <c r="H15" s="2" t="inlineStr">
        <is>
          <t>241210_북면교습소인테리어.xlsx</t>
        </is>
      </c>
    </row>
    <row r="16">
      <c r="A16" s="2" t="inlineStr">
        <is>
          <t>2024년</t>
        </is>
      </c>
      <c r="B16" s="2" t="inlineStr">
        <is>
          <t>사파동변호사사무실</t>
        </is>
      </c>
      <c r="C16" s="2" t="inlineStr">
        <is>
          <t>사무실</t>
        </is>
      </c>
      <c r="D16" s="2" t="inlineStr">
        <is>
          <t>본공사</t>
        </is>
      </c>
      <c r="E16" s="3" t="n"/>
      <c r="F16" s="4" t="n">
        <v>27335000</v>
      </c>
      <c r="G16" s="4">
        <f>IF(AND(E16&gt;0,F16&gt;0),F16/E16,"")</f>
        <v/>
      </c>
      <c r="H16" s="2" t="inlineStr">
        <is>
          <t>241211_사파동변호사사무실.xlsb</t>
        </is>
      </c>
    </row>
    <row r="17">
      <c r="A17" s="2" t="inlineStr">
        <is>
          <t>2024년</t>
        </is>
      </c>
      <c r="B17" s="2" t="inlineStr">
        <is>
          <t>진주음악학원</t>
        </is>
      </c>
      <c r="C17" s="2" t="inlineStr">
        <is>
          <t>학원/교습소</t>
        </is>
      </c>
      <c r="D17" s="2" t="inlineStr">
        <is>
          <t>추가공사</t>
        </is>
      </c>
      <c r="E17" s="3" t="n"/>
      <c r="F17" s="4" t="n">
        <v>3091000</v>
      </c>
      <c r="G17" s="4">
        <f>IF(AND(E17&gt;0,F17&gt;0),F17/E17,"")</f>
        <v/>
      </c>
      <c r="H17" s="2" t="inlineStr">
        <is>
          <t>241224_진주윤앤오음악학원 추가견적서.xlsb</t>
        </is>
      </c>
    </row>
    <row r="18">
      <c r="A18" s="2" t="inlineStr">
        <is>
          <t>2024년</t>
        </is>
      </c>
      <c r="B18" s="2" t="inlineStr">
        <is>
          <t>진해교습소</t>
        </is>
      </c>
      <c r="C18" s="2" t="inlineStr">
        <is>
          <t>학원/교습소</t>
        </is>
      </c>
      <c r="D18" s="2" t="inlineStr">
        <is>
          <t>추가공사</t>
        </is>
      </c>
      <c r="E18" s="3" t="n"/>
      <c r="F18" s="4" t="n">
        <v>1188000</v>
      </c>
      <c r="G18" s="4">
        <f>IF(AND(E18&gt;0,F18&gt;0),F18/E18,"")</f>
        <v/>
      </c>
      <c r="H18" s="2" t="inlineStr">
        <is>
          <t>241226_진해자은동교습소 추가견적서.xlsb</t>
        </is>
      </c>
    </row>
    <row r="19">
      <c r="A19" s="2" t="inlineStr">
        <is>
          <t>2024년</t>
        </is>
      </c>
      <c r="B19" s="2" t="inlineStr">
        <is>
          <t>더 젤 네일샾</t>
        </is>
      </c>
      <c r="C19" s="2" t="inlineStr">
        <is>
          <t>뷰티/미용</t>
        </is>
      </c>
      <c r="D19" s="2" t="inlineStr">
        <is>
          <t>본공사</t>
        </is>
      </c>
      <c r="E19" s="3" t="n">
        <v>10</v>
      </c>
      <c r="F19" s="4" t="n">
        <v>32538000</v>
      </c>
      <c r="G19" s="4">
        <f>IF(AND(E19&gt;0,F19&gt;0),F19/E19,"")</f>
        <v/>
      </c>
      <c r="H19" s="2" t="inlineStr">
        <is>
          <t>241226_합성동뷰티샾(최종본).xlsb</t>
        </is>
      </c>
    </row>
    <row r="20">
      <c r="A20" s="2" t="inlineStr">
        <is>
          <t>2024년</t>
        </is>
      </c>
      <c r="B20" s="2" t="inlineStr">
        <is>
          <t>블루돌핀어학원</t>
        </is>
      </c>
      <c r="C20" s="2" t="inlineStr">
        <is>
          <t>학원/교습소</t>
        </is>
      </c>
      <c r="D20" s="2" t="inlineStr">
        <is>
          <t>추가공사</t>
        </is>
      </c>
      <c r="E20" s="3" t="n"/>
      <c r="F20" s="4" t="n"/>
      <c r="G20" s="4">
        <f>IF(AND(E20&gt;0,F20&gt;0),F20/E20,"")</f>
        <v/>
      </c>
      <c r="H20" s="2" t="inlineStr">
        <is>
          <t>250113_에일린의 뜰 404호(블루돌핀)_추가견적서.xlsb</t>
        </is>
      </c>
    </row>
    <row r="21">
      <c r="A21" s="2" t="inlineStr">
        <is>
          <t>2025년</t>
        </is>
      </c>
      <c r="B21" s="2" t="inlineStr">
        <is>
          <t>지엔티 가구</t>
        </is>
      </c>
      <c r="C21" s="2" t="inlineStr">
        <is>
          <t>상업/기타</t>
        </is>
      </c>
      <c r="D21" s="2" t="inlineStr">
        <is>
          <t>가구</t>
        </is>
      </c>
      <c r="E21" s="3" t="n"/>
      <c r="F21" s="4" t="n"/>
      <c r="G21" s="4">
        <f>IF(AND(E21&gt;0,F21&gt;0),F21/E21,"")</f>
        <v/>
      </c>
      <c r="H21" s="2" t="inlineStr">
        <is>
          <t>0124_가구견적서.xlsb</t>
        </is>
      </c>
    </row>
    <row r="22">
      <c r="A22" s="2" t="inlineStr">
        <is>
          <t>2025년</t>
        </is>
      </c>
      <c r="B22" s="2" t="inlineStr">
        <is>
          <t>현대크랭크샤프트가구</t>
        </is>
      </c>
      <c r="C22" s="2" t="inlineStr">
        <is>
          <t>상업/기타</t>
        </is>
      </c>
      <c r="D22" s="2" t="inlineStr">
        <is>
          <t>가구</t>
        </is>
      </c>
      <c r="E22" s="3" t="n"/>
      <c r="F22" s="4" t="n">
        <v>8019000</v>
      </c>
      <c r="G22" s="4">
        <f>IF(AND(E22&gt;0,F22&gt;0),F22/E22,"")</f>
        <v/>
      </c>
      <c r="H22" s="2" t="inlineStr">
        <is>
          <t>241227_현대크랭크샤프트 가구-최종본.xlsb</t>
        </is>
      </c>
    </row>
    <row r="23">
      <c r="A23" s="2" t="inlineStr">
        <is>
          <t>2025년</t>
        </is>
      </c>
      <c r="B23" s="2" t="inlineStr">
        <is>
          <t>라온메디칼 사무실</t>
        </is>
      </c>
      <c r="C23" s="2" t="inlineStr">
        <is>
          <t>사무실</t>
        </is>
      </c>
      <c r="D23" s="2" t="inlineStr">
        <is>
          <t>본공사</t>
        </is>
      </c>
      <c r="E23" s="3" t="n">
        <v>29.6</v>
      </c>
      <c r="F23" s="4" t="n">
        <v>34529000</v>
      </c>
      <c r="G23" s="4">
        <f>IF(AND(E23&gt;0,F23&gt;0),F23/E23,"")</f>
        <v/>
      </c>
      <c r="H23" s="2" t="inlineStr">
        <is>
          <t>250120_서상동 메디컬사무실.xlsb</t>
        </is>
      </c>
    </row>
    <row r="24">
      <c r="A24" s="2" t="inlineStr">
        <is>
          <t>2025년</t>
        </is>
      </c>
      <c r="B24" s="2" t="inlineStr">
        <is>
          <t>양산타코야끼</t>
        </is>
      </c>
      <c r="C24" s="2" t="inlineStr">
        <is>
          <t>식음료</t>
        </is>
      </c>
      <c r="D24" s="2" t="inlineStr">
        <is>
          <t>본공사</t>
        </is>
      </c>
      <c r="E24" s="3" t="n">
        <v>18.5</v>
      </c>
      <c r="F24" s="4" t="n">
        <v>29469000</v>
      </c>
      <c r="G24" s="4">
        <f>IF(AND(E24&gt;0,F24&gt;0),F24/E24,"")</f>
        <v/>
      </c>
      <c r="H24" s="2" t="inlineStr">
        <is>
          <t>250124_양산타꼬야끼_최종본.xlsb</t>
        </is>
      </c>
    </row>
    <row r="25">
      <c r="A25" s="2" t="inlineStr">
        <is>
          <t>2025년</t>
        </is>
      </c>
      <c r="B25" s="2" t="inlineStr">
        <is>
          <t>양산타코야끼</t>
        </is>
      </c>
      <c r="C25" s="2" t="inlineStr">
        <is>
          <t>식음료</t>
        </is>
      </c>
      <c r="D25" s="2" t="inlineStr">
        <is>
          <t>추가공사</t>
        </is>
      </c>
      <c r="E25" s="3" t="n"/>
      <c r="F25" s="4" t="n">
        <v>3949000</v>
      </c>
      <c r="G25" s="4">
        <f>IF(AND(E25&gt;0,F25&gt;0),F25/E25,"")</f>
        <v/>
      </c>
      <c r="H25" s="2" t="inlineStr">
        <is>
          <t>250203_양산타꼬야끼 추가공사.xlsb</t>
        </is>
      </c>
    </row>
    <row r="26">
      <c r="A26" s="2" t="inlineStr">
        <is>
          <t>2025년</t>
        </is>
      </c>
      <c r="B26" s="2" t="inlineStr">
        <is>
          <t>MH에탄올 사무실 2,3층 인테리어</t>
        </is>
      </c>
      <c r="C26" s="2" t="inlineStr">
        <is>
          <t>사무실</t>
        </is>
      </c>
      <c r="D26" s="2" t="inlineStr">
        <is>
          <t>본공사</t>
        </is>
      </c>
      <c r="E26" s="3" t="n">
        <v>98.59999999999999</v>
      </c>
      <c r="F26" s="4" t="n">
        <v>160413000</v>
      </c>
      <c r="G26" s="4">
        <f>IF(AND(E26&gt;0,F26&gt;0),F26/E26,"")</f>
        <v/>
      </c>
      <c r="H26" s="2" t="inlineStr">
        <is>
          <t>250227_에탄올본관(도장가구).xls</t>
        </is>
      </c>
    </row>
    <row r="27">
      <c r="A27" s="2" t="inlineStr">
        <is>
          <t>2025년</t>
        </is>
      </c>
      <c r="B27" s="2" t="inlineStr">
        <is>
          <t>다구리 109건축(손익표x)</t>
        </is>
      </c>
      <c r="C27" s="2" t="inlineStr">
        <is>
          <t>상업/기타</t>
        </is>
      </c>
      <c r="D27" s="2" t="inlineStr">
        <is>
          <t>특수</t>
        </is>
      </c>
      <c r="E27" s="3" t="n"/>
      <c r="F27" s="4" t="n"/>
      <c r="G27" s="4">
        <f>IF(AND(E27&gt;0,F27&gt;0),F27/E27,"")</f>
        <v/>
      </c>
      <c r="H27" s="2" t="inlineStr">
        <is>
          <t>250306_다구리 109 -최종본.xls</t>
        </is>
      </c>
    </row>
    <row r="28">
      <c r="A28" s="2" t="inlineStr">
        <is>
          <t>2025년</t>
        </is>
      </c>
      <c r="B28" s="2" t="inlineStr">
        <is>
          <t>보루(어반브릭스)</t>
        </is>
      </c>
      <c r="C28" s="2" t="inlineStr">
        <is>
          <t>상업/기타</t>
        </is>
      </c>
      <c r="D28" s="2" t="inlineStr">
        <is>
          <t>부분공사</t>
        </is>
      </c>
      <c r="E28" s="3" t="n"/>
      <c r="F28" s="4" t="n">
        <v>2629000</v>
      </c>
      <c r="G28" s="4">
        <f>IF(AND(E28&gt;0,F28&gt;0),F28/E28,"")</f>
        <v/>
      </c>
      <c r="H28" s="2" t="inlineStr">
        <is>
          <t>250306_보루(어반브릭스).xlsb</t>
        </is>
      </c>
    </row>
    <row r="29">
      <c r="A29" s="2" t="inlineStr">
        <is>
          <t>2025년</t>
        </is>
      </c>
      <c r="B29" s="2" t="inlineStr">
        <is>
          <t>키움에셋플래너</t>
        </is>
      </c>
      <c r="C29" s="2" t="inlineStr">
        <is>
          <t>사무실</t>
        </is>
      </c>
      <c r="D29" s="2" t="inlineStr">
        <is>
          <t>본공사</t>
        </is>
      </c>
      <c r="E29" s="3" t="n">
        <v>47.5</v>
      </c>
      <c r="F29" s="4" t="n">
        <v>40931000</v>
      </c>
      <c r="G29" s="4">
        <f>IF(AND(E29&gt;0,F29&gt;0),F29/E29,"")</f>
        <v/>
      </c>
      <c r="H29" s="2" t="inlineStr">
        <is>
          <t>250320_키움에셋플래너.xlsb</t>
        </is>
      </c>
    </row>
    <row r="30">
      <c r="A30" s="2" t="inlineStr">
        <is>
          <t>2025년</t>
        </is>
      </c>
      <c r="B30" s="2" t="inlineStr">
        <is>
          <t>현동네일샵</t>
        </is>
      </c>
      <c r="C30" s="2" t="inlineStr">
        <is>
          <t>뷰티/미용</t>
        </is>
      </c>
      <c r="D30" s="2" t="inlineStr">
        <is>
          <t>본공사</t>
        </is>
      </c>
      <c r="E30" s="3" t="n">
        <v>11.8</v>
      </c>
      <c r="F30" s="4" t="n">
        <v>21000000</v>
      </c>
      <c r="G30" s="4">
        <f>IF(AND(E30&gt;0,F30&gt;0),F30/E30,"")</f>
        <v/>
      </c>
      <c r="H30" s="2" t="inlineStr">
        <is>
          <t>250401_현동네일샵(최봉본).xls</t>
        </is>
      </c>
    </row>
    <row r="31">
      <c r="A31" s="2" t="inlineStr">
        <is>
          <t>2025년</t>
        </is>
      </c>
      <c r="B31" s="2" t="inlineStr">
        <is>
          <t>밀양 뷰티샵</t>
        </is>
      </c>
      <c r="C31" s="2" t="inlineStr">
        <is>
          <t>뷰티/미용</t>
        </is>
      </c>
      <c r="D31" s="2" t="inlineStr">
        <is>
          <t>본공사</t>
        </is>
      </c>
      <c r="E31" s="3" t="n">
        <v>7.9</v>
      </c>
      <c r="F31" s="4" t="n">
        <v>16379000</v>
      </c>
      <c r="G31" s="4">
        <f>IF(AND(E31&gt;0,F31&gt;0),F31/E31,"")</f>
        <v/>
      </c>
      <c r="H31" s="2" t="inlineStr">
        <is>
          <t>250403_밀양뷰티샵 (최종본).xls</t>
        </is>
      </c>
    </row>
    <row r="32">
      <c r="A32" s="2" t="inlineStr">
        <is>
          <t>2025년</t>
        </is>
      </c>
      <c r="B32" s="2" t="inlineStr">
        <is>
          <t>정우상가(용호동)뷰티샵</t>
        </is>
      </c>
      <c r="C32" s="2" t="inlineStr">
        <is>
          <t>뷰티/미용</t>
        </is>
      </c>
      <c r="D32" s="2" t="inlineStr">
        <is>
          <t>본공사</t>
        </is>
      </c>
      <c r="E32" s="3" t="n">
        <v>23.9</v>
      </c>
      <c r="F32" s="4" t="n">
        <v>35673000</v>
      </c>
      <c r="G32" s="4">
        <f>IF(AND(E32&gt;0,F32&gt;0),F32/E32,"")</f>
        <v/>
      </c>
      <c r="H32" s="2" t="inlineStr">
        <is>
          <t>250403_정우상가뷰티샵.xls</t>
        </is>
      </c>
    </row>
    <row r="33">
      <c r="A33" s="2" t="inlineStr">
        <is>
          <t>2025년</t>
        </is>
      </c>
      <c r="B33" s="2" t="inlineStr">
        <is>
          <t>함안뷰티샵</t>
        </is>
      </c>
      <c r="C33" s="2" t="inlineStr">
        <is>
          <t>뷰티/미용</t>
        </is>
      </c>
      <c r="D33" s="2" t="inlineStr">
        <is>
          <t>본공사</t>
        </is>
      </c>
      <c r="E33" s="3" t="n">
        <v>12.9</v>
      </c>
      <c r="F33" s="4" t="n">
        <v>29205000</v>
      </c>
      <c r="G33" s="4">
        <f>IF(AND(E33&gt;0,F33&gt;0),F33/E33,"")</f>
        <v/>
      </c>
      <c r="H33" s="2" t="inlineStr">
        <is>
          <t>250410_함안뷰티샵(최종본).xls</t>
        </is>
      </c>
    </row>
    <row r="34">
      <c r="A34" s="2" t="inlineStr">
        <is>
          <t>2025년</t>
        </is>
      </c>
      <c r="B34" s="2" t="inlineStr">
        <is>
          <t>경남산소</t>
        </is>
      </c>
      <c r="C34" s="2" t="inlineStr">
        <is>
          <t>상업/기타</t>
        </is>
      </c>
      <c r="D34" s="2" t="inlineStr">
        <is>
          <t>본공사</t>
        </is>
      </c>
      <c r="E34" s="3" t="n">
        <v>26.6</v>
      </c>
      <c r="F34" s="4" t="n">
        <v>72204000</v>
      </c>
      <c r="G34" s="4">
        <f>IF(AND(E34&gt;0,F34&gt;0),F34/E34,"")</f>
        <v/>
      </c>
      <c r="H34" s="2" t="inlineStr">
        <is>
          <t>250423_경남산소(최종본).xls</t>
        </is>
      </c>
    </row>
    <row r="35">
      <c r="A35" s="2" t="inlineStr">
        <is>
          <t>2025년</t>
        </is>
      </c>
      <c r="B35" s="2" t="inlineStr">
        <is>
          <t>진례제일전자공업</t>
        </is>
      </c>
      <c r="C35" s="2" t="inlineStr">
        <is>
          <t>상업/기타</t>
        </is>
      </c>
      <c r="D35" s="2" t="inlineStr">
        <is>
          <t>본공사</t>
        </is>
      </c>
      <c r="E35" s="3" t="n">
        <v>25.7</v>
      </c>
      <c r="F35" s="4" t="n">
        <v>58190000</v>
      </c>
      <c r="G35" s="4">
        <f>IF(AND(E35&gt;0,F35&gt;0),F35/E35,"")</f>
        <v/>
      </c>
      <c r="H35" s="2" t="inlineStr">
        <is>
          <t>250502_제일전자전시장(정의석위원님).xlsb</t>
        </is>
      </c>
    </row>
    <row r="36">
      <c r="A36" s="2" t="inlineStr">
        <is>
          <t>2025년</t>
        </is>
      </c>
      <c r="B36" s="2" t="inlineStr">
        <is>
          <t>진해 이우철 삼계탕</t>
        </is>
      </c>
      <c r="C36" s="2" t="inlineStr">
        <is>
          <t>식음료</t>
        </is>
      </c>
      <c r="D36" s="2" t="inlineStr">
        <is>
          <t>본공사</t>
        </is>
      </c>
      <c r="E36" s="3" t="n">
        <v>110.4</v>
      </c>
      <c r="F36" s="4" t="n">
        <v>99320000</v>
      </c>
      <c r="G36" s="4">
        <f>IF(AND(E36&gt;0,F36&gt;0),F36/E36,"")</f>
        <v/>
      </c>
      <c r="H36" s="2" t="inlineStr">
        <is>
          <t>250508_진해 이우철누릉지삼계탕(철거제외).xls</t>
        </is>
      </c>
    </row>
    <row r="37">
      <c r="A37" s="2" t="inlineStr">
        <is>
          <t>2025년</t>
        </is>
      </c>
      <c r="B37" s="2" t="inlineStr">
        <is>
          <t>진해 이우철 삼계탕</t>
        </is>
      </c>
      <c r="C37" s="2" t="inlineStr">
        <is>
          <t>식음료</t>
        </is>
      </c>
      <c r="D37" s="2" t="inlineStr">
        <is>
          <t>추가공사</t>
        </is>
      </c>
      <c r="E37" s="3" t="n"/>
      <c r="F37" s="4" t="n">
        <v>17985000</v>
      </c>
      <c r="G37" s="4">
        <f>IF(AND(E37&gt;0,F37&gt;0),F37/E37,"")</f>
        <v/>
      </c>
      <c r="H37" s="2" t="inlineStr">
        <is>
          <t>250529_진해 누릉지삼계탕 추가공사.xlsb</t>
        </is>
      </c>
    </row>
    <row r="38">
      <c r="A38" s="2" t="inlineStr">
        <is>
          <t>2025년</t>
        </is>
      </c>
      <c r="B38" s="2" t="inlineStr">
        <is>
          <t>경남산소</t>
        </is>
      </c>
      <c r="C38" s="2" t="inlineStr">
        <is>
          <t>상업/기타</t>
        </is>
      </c>
      <c r="D38" s="2" t="inlineStr">
        <is>
          <t>추가공사</t>
        </is>
      </c>
      <c r="E38" s="3" t="n"/>
      <c r="F38" s="4" t="n">
        <v>5016000</v>
      </c>
      <c r="G38" s="4">
        <f>IF(AND(E38&gt;0,F38&gt;0),F38/E38,"")</f>
        <v/>
      </c>
      <c r="H38" s="2" t="inlineStr">
        <is>
          <t>250531_경남산소 추가견적서.xlsb</t>
        </is>
      </c>
    </row>
    <row r="39">
      <c r="A39" s="2" t="inlineStr">
        <is>
          <t>2025년</t>
        </is>
      </c>
      <c r="B39" s="2" t="inlineStr">
        <is>
          <t>구산면 도만카페</t>
        </is>
      </c>
      <c r="C39" s="2" t="inlineStr">
        <is>
          <t>식음료</t>
        </is>
      </c>
      <c r="D39" s="2" t="inlineStr">
        <is>
          <t>본공사</t>
        </is>
      </c>
      <c r="E39" s="3" t="n">
        <v>39.6</v>
      </c>
      <c r="F39" s="4" t="n">
        <v>178607000</v>
      </c>
      <c r="G39" s="4">
        <f>IF(AND(E39&gt;0,F39&gt;0),F39/E39,"")</f>
        <v/>
      </c>
      <c r="H39" s="2" t="inlineStr">
        <is>
          <t>250603_도만카페 견적서.xlsb</t>
        </is>
      </c>
    </row>
    <row r="40">
      <c r="A40" s="2" t="inlineStr">
        <is>
          <t>2025년</t>
        </is>
      </c>
      <c r="B40" s="2" t="inlineStr">
        <is>
          <t>이홍열법률사무소</t>
        </is>
      </c>
      <c r="C40" s="2" t="inlineStr">
        <is>
          <t>사무실</t>
        </is>
      </c>
      <c r="D40" s="2" t="inlineStr">
        <is>
          <t>본공사</t>
        </is>
      </c>
      <c r="E40" s="3" t="n">
        <v>31</v>
      </c>
      <c r="F40" s="4" t="n">
        <v>53119000</v>
      </c>
      <c r="G40" s="4">
        <f>IF(AND(E40&gt;0,F40&gt;0),F40/E40,"")</f>
        <v/>
      </c>
      <c r="H40" s="2" t="inlineStr">
        <is>
          <t>250618_이홍렬법률사무소(최종본).xlsb</t>
        </is>
      </c>
    </row>
    <row r="41">
      <c r="A41" s="2" t="inlineStr">
        <is>
          <t>2025년</t>
        </is>
      </c>
      <c r="B41" s="2" t="inlineStr">
        <is>
          <t>세영테크놀리지</t>
        </is>
      </c>
      <c r="C41" s="2" t="inlineStr">
        <is>
          <t>사무실</t>
        </is>
      </c>
      <c r="D41" s="2" t="inlineStr">
        <is>
          <t>부분공사</t>
        </is>
      </c>
      <c r="E41" s="3" t="n"/>
      <c r="F41" s="4" t="n">
        <v>6127000</v>
      </c>
      <c r="G41" s="4">
        <f>IF(AND(E41&gt;0,F41&gt;0),F41/E41,"")</f>
        <v/>
      </c>
      <c r="H41" s="2" t="inlineStr">
        <is>
          <t>250628_(주)세영테크놀리지(최종본).xlsb</t>
        </is>
      </c>
    </row>
    <row r="42">
      <c r="A42" s="2" t="inlineStr">
        <is>
          <t>2025년</t>
        </is>
      </c>
      <c r="B42" s="2" t="inlineStr">
        <is>
          <t>스포츠가치센터</t>
        </is>
      </c>
      <c r="C42" s="2" t="inlineStr">
        <is>
          <t>대학/공공</t>
        </is>
      </c>
      <c r="D42" s="2" t="inlineStr">
        <is>
          <t>부분공사</t>
        </is>
      </c>
      <c r="E42" s="3" t="n"/>
      <c r="F42" s="4" t="n">
        <v>36905000</v>
      </c>
      <c r="G42" s="4">
        <f>IF(AND(E42&gt;0,F42&gt;0),F42/E42,"")</f>
        <v/>
      </c>
      <c r="H42" s="2" t="inlineStr">
        <is>
          <t>250701_kspo스포츠가치센터 흡연부스 및 휴게공간(최종본).xlsb</t>
        </is>
      </c>
    </row>
    <row r="43">
      <c r="A43" s="2" t="inlineStr">
        <is>
          <t>2025년</t>
        </is>
      </c>
      <c r="B43" s="2" t="inlineStr">
        <is>
          <t>팔용동사진관</t>
        </is>
      </c>
      <c r="C43" s="2" t="inlineStr">
        <is>
          <t>상업/기타</t>
        </is>
      </c>
      <c r="D43" s="2" t="inlineStr">
        <is>
          <t>부분공사</t>
        </is>
      </c>
      <c r="E43" s="3" t="n">
        <v>15.1</v>
      </c>
      <c r="F43" s="4" t="n">
        <v>8085000</v>
      </c>
      <c r="G43" s="4">
        <f>IF(AND(E43&gt;0,F43&gt;0),F43/E43,"")</f>
        <v/>
      </c>
      <c r="H43" s="2" t="inlineStr">
        <is>
          <t>250701_팔용동사진관.xlsb</t>
        </is>
      </c>
    </row>
    <row r="44">
      <c r="A44" s="2" t="inlineStr">
        <is>
          <t>2025년</t>
        </is>
      </c>
      <c r="B44" s="2" t="inlineStr">
        <is>
          <t>HD현대마린엔진</t>
        </is>
      </c>
      <c r="C44" s="2" t="inlineStr">
        <is>
          <t>상업/기타</t>
        </is>
      </c>
      <c r="D44" s="2" t="inlineStr">
        <is>
          <t>특수</t>
        </is>
      </c>
      <c r="E44" s="3" t="n">
        <v>75.59999999999999</v>
      </c>
      <c r="F44" s="4" t="n">
        <v>22594000</v>
      </c>
      <c r="G44" s="4">
        <f>IF(AND(E44&gt;0,F44&gt;0),F44/E44,"")</f>
        <v/>
      </c>
      <c r="H44" s="2" t="inlineStr">
        <is>
          <t>250708_HD현대마린엔진 견적서 (공사)-최종본.xlsb</t>
        </is>
      </c>
    </row>
    <row r="45">
      <c r="A45" s="2" t="inlineStr">
        <is>
          <t>2025년</t>
        </is>
      </c>
      <c r="B45" s="2" t="inlineStr">
        <is>
          <t xml:space="preserve"> PNU 펜토미노 교육과정 원예생명과학과 강의실 환경개선 공사</t>
        </is>
      </c>
      <c r="C45" s="2" t="inlineStr">
        <is>
          <t>대학/공공</t>
        </is>
      </c>
      <c r="D45" s="2" t="inlineStr">
        <is>
          <t>본공사</t>
        </is>
      </c>
      <c r="E45" s="3" t="n">
        <v>24.2</v>
      </c>
      <c r="F45" s="4" t="n">
        <v>33500000</v>
      </c>
      <c r="G45" s="4">
        <f>IF(AND(E45&gt;0,F45&gt;0),F45/E45,"")</f>
        <v/>
      </c>
      <c r="H45" s="2" t="inlineStr">
        <is>
          <t>250726_부산대밀양캠퍼스 원예학과(학과도서실)-최종본.xlsb</t>
        </is>
      </c>
    </row>
    <row r="46">
      <c r="A46" s="2" t="inlineStr">
        <is>
          <t>2025년</t>
        </is>
      </c>
      <c r="B46" s="2" t="inlineStr">
        <is>
          <t>중동미용실</t>
        </is>
      </c>
      <c r="C46" s="2" t="inlineStr">
        <is>
          <t>뷰티/미용</t>
        </is>
      </c>
      <c r="D46" s="2" t="inlineStr">
        <is>
          <t>본공사</t>
        </is>
      </c>
      <c r="E46" s="3" t="n">
        <v>7.1</v>
      </c>
      <c r="F46" s="4" t="n">
        <v>18282000</v>
      </c>
      <c r="G46" s="4">
        <f>IF(AND(E46&gt;0,F46&gt;0),F46/E46,"")</f>
        <v/>
      </c>
      <c r="H46" s="2" t="inlineStr">
        <is>
          <t>250802_중동미용실(최종본).xlsb</t>
        </is>
      </c>
    </row>
    <row r="47">
      <c r="A47" s="2" t="inlineStr">
        <is>
          <t>2025년</t>
        </is>
      </c>
      <c r="B47" s="2" t="inlineStr">
        <is>
          <t>진영 HNS 휴게실,온수기</t>
        </is>
      </c>
      <c r="C47" s="2" t="inlineStr">
        <is>
          <t>상업/기타</t>
        </is>
      </c>
      <c r="D47" s="2" t="inlineStr">
        <is>
          <t>부분공사</t>
        </is>
      </c>
      <c r="E47" s="3" t="n"/>
      <c r="F47" s="4" t="n">
        <v>1518000</v>
      </c>
      <c r="G47" s="4">
        <f>IF(AND(E47&gt;0,F47&gt;0),F47/E47,"")</f>
        <v/>
      </c>
      <c r="H47" s="2" t="inlineStr">
        <is>
          <t>250811_진영 HNS 온수기.xlsb</t>
        </is>
      </c>
    </row>
    <row r="48">
      <c r="A48" s="2" t="inlineStr">
        <is>
          <t>2025년</t>
        </is>
      </c>
      <c r="B48" s="2" t="inlineStr">
        <is>
          <t>진영 HNS 휴게실,온수기</t>
        </is>
      </c>
      <c r="C48" s="2" t="inlineStr">
        <is>
          <t>상업/기타</t>
        </is>
      </c>
      <c r="D48" s="2" t="inlineStr">
        <is>
          <t>부분공사</t>
        </is>
      </c>
      <c r="E48" s="3" t="n"/>
      <c r="F48" s="4" t="n">
        <v>7579000</v>
      </c>
      <c r="G48" s="4">
        <f>IF(AND(E48&gt;0,F48&gt;0),F48/E48,"")</f>
        <v/>
      </c>
      <c r="H48" s="2" t="inlineStr">
        <is>
          <t>250825_진영 HNS 휴게실 .xlsb</t>
        </is>
      </c>
    </row>
    <row r="49">
      <c r="A49" s="2" t="inlineStr">
        <is>
          <t>2025년</t>
        </is>
      </c>
      <c r="B49" s="2" t="inlineStr">
        <is>
          <t>진해 디아크마린</t>
        </is>
      </c>
      <c r="C49" s="2" t="inlineStr">
        <is>
          <t>식음료</t>
        </is>
      </c>
      <c r="D49" s="2" t="inlineStr">
        <is>
          <t>본공사</t>
        </is>
      </c>
      <c r="E49" s="3" t="n">
        <v>59.3</v>
      </c>
      <c r="F49" s="4" t="n">
        <v>76824000</v>
      </c>
      <c r="G49" s="4">
        <f>IF(AND(E49&gt;0,F49&gt;0),F49/E49,"")</f>
        <v/>
      </c>
      <c r="H49" s="2" t="inlineStr">
        <is>
          <t>250829_진해 디아크마린 (최종본).xlsb</t>
        </is>
      </c>
    </row>
    <row r="50">
      <c r="A50" s="2" t="inlineStr">
        <is>
          <t>2025년</t>
        </is>
      </c>
      <c r="B50" s="2" t="inlineStr">
        <is>
          <t>한국산업단지공단(인테리어)</t>
        </is>
      </c>
      <c r="C50" s="2" t="inlineStr">
        <is>
          <t>대학/공공</t>
        </is>
      </c>
      <c r="D50" s="2" t="inlineStr">
        <is>
          <t>부분공사</t>
        </is>
      </c>
      <c r="E50" s="3" t="n">
        <v>116.2</v>
      </c>
      <c r="F50" s="4" t="n">
        <v>21824000</v>
      </c>
      <c r="G50" s="4">
        <f>IF(AND(E50&gt;0,F50&gt;0),F50/E50,"")</f>
        <v/>
      </c>
      <c r="H50" s="2" t="inlineStr">
        <is>
          <t>250902_한국산업단지공단(인테리어).xlsb</t>
        </is>
      </c>
    </row>
    <row r="51">
      <c r="A51" s="2" t="inlineStr">
        <is>
          <t>2025년</t>
        </is>
      </c>
      <c r="B51" s="2" t="inlineStr">
        <is>
          <t>법무법인DH</t>
        </is>
      </c>
      <c r="C51" s="2" t="inlineStr">
        <is>
          <t>사무실</t>
        </is>
      </c>
      <c r="D51" s="2" t="inlineStr">
        <is>
          <t>본공사</t>
        </is>
      </c>
      <c r="E51" s="3" t="n">
        <v>34.5</v>
      </c>
      <c r="F51" s="4" t="n">
        <v>45001000</v>
      </c>
      <c r="G51" s="4">
        <f>IF(AND(E51&gt;0,F51&gt;0),F51/E51,"")</f>
        <v/>
      </c>
      <c r="H51" s="2" t="inlineStr">
        <is>
          <t>250908_DH법무법인.xlsb</t>
        </is>
      </c>
    </row>
    <row r="52">
      <c r="A52" s="2" t="inlineStr">
        <is>
          <t>2025년</t>
        </is>
      </c>
      <c r="B52" s="2" t="inlineStr">
        <is>
          <t>서경방송</t>
        </is>
      </c>
      <c r="C52" s="2" t="inlineStr">
        <is>
          <t>상업/기타</t>
        </is>
      </c>
      <c r="D52" s="2" t="inlineStr">
        <is>
          <t>본공사</t>
        </is>
      </c>
      <c r="E52" s="3" t="n">
        <v>158.2</v>
      </c>
      <c r="F52" s="4" t="n">
        <v>291236000</v>
      </c>
      <c r="G52" s="4">
        <f>IF(AND(E52&gt;0,F52&gt;0),F52/E52,"")</f>
        <v/>
      </c>
      <c r="H52" s="2" t="inlineStr">
        <is>
          <t>250917_서경방송(최종본).xlsb</t>
        </is>
      </c>
    </row>
    <row r="53">
      <c r="A53" s="2" t="inlineStr">
        <is>
          <t>2025년</t>
        </is>
      </c>
      <c r="B53" s="2" t="inlineStr">
        <is>
          <t>회원동교습소</t>
        </is>
      </c>
      <c r="C53" s="2" t="inlineStr">
        <is>
          <t>학원/교습소</t>
        </is>
      </c>
      <c r="D53" s="2" t="inlineStr">
        <is>
          <t>본공사</t>
        </is>
      </c>
      <c r="E53" s="3" t="n">
        <v>25.7</v>
      </c>
      <c r="F53" s="4" t="n">
        <v>30338000</v>
      </c>
      <c r="G53" s="4">
        <f>IF(AND(E53&gt;0,F53&gt;0),F53/E53,"")</f>
        <v/>
      </c>
      <c r="H53" s="2" t="inlineStr">
        <is>
          <t>250917_회원동교습소.xlsb</t>
        </is>
      </c>
    </row>
    <row r="54">
      <c r="A54" s="2" t="inlineStr">
        <is>
          <t>2025년</t>
        </is>
      </c>
      <c r="B54" s="2" t="inlineStr">
        <is>
          <t>내동교습소</t>
        </is>
      </c>
      <c r="C54" s="2" t="inlineStr">
        <is>
          <t>학원/교습소</t>
        </is>
      </c>
      <c r="D54" s="2" t="inlineStr">
        <is>
          <t>본공사</t>
        </is>
      </c>
      <c r="E54" s="3" t="n">
        <v>12.4</v>
      </c>
      <c r="F54" s="4" t="n">
        <v>18282000</v>
      </c>
      <c r="G54" s="4">
        <f>IF(AND(E54&gt;0,F54&gt;0),F54/E54,"")</f>
        <v/>
      </c>
      <c r="H54" s="2" t="inlineStr">
        <is>
          <t>251013_내동교습소견적서최종본.xlsb</t>
        </is>
      </c>
    </row>
    <row r="55">
      <c r="A55" s="2" t="inlineStr">
        <is>
          <t>2025년</t>
        </is>
      </c>
      <c r="B55" s="2" t="inlineStr">
        <is>
          <t>동전산단 사무실 부분인테리어</t>
        </is>
      </c>
      <c r="C55" s="2" t="inlineStr">
        <is>
          <t>사무실</t>
        </is>
      </c>
      <c r="D55" s="2" t="inlineStr">
        <is>
          <t>부분공사</t>
        </is>
      </c>
      <c r="E55" s="3" t="n"/>
      <c r="F55" s="4" t="n">
        <v>8976000</v>
      </c>
      <c r="G55" s="4">
        <f>IF(AND(E55&gt;0,F55&gt;0),F55/E55,"")</f>
        <v/>
      </c>
      <c r="H55" s="2" t="inlineStr">
        <is>
          <t>251013_동전산단 사무실 부분인테리어.xlsb</t>
        </is>
      </c>
    </row>
    <row r="56">
      <c r="A56" s="2" t="inlineStr">
        <is>
          <t>2025년</t>
        </is>
      </c>
      <c r="B56" s="2" t="inlineStr">
        <is>
          <t>서경방송</t>
        </is>
      </c>
      <c r="C56" s="2" t="inlineStr">
        <is>
          <t>상업/기타</t>
        </is>
      </c>
      <c r="D56" s="2" t="inlineStr">
        <is>
          <t>추가공사</t>
        </is>
      </c>
      <c r="E56" s="3" t="n"/>
      <c r="F56" s="4" t="n">
        <v>22869000</v>
      </c>
      <c r="G56" s="4">
        <f>IF(AND(E56&gt;0,F56&gt;0),F56/E56,"")</f>
        <v/>
      </c>
      <c r="H56" s="2" t="inlineStr">
        <is>
          <t>251017_서경방송추가공사.xlsb</t>
        </is>
      </c>
    </row>
    <row r="57">
      <c r="A57" s="2" t="inlineStr">
        <is>
          <t>2025년</t>
        </is>
      </c>
      <c r="B57" s="2" t="inlineStr">
        <is>
          <t>에이지로보틱스 경남창조혁신센터 사무실</t>
        </is>
      </c>
      <c r="C57" s="2" t="inlineStr">
        <is>
          <t>사무실</t>
        </is>
      </c>
      <c r="D57" s="2" t="inlineStr">
        <is>
          <t>본공사</t>
        </is>
      </c>
      <c r="E57" s="3" t="n">
        <v>45.4</v>
      </c>
      <c r="F57" s="4" t="n">
        <v>32494000</v>
      </c>
      <c r="G57" s="4">
        <f>IF(AND(E57&gt;0,F57&gt;0),F57/E57,"")</f>
        <v/>
      </c>
      <c r="H57" s="2" t="inlineStr">
        <is>
          <t>251030_에이지로보틱스 경남창조혁신센터 사무실(최종본).xls</t>
        </is>
      </c>
    </row>
    <row r="58">
      <c r="A58" s="2" t="inlineStr">
        <is>
          <t>2025년</t>
        </is>
      </c>
      <c r="B58" s="2" t="inlineStr">
        <is>
          <t>나라정보시스템</t>
        </is>
      </c>
      <c r="C58" s="2" t="inlineStr">
        <is>
          <t>사무실</t>
        </is>
      </c>
      <c r="D58" s="2" t="inlineStr">
        <is>
          <t>본공사</t>
        </is>
      </c>
      <c r="E58" s="3" t="n">
        <v>10.6</v>
      </c>
      <c r="F58" s="4" t="n">
        <v>17578000</v>
      </c>
      <c r="G58" s="4">
        <f>IF(AND(E58&gt;0,F58&gt;0),F58/E58,"")</f>
        <v/>
      </c>
      <c r="H58" s="2" t="inlineStr">
        <is>
          <t>251120_ 시티세븐 나라정보시스템 사무실 (최종본).xlsb</t>
        </is>
      </c>
    </row>
    <row r="59">
      <c r="A59" s="2" t="inlineStr">
        <is>
          <t>2025년</t>
        </is>
      </c>
      <c r="B59" s="2" t="inlineStr">
        <is>
          <t>현동바버샵</t>
        </is>
      </c>
      <c r="C59" s="2" t="inlineStr">
        <is>
          <t>뷰티/미용</t>
        </is>
      </c>
      <c r="D59" s="2" t="inlineStr">
        <is>
          <t>본공사</t>
        </is>
      </c>
      <c r="E59" s="3" t="n">
        <v>13.6</v>
      </c>
      <c r="F59" s="4" t="n">
        <v>30437000</v>
      </c>
      <c r="G59" s="4">
        <f>IF(AND(E59&gt;0,F59&gt;0),F59/E59,"")</f>
        <v/>
      </c>
      <c r="H59" s="2" t="inlineStr">
        <is>
          <t>251211_현동바버샵.xlsb</t>
        </is>
      </c>
    </row>
    <row r="60">
      <c r="A60" s="2" t="inlineStr">
        <is>
          <t>2026년</t>
        </is>
      </c>
      <c r="B60" s="2" t="inlineStr">
        <is>
          <t>토킹영어학원</t>
        </is>
      </c>
      <c r="C60" s="2" t="inlineStr">
        <is>
          <t>학원/교습소</t>
        </is>
      </c>
      <c r="D60" s="2" t="inlineStr">
        <is>
          <t>부분공사</t>
        </is>
      </c>
      <c r="E60" s="3" t="n"/>
      <c r="F60" s="4" t="n">
        <v>4862000</v>
      </c>
      <c r="G60" s="4">
        <f>IF(AND(E60&gt;0,F60&gt;0),F60/E60,"")</f>
        <v/>
      </c>
      <c r="H60" s="2" t="inlineStr">
        <is>
          <t>2260105_토킹영어학원(최종본).xlsb</t>
        </is>
      </c>
    </row>
    <row r="61">
      <c r="A61" s="2" t="inlineStr">
        <is>
          <t>2026년</t>
        </is>
      </c>
      <c r="B61" s="2" t="inlineStr">
        <is>
          <t>2025 PNU 펜토미노 융합전공 원예생명과학과 환경개선 공사</t>
        </is>
      </c>
      <c r="C61" s="2" t="inlineStr">
        <is>
          <t>대학/공공</t>
        </is>
      </c>
      <c r="D61" s="2" t="inlineStr">
        <is>
          <t>본공사</t>
        </is>
      </c>
      <c r="E61" s="3" t="n"/>
      <c r="F61" s="4" t="n">
        <v>24112000</v>
      </c>
      <c r="G61" s="4">
        <f>IF(AND(E61&gt;0,F61&gt;0),F61/E61,"")</f>
        <v/>
      </c>
      <c r="H61" s="2" t="inlineStr">
        <is>
          <t>251224_부산대밀양캠퍼스 원예학과(학과인포메이션).xlsb</t>
        </is>
      </c>
    </row>
    <row r="62">
      <c r="A62" s="2" t="inlineStr">
        <is>
          <t>2026년</t>
        </is>
      </c>
      <c r="B62" s="2" t="inlineStr">
        <is>
          <t>대상힐스 미용실</t>
        </is>
      </c>
      <c r="C62" s="2" t="inlineStr">
        <is>
          <t>뷰티/미용</t>
        </is>
      </c>
      <c r="D62" s="2" t="inlineStr">
        <is>
          <t>본공사</t>
        </is>
      </c>
      <c r="E62" s="3" t="n">
        <v>12.1</v>
      </c>
      <c r="F62" s="4" t="n">
        <v>30800000</v>
      </c>
      <c r="G62" s="4">
        <f>IF(AND(E62&gt;0,F62&gt;0),F62/E62,"")</f>
        <v/>
      </c>
      <c r="H62" s="2" t="inlineStr">
        <is>
          <t>251225_대상힐스 미용실(최종본).xlsb</t>
        </is>
      </c>
    </row>
    <row r="63">
      <c r="A63" s="2" t="inlineStr">
        <is>
          <t>2026년</t>
        </is>
      </c>
      <c r="B63" s="2" t="inlineStr">
        <is>
          <t>어반브릭스 기타 학원</t>
        </is>
      </c>
      <c r="C63" s="2" t="inlineStr">
        <is>
          <t>학원/교습소</t>
        </is>
      </c>
      <c r="D63" s="2" t="inlineStr">
        <is>
          <t>본공사</t>
        </is>
      </c>
      <c r="E63" s="3" t="n">
        <v>12.2</v>
      </c>
      <c r="F63" s="4" t="n">
        <v>11836000</v>
      </c>
      <c r="G63" s="4">
        <f>IF(AND(E63&gt;0,F63&gt;0),F63/E63,"")</f>
        <v/>
      </c>
      <c r="H63" s="2" t="inlineStr">
        <is>
          <t>260202_어반브릭스 기타학원(1316호)-최종본.xlsb</t>
        </is>
      </c>
    </row>
    <row r="64">
      <c r="A64" s="2" t="inlineStr">
        <is>
          <t>2026년</t>
        </is>
      </c>
      <c r="B64" s="2" t="inlineStr">
        <is>
          <t>현대마린엔진대표실(샷시)</t>
        </is>
      </c>
      <c r="C64" s="2" t="inlineStr">
        <is>
          <t>사무실</t>
        </is>
      </c>
      <c r="D64" s="2" t="inlineStr">
        <is>
          <t>부분공사</t>
        </is>
      </c>
      <c r="E64" s="3" t="n"/>
      <c r="F64" s="4" t="n">
        <v>10593000</v>
      </c>
      <c r="G64" s="4">
        <f>IF(AND(E64&gt;0,F64&gt;0),F64/E64,"")</f>
        <v/>
      </c>
      <c r="H64" s="2" t="inlineStr">
        <is>
          <t>260204_현대마린엔진대표실(샷시)_최종본.xlsb</t>
        </is>
      </c>
    </row>
    <row r="65">
      <c r="A65" s="2" t="inlineStr">
        <is>
          <t>2026년</t>
        </is>
      </c>
      <c r="B65" s="2" t="inlineStr">
        <is>
          <t>RISE 기능성푸드평가 동물조직분석실 교육 환경 개선 공사</t>
        </is>
      </c>
      <c r="C65" s="2" t="inlineStr">
        <is>
          <t>대학/공공</t>
        </is>
      </c>
      <c r="D65" s="2" t="inlineStr">
        <is>
          <t>본공사</t>
        </is>
      </c>
      <c r="E65" s="3" t="n"/>
      <c r="F65" s="4" t="n">
        <v>10000000</v>
      </c>
      <c r="G65" s="4">
        <f>IF(AND(E65&gt;0,F65&gt;0),F65/E65,"")</f>
        <v/>
      </c>
      <c r="H65" s="2" t="inlineStr">
        <is>
          <t>260209_부산대 바이오소재학과.xlsb</t>
        </is>
      </c>
    </row>
    <row r="66">
      <c r="A66" s="2" t="inlineStr">
        <is>
          <t>2026년</t>
        </is>
      </c>
      <c r="B66" s="2" t="inlineStr">
        <is>
          <t>감계아내202동605호</t>
        </is>
      </c>
      <c r="C66" s="2" t="inlineStr">
        <is>
          <t>주거</t>
        </is>
      </c>
      <c r="D66" s="2" t="inlineStr">
        <is>
          <t>본공사</t>
        </is>
      </c>
      <c r="E66" s="3" t="n"/>
      <c r="F66" s="4" t="n">
        <v>13354000</v>
      </c>
      <c r="G66" s="4">
        <f>IF(AND(E66&gt;0,F66&gt;0),F66/E66,"")</f>
        <v/>
      </c>
      <c r="H66" s="2" t="inlineStr">
        <is>
          <t>260213_감계 아내 202동 605호.xlsb</t>
        </is>
      </c>
    </row>
    <row r="67">
      <c r="A67" s="2" t="inlineStr">
        <is>
          <t>2026년</t>
        </is>
      </c>
      <c r="B67" s="2" t="inlineStr">
        <is>
          <t>JD6층힉원</t>
        </is>
      </c>
      <c r="C67" s="2" t="inlineStr">
        <is>
          <t>학원/교습소</t>
        </is>
      </c>
      <c r="D67" s="2" t="inlineStr">
        <is>
          <t>본공사</t>
        </is>
      </c>
      <c r="E67" s="3" t="n"/>
      <c r="F67" s="4" t="n">
        <v>10857000</v>
      </c>
      <c r="G67" s="4">
        <f>IF(AND(E67&gt;0,F67&gt;0),F67/E67,"")</f>
        <v/>
      </c>
      <c r="H67" s="2" t="inlineStr">
        <is>
          <t>260219_JD윙스 6층 영어학원.xlsb</t>
        </is>
      </c>
    </row>
    <row r="68">
      <c r="A68" s="2" t="inlineStr">
        <is>
          <t>2026년</t>
        </is>
      </c>
      <c r="B68" s="2" t="inlineStr">
        <is>
          <t>밀양미부닥트(주)</t>
        </is>
      </c>
      <c r="C68" s="2" t="inlineStr">
        <is>
          <t>상업/기타</t>
        </is>
      </c>
      <c r="D68" s="2" t="inlineStr">
        <is>
          <t>부분공사</t>
        </is>
      </c>
      <c r="E68" s="3" t="n"/>
      <c r="F68" s="4" t="n">
        <v>8514000</v>
      </c>
      <c r="G68" s="4">
        <f>IF(AND(E68&gt;0,F68&gt;0),F68/E68,"")</f>
        <v/>
      </c>
      <c r="H68" s="2" t="inlineStr">
        <is>
          <t>260220_밀양 미부닥트(주)- 금속작업.xlsb</t>
        </is>
      </c>
    </row>
    <row r="69">
      <c r="A69" s="2" t="inlineStr">
        <is>
          <t>2026년</t>
        </is>
      </c>
      <c r="B69" s="2" t="inlineStr">
        <is>
          <t>장유사무실</t>
        </is>
      </c>
      <c r="C69" s="2" t="inlineStr">
        <is>
          <t>사무실</t>
        </is>
      </c>
      <c r="D69" s="2" t="inlineStr">
        <is>
          <t>본공사</t>
        </is>
      </c>
      <c r="E69" s="3" t="n">
        <v>34.8</v>
      </c>
      <c r="F69" s="4" t="n">
        <v>24090000</v>
      </c>
      <c r="G69" s="4">
        <f>IF(AND(E69&gt;0,F69&gt;0),F69/E69,"")</f>
        <v/>
      </c>
      <c r="H69" s="2" t="inlineStr">
        <is>
          <t>260302_장유대청동 사무실인테리어.xlsb</t>
        </is>
      </c>
    </row>
    <row r="70">
      <c r="A70" s="2" t="inlineStr">
        <is>
          <t>2026년</t>
        </is>
      </c>
      <c r="B70" s="2" t="inlineStr">
        <is>
          <t>JD6층힉원</t>
        </is>
      </c>
      <c r="C70" s="2" t="inlineStr">
        <is>
          <t>학원/교습소</t>
        </is>
      </c>
      <c r="D70" s="2" t="inlineStr">
        <is>
          <t>추가공사</t>
        </is>
      </c>
      <c r="E70" s="3" t="n"/>
      <c r="F70" s="4" t="n">
        <v>2816000</v>
      </c>
      <c r="G70" s="4">
        <f>IF(AND(E70&gt;0,F70&gt;0),F70/E70,"")</f>
        <v/>
      </c>
      <c r="H70" s="2" t="inlineStr">
        <is>
          <t>260303_JD윙스6층 영어학원 추가견적서.xlsb</t>
        </is>
      </c>
    </row>
    <row r="71">
      <c r="A71" s="2" t="inlineStr">
        <is>
          <t>2026년</t>
        </is>
      </c>
      <c r="B71" s="2" t="inlineStr">
        <is>
          <t>경남 테크노파크</t>
        </is>
      </c>
      <c r="C71" s="2" t="inlineStr">
        <is>
          <t>대학/공공</t>
        </is>
      </c>
      <c r="D71" s="2" t="inlineStr">
        <is>
          <t>부분공사</t>
        </is>
      </c>
      <c r="E71" s="3" t="n"/>
      <c r="F71" s="4" t="n">
        <v>4268000</v>
      </c>
      <c r="G71" s="4">
        <f>IF(AND(E71&gt;0,F71&gt;0),F71/E71,"")</f>
        <v/>
      </c>
      <c r="H71" s="2" t="inlineStr">
        <is>
          <t>260305_경남 테크노파크-최종본.xlsb</t>
        </is>
      </c>
    </row>
    <row r="72">
      <c r="A72" s="2" t="inlineStr">
        <is>
          <t>2026년</t>
        </is>
      </c>
      <c r="B72" s="2" t="inlineStr">
        <is>
          <t>어반브릭스 국어교습소</t>
        </is>
      </c>
      <c r="C72" s="2" t="inlineStr">
        <is>
          <t>학원/교습소</t>
        </is>
      </c>
      <c r="D72" s="2" t="inlineStr">
        <is>
          <t>부분공사</t>
        </is>
      </c>
      <c r="E72" s="3" t="n"/>
      <c r="F72" s="4" t="n">
        <v>1683000</v>
      </c>
      <c r="G72" s="4">
        <f>IF(AND(E72&gt;0,F72&gt;0),F72/E72,"")</f>
        <v/>
      </c>
      <c r="H72" s="2" t="inlineStr">
        <is>
          <t>260310_어반브릭스1312호.xlsb</t>
        </is>
      </c>
    </row>
    <row r="73">
      <c r="A73" s="2" t="inlineStr">
        <is>
          <t>2026년</t>
        </is>
      </c>
      <c r="B73" s="2" t="inlineStr">
        <is>
          <t>헥사곤 사인물</t>
        </is>
      </c>
      <c r="C73" s="2" t="inlineStr">
        <is>
          <t>상업/기타</t>
        </is>
      </c>
      <c r="D73" s="2" t="inlineStr">
        <is>
          <t>부분공사</t>
        </is>
      </c>
      <c r="E73" s="3" t="n"/>
      <c r="F73" s="4" t="n">
        <v>3652000</v>
      </c>
      <c r="G73" s="4">
        <f>IF(AND(E73&gt;0,F73&gt;0),F73/E73,"")</f>
        <v/>
      </c>
      <c r="H73" s="2" t="inlineStr">
        <is>
          <t>260313_헥사곤_최종본.xlsb</t>
        </is>
      </c>
    </row>
    <row r="74">
      <c r="A74" s="2" t="inlineStr">
        <is>
          <t>2026년</t>
        </is>
      </c>
      <c r="B74" s="2" t="inlineStr">
        <is>
          <t>반도유보라 교습소</t>
        </is>
      </c>
      <c r="C74" s="2" t="inlineStr">
        <is>
          <t>학원/교습소</t>
        </is>
      </c>
      <c r="D74" s="2" t="inlineStr">
        <is>
          <t>본공사</t>
        </is>
      </c>
      <c r="E74" s="3" t="n">
        <v>9.4</v>
      </c>
      <c r="F74" s="4" t="n">
        <v>15037000</v>
      </c>
      <c r="G74" s="4">
        <f>IF(AND(E74&gt;0,F74&gt;0),F74/E74,"")</f>
        <v/>
      </c>
      <c r="H74" s="2" t="inlineStr">
        <is>
          <t>260317_반도유보라교습소 인테리어.xlsb</t>
        </is>
      </c>
    </row>
    <row r="75">
      <c r="A75" s="2" t="inlineStr">
        <is>
          <t>2026년</t>
        </is>
      </c>
      <c r="B75" s="2" t="inlineStr">
        <is>
          <t>현대마린엔진 선주실</t>
        </is>
      </c>
      <c r="C75" s="2" t="inlineStr">
        <is>
          <t>사무실</t>
        </is>
      </c>
      <c r="D75" s="2" t="inlineStr">
        <is>
          <t>본공사</t>
        </is>
      </c>
      <c r="E75" s="3" t="n">
        <v>27.2</v>
      </c>
      <c r="F75" s="4" t="n">
        <v>52899000</v>
      </c>
      <c r="G75" s="4">
        <f>IF(AND(E75&gt;0,F75&gt;0),F75/E75,"")</f>
        <v/>
      </c>
      <c r="H75" s="2" t="inlineStr">
        <is>
          <t>260318_현대마린엔진 현장동 사무실(최종본).xlsb</t>
        </is>
      </c>
    </row>
    <row r="76">
      <c r="A76" s="2" t="inlineStr">
        <is>
          <t>2026년</t>
        </is>
      </c>
      <c r="B76" s="2" t="inlineStr">
        <is>
          <t>린데코리아 사무실</t>
        </is>
      </c>
      <c r="C76" s="2" t="inlineStr">
        <is>
          <t>사무실</t>
        </is>
      </c>
      <c r="D76" s="2" t="inlineStr">
        <is>
          <t>본공사</t>
        </is>
      </c>
      <c r="E76" s="3" t="n">
        <v>27.9</v>
      </c>
      <c r="F76" s="4" t="n">
        <v>52789000</v>
      </c>
      <c r="G76" s="4">
        <f>IF(AND(E76&gt;0,F76&gt;0),F76/E76,"")</f>
        <v/>
      </c>
      <c r="H76" s="2" t="inlineStr">
        <is>
          <t>260319_린데코리아(최종본).xlsb</t>
        </is>
      </c>
    </row>
    <row r="77">
      <c r="A77" s="2" t="inlineStr">
        <is>
          <t>2026년</t>
        </is>
      </c>
      <c r="B77" s="2" t="inlineStr">
        <is>
          <t>부산대바이오 추가</t>
        </is>
      </c>
      <c r="C77" s="2" t="inlineStr">
        <is>
          <t>대학/공공</t>
        </is>
      </c>
      <c r="D77" s="2" t="inlineStr">
        <is>
          <t>추가공사</t>
        </is>
      </c>
      <c r="E77" s="3" t="n"/>
      <c r="F77" s="4" t="n"/>
      <c r="G77" s="4">
        <f>IF(AND(E77&gt;0,F77&gt;0),F77/E77,"")</f>
        <v/>
      </c>
      <c r="H77" s="2" t="inlineStr">
        <is>
          <t>260319_부산대 바이오 추가견적서.xlsb</t>
        </is>
      </c>
    </row>
    <row r="78">
      <c r="A78" s="2" t="inlineStr">
        <is>
          <t>2026년</t>
        </is>
      </c>
      <c r="B78" s="2" t="inlineStr">
        <is>
          <t>어반브릭스 컴퓨터학원</t>
        </is>
      </c>
      <c r="C78" s="2" t="inlineStr">
        <is>
          <t>학원/교습소</t>
        </is>
      </c>
      <c r="D78" s="2" t="inlineStr">
        <is>
          <t>본공사</t>
        </is>
      </c>
      <c r="E78" s="3" t="n">
        <v>26.3</v>
      </c>
      <c r="F78" s="4" t="n">
        <v>15466000</v>
      </c>
      <c r="G78" s="4">
        <f>IF(AND(E78&gt;0,F78&gt;0),F78/E78,"")</f>
        <v/>
      </c>
      <c r="H78" s="2" t="inlineStr">
        <is>
          <t>260319_어반브릭스(1606호, 1607호) 컴퓨터학원(최종본).xlsb</t>
        </is>
      </c>
    </row>
    <row r="79">
      <c r="A79" s="2" t="inlineStr">
        <is>
          <t>2026년</t>
        </is>
      </c>
      <c r="B79" s="2" t="inlineStr">
        <is>
          <t>진해푸른회</t>
        </is>
      </c>
      <c r="C79" s="2" t="inlineStr">
        <is>
          <t>식음료</t>
        </is>
      </c>
      <c r="D79" s="2" t="inlineStr">
        <is>
          <t>부분공사</t>
        </is>
      </c>
      <c r="E79" s="3" t="n">
        <v>16</v>
      </c>
      <c r="F79" s="4" t="n">
        <v>9196000</v>
      </c>
      <c r="G79" s="4">
        <f>IF(AND(E79&gt;0,F79&gt;0),F79/E79,"")</f>
        <v/>
      </c>
      <c r="H79" s="2" t="inlineStr">
        <is>
          <t>260319_진해 푸른회(부분수리).xlsb</t>
        </is>
      </c>
    </row>
    <row r="80">
      <c r="A80" s="2" t="inlineStr">
        <is>
          <t>2026년</t>
        </is>
      </c>
      <c r="B80" s="2" t="inlineStr">
        <is>
          <t>감계 덕산아내 203동 1305호</t>
        </is>
      </c>
      <c r="C80" s="2" t="inlineStr">
        <is>
          <t>주거</t>
        </is>
      </c>
      <c r="D80" s="2" t="inlineStr">
        <is>
          <t>본공사</t>
        </is>
      </c>
      <c r="E80" s="3" t="n"/>
      <c r="F80" s="4" t="n">
        <v>44418000</v>
      </c>
      <c r="G80" s="4">
        <f>IF(AND(E80&gt;0,F80&gt;0),F80/E80,"")</f>
        <v/>
      </c>
      <c r="H80" s="2" t="inlineStr">
        <is>
          <t>260328덕산감계 아내 203동 1305.xlsb</t>
        </is>
      </c>
    </row>
    <row r="81">
      <c r="A81" s="2" t="inlineStr">
        <is>
          <t>2026년</t>
        </is>
      </c>
      <c r="B81" s="2" t="inlineStr">
        <is>
          <t>팔용동사진관(이담사진관)</t>
        </is>
      </c>
      <c r="C81" s="2" t="inlineStr">
        <is>
          <t>상업/기타</t>
        </is>
      </c>
      <c r="D81" s="2" t="inlineStr">
        <is>
          <t>본공사</t>
        </is>
      </c>
      <c r="E81" s="3" t="n">
        <v>13.3</v>
      </c>
      <c r="F81" s="4" t="n">
        <v>21703000</v>
      </c>
      <c r="G81" s="4">
        <f>IF(AND(E81&gt;0,F81&gt;0),F81/E81,"")</f>
        <v/>
      </c>
      <c r="H81" s="2" t="inlineStr">
        <is>
          <t>260405_팔용동 사진관(최종본).xlsb</t>
        </is>
      </c>
    </row>
    <row r="82">
      <c r="A82" s="2" t="inlineStr">
        <is>
          <t>2026년</t>
        </is>
      </c>
      <c r="B82" s="2" t="inlineStr">
        <is>
          <t>롯데캐슬교습소</t>
        </is>
      </c>
      <c r="C82" s="2" t="inlineStr">
        <is>
          <t>학원/교습소</t>
        </is>
      </c>
      <c r="D82" s="2" t="inlineStr">
        <is>
          <t>본공사</t>
        </is>
      </c>
      <c r="E82" s="3" t="n">
        <v>9.4</v>
      </c>
      <c r="F82" s="4" t="n">
        <v>15851000</v>
      </c>
      <c r="G82" s="4">
        <f>IF(AND(E82&gt;0,F82&gt;0),F82/E82,"")</f>
        <v/>
      </c>
      <c r="H82" s="2" t="inlineStr">
        <is>
          <t>260408_롯데캐슬교습소.xlsb</t>
        </is>
      </c>
    </row>
    <row r="83">
      <c r="A83" s="2" t="inlineStr">
        <is>
          <t>2026년</t>
        </is>
      </c>
      <c r="B83" s="2" t="inlineStr">
        <is>
          <t>밀양미부닥트(주)</t>
        </is>
      </c>
      <c r="C83" s="2" t="inlineStr">
        <is>
          <t>상업/기타</t>
        </is>
      </c>
      <c r="D83" s="2" t="inlineStr">
        <is>
          <t>부분공사</t>
        </is>
      </c>
      <c r="E83" s="3" t="n"/>
      <c r="F83" s="4" t="n"/>
      <c r="G83" s="4">
        <f>IF(AND(E83&gt;0,F83&gt;0),F83/E83,"")</f>
        <v/>
      </c>
      <c r="H83" s="2" t="inlineStr">
        <is>
          <t>260417_밀양 미부닥트(주)- 시트작업(최종본).xlsb</t>
        </is>
      </c>
    </row>
    <row r="84">
      <c r="A84" s="2" t="inlineStr">
        <is>
          <t>2026년</t>
        </is>
      </c>
      <c r="B84" s="2" t="inlineStr">
        <is>
          <t>문화콘크리트 사무실</t>
        </is>
      </c>
      <c r="C84" s="2" t="inlineStr">
        <is>
          <t>사무실</t>
        </is>
      </c>
      <c r="D84" s="2" t="inlineStr">
        <is>
          <t>본공사</t>
        </is>
      </c>
      <c r="E84" s="3" t="n">
        <v>19.2</v>
      </c>
      <c r="F84" s="4" t="n">
        <v>74767000</v>
      </c>
      <c r="G84" s="4">
        <f>IF(AND(E84&gt;0,F84&gt;0),F84/E84,"")</f>
        <v/>
      </c>
      <c r="H84" s="2" t="inlineStr">
        <is>
          <t>260420_문화콘크리트 사무실 인테리어.xlsb</t>
        </is>
      </c>
    </row>
    <row r="85">
      <c r="A85" s="2" t="inlineStr">
        <is>
          <t>2026년</t>
        </is>
      </c>
      <c r="B85" s="2" t="inlineStr">
        <is>
          <t>진해푸른회</t>
        </is>
      </c>
      <c r="C85" s="2" t="inlineStr">
        <is>
          <t>식음료</t>
        </is>
      </c>
      <c r="D85" s="2" t="inlineStr">
        <is>
          <t>추가공사</t>
        </is>
      </c>
      <c r="E85" s="3" t="n"/>
      <c r="F85" s="4" t="n">
        <v>1243000</v>
      </c>
      <c r="G85" s="4">
        <f>IF(AND(E85&gt;0,F85&gt;0),F85/E85,"")</f>
        <v/>
      </c>
      <c r="H85" s="2" t="inlineStr">
        <is>
          <t>260424_진해술집부분수리 추가견적서(최종본).xlsb</t>
        </is>
      </c>
    </row>
    <row r="86">
      <c r="A86" s="2" t="inlineStr">
        <is>
          <t>2026년</t>
        </is>
      </c>
      <c r="B86" s="2" t="inlineStr">
        <is>
          <t>지엔티 옷장</t>
        </is>
      </c>
      <c r="C86" s="2" t="inlineStr">
        <is>
          <t>상업/기타</t>
        </is>
      </c>
      <c r="D86" s="2" t="inlineStr">
        <is>
          <t>가구</t>
        </is>
      </c>
      <c r="E86" s="3" t="n"/>
      <c r="F86" s="4" t="n">
        <v>1243000</v>
      </c>
      <c r="G86" s="4">
        <f>IF(AND(E86&gt;0,F86&gt;0),F86/E86,"")</f>
        <v/>
      </c>
      <c r="H86" s="2" t="inlineStr">
        <is>
          <t>260429_지엔티가구견적서.xlsx</t>
        </is>
      </c>
    </row>
    <row r="87">
      <c r="A87" s="2" t="inlineStr">
        <is>
          <t>2026년</t>
        </is>
      </c>
      <c r="B87" s="2" t="inlineStr">
        <is>
          <t>현대마린엔진 접견실 인테리어(도배)</t>
        </is>
      </c>
      <c r="C87" s="2" t="inlineStr">
        <is>
          <t>사무실</t>
        </is>
      </c>
      <c r="D87" s="2" t="inlineStr">
        <is>
          <t>부분공사</t>
        </is>
      </c>
      <c r="E87" s="3" t="n"/>
      <c r="F87" s="4" t="n">
        <v>1991000</v>
      </c>
      <c r="G87" s="4">
        <f>IF(AND(E87&gt;0,F87&gt;0),F87/E87,"")</f>
        <v/>
      </c>
      <c r="H87" s="2" t="inlineStr">
        <is>
          <t>260504_현대마린엔진 접견실 인테리어.xlsb</t>
        </is>
      </c>
    </row>
    <row r="88">
      <c r="A88" s="2" t="inlineStr">
        <is>
          <t>2026년</t>
        </is>
      </c>
      <c r="B88" s="2" t="inlineStr">
        <is>
          <t>롯데캐슬 미용실</t>
        </is>
      </c>
      <c r="C88" s="2" t="inlineStr">
        <is>
          <t>뷰티/미용</t>
        </is>
      </c>
      <c r="D88" s="2" t="inlineStr">
        <is>
          <t>본공사</t>
        </is>
      </c>
      <c r="E88" s="3" t="n">
        <v>9.1</v>
      </c>
      <c r="F88" s="4" t="n">
        <v>23078000</v>
      </c>
      <c r="G88" s="4">
        <f>IF(AND(E88&gt;0,F88&gt;0),F88/E88,"")</f>
        <v/>
      </c>
      <c r="H88" s="2" t="inlineStr">
        <is>
          <t>260518_롯데캐슬 미용실 인테리어.xlsb</t>
        </is>
      </c>
    </row>
    <row r="89">
      <c r="A89" s="2" t="inlineStr">
        <is>
          <t>2026년</t>
        </is>
      </c>
      <c r="B89" s="2" t="inlineStr">
        <is>
          <t>지엔티 4공장</t>
        </is>
      </c>
      <c r="C89" s="2" t="inlineStr">
        <is>
          <t>상업/기타</t>
        </is>
      </c>
      <c r="D89" s="2" t="inlineStr">
        <is>
          <t>본공사</t>
        </is>
      </c>
      <c r="E89" s="3" t="n">
        <v>32</v>
      </c>
      <c r="F89" s="4" t="n">
        <v>53130000</v>
      </c>
      <c r="G89" s="4">
        <f>IF(AND(E89&gt;0,F89&gt;0),F89/E89,"")</f>
        <v/>
      </c>
      <c r="H89" s="2" t="inlineStr">
        <is>
          <t>260602_지엔티-최종본.xlsb</t>
        </is>
      </c>
    </row>
    <row r="90">
      <c r="A90" s="2" t="inlineStr">
        <is>
          <t>2026년</t>
        </is>
      </c>
      <c r="B90" s="2" t="inlineStr">
        <is>
          <t>북면 반찬가게</t>
        </is>
      </c>
      <c r="C90" s="2" t="inlineStr">
        <is>
          <t>식음료</t>
        </is>
      </c>
      <c r="D90" s="2" t="inlineStr">
        <is>
          <t>본공사</t>
        </is>
      </c>
      <c r="E90" s="3" t="n">
        <v>10.4</v>
      </c>
      <c r="F90" s="4" t="n">
        <v>39314000</v>
      </c>
      <c r="G90" s="4">
        <f>IF(AND(E90&gt;0,F90&gt;0),F90/E90,"")</f>
        <v/>
      </c>
      <c r="H90" s="2" t="inlineStr">
        <is>
          <t>260609_북면 반찬가게.xlsb</t>
        </is>
      </c>
    </row>
    <row r="91">
      <c r="A91" s="2" t="inlineStr">
        <is>
          <t>2026년</t>
        </is>
      </c>
      <c r="B91" s="2" t="inlineStr">
        <is>
          <t>크랭크샤프트 강당</t>
        </is>
      </c>
      <c r="C91" s="2" t="inlineStr">
        <is>
          <t>상업/기타</t>
        </is>
      </c>
      <c r="D91" s="2" t="inlineStr">
        <is>
          <t>본공사</t>
        </is>
      </c>
      <c r="E91" s="3" t="n">
        <v>62</v>
      </c>
      <c r="F91" s="4" t="n">
        <v>99924000</v>
      </c>
      <c r="G91" s="4">
        <f>IF(AND(E91&gt;0,F91&gt;0),F91/E91,"")</f>
        <v/>
      </c>
      <c r="H91" s="2" t="inlineStr">
        <is>
          <t>260613_현대크랭크샤프트 교육실(최종본).xlsb</t>
        </is>
      </c>
    </row>
    <row r="93">
      <c r="A93" s="5" t="inlineStr">
        <is>
          <t>※ 출처: NAS(jm) 002_JM회계 &gt; 003_계약 &gt; 01_고객계약 각 현장 001_견적서 (90건, 2026-07-02 재추출). 평수 = 내역서 먹메김/보양/현장정리/준공청소 M2 수량 최대값 ÷ 3.3058. 총액 = 갑지(또는 원가계산서) 최대 금액(VAT 포함). 평수 공란 = 내역서에 면적 행이 없는 견적서(사파동변호사, JD윙스, 감계아내 2건 등).</t>
        </is>
      </c>
    </row>
  </sheetData>
  <autoFilter ref="A1:H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7" customWidth="1" min="4" max="4"/>
    <col width="16" customWidth="1" min="5" max="5"/>
    <col width="15" customWidth="1" min="6" max="6"/>
    <col width="15" customWidth="1" min="7" max="7"/>
  </cols>
  <sheetData>
    <row r="1">
      <c r="A1" s="1" t="inlineStr">
        <is>
          <t>연도</t>
        </is>
      </c>
      <c r="B1" s="1" t="inlineStr">
        <is>
          <t>현장명</t>
        </is>
      </c>
      <c r="C1" s="1" t="inlineStr">
        <is>
          <t>업종</t>
        </is>
      </c>
      <c r="D1" s="1" t="inlineStr">
        <is>
          <t>평수</t>
        </is>
      </c>
      <c r="E1" s="1" t="inlineStr">
        <is>
          <t>견적총액(VAT포함)</t>
        </is>
      </c>
      <c r="F1" s="1" t="inlineStr">
        <is>
          <t>평당가(VAT포함)</t>
        </is>
      </c>
      <c r="G1" s="1" t="inlineStr">
        <is>
          <t>평당가(VAT제외)</t>
        </is>
      </c>
    </row>
    <row r="2">
      <c r="A2" s="2" t="inlineStr">
        <is>
          <t>2025년</t>
        </is>
      </c>
      <c r="B2" s="2" t="inlineStr">
        <is>
          <t xml:space="preserve"> PNU 펜토미노 교육과정 원예생명과학과 강의실 환경개선 공사</t>
        </is>
      </c>
      <c r="C2" s="2" t="inlineStr">
        <is>
          <t>대학/공공</t>
        </is>
      </c>
      <c r="D2" s="3" t="n">
        <v>24.2</v>
      </c>
      <c r="E2" s="4" t="n">
        <v>33500000</v>
      </c>
      <c r="F2" s="4">
        <f>E2/D2</f>
        <v/>
      </c>
      <c r="G2" s="4">
        <f>E2/1.1/D2</f>
        <v/>
      </c>
    </row>
    <row r="3">
      <c r="A3" s="2" t="inlineStr">
        <is>
          <t>2024년</t>
        </is>
      </c>
      <c r="B3" s="2" t="inlineStr">
        <is>
          <t>부산대학교생명자원과학대학</t>
        </is>
      </c>
      <c r="C3" s="2" t="inlineStr">
        <is>
          <t>대학/공공</t>
        </is>
      </c>
      <c r="D3" s="3" t="n">
        <v>27.2</v>
      </c>
      <c r="E3" s="4" t="n">
        <v>31856000</v>
      </c>
      <c r="F3" s="4">
        <f>E3/D3</f>
        <v/>
      </c>
      <c r="G3" s="4">
        <f>E3/1.1/D3</f>
        <v/>
      </c>
    </row>
    <row r="4">
      <c r="A4" s="2" t="inlineStr">
        <is>
          <t>2024년</t>
        </is>
      </c>
      <c r="B4" s="2" t="inlineStr">
        <is>
          <t>더 젤 네일샾</t>
        </is>
      </c>
      <c r="C4" s="2" t="inlineStr">
        <is>
          <t>뷰티/미용</t>
        </is>
      </c>
      <c r="D4" s="3" t="n">
        <v>10</v>
      </c>
      <c r="E4" s="4" t="n">
        <v>32538000</v>
      </c>
      <c r="F4" s="4">
        <f>E4/D4</f>
        <v/>
      </c>
      <c r="G4" s="4">
        <f>E4/1.1/D4</f>
        <v/>
      </c>
    </row>
    <row r="5">
      <c r="A5" s="2" t="inlineStr">
        <is>
          <t>2025년</t>
        </is>
      </c>
      <c r="B5" s="2" t="inlineStr">
        <is>
          <t>중동미용실</t>
        </is>
      </c>
      <c r="C5" s="2" t="inlineStr">
        <is>
          <t>뷰티/미용</t>
        </is>
      </c>
      <c r="D5" s="3" t="n">
        <v>7.1</v>
      </c>
      <c r="E5" s="4" t="n">
        <v>18282000</v>
      </c>
      <c r="F5" s="4">
        <f>E5/D5</f>
        <v/>
      </c>
      <c r="G5" s="4">
        <f>E5/1.1/D5</f>
        <v/>
      </c>
    </row>
    <row r="6">
      <c r="A6" s="2" t="inlineStr">
        <is>
          <t>2026년</t>
        </is>
      </c>
      <c r="B6" s="2" t="inlineStr">
        <is>
          <t>대상힐스 미용실</t>
        </is>
      </c>
      <c r="C6" s="2" t="inlineStr">
        <is>
          <t>뷰티/미용</t>
        </is>
      </c>
      <c r="D6" s="3" t="n">
        <v>12.1</v>
      </c>
      <c r="E6" s="4" t="n">
        <v>30800000</v>
      </c>
      <c r="F6" s="4">
        <f>E6/D6</f>
        <v/>
      </c>
      <c r="G6" s="4">
        <f>E6/1.1/D6</f>
        <v/>
      </c>
    </row>
    <row r="7">
      <c r="A7" s="2" t="inlineStr">
        <is>
          <t>2026년</t>
        </is>
      </c>
      <c r="B7" s="2" t="inlineStr">
        <is>
          <t>롯데캐슬 미용실</t>
        </is>
      </c>
      <c r="C7" s="2" t="inlineStr">
        <is>
          <t>뷰티/미용</t>
        </is>
      </c>
      <c r="D7" s="3" t="n">
        <v>9.1</v>
      </c>
      <c r="E7" s="4" t="n">
        <v>23078000</v>
      </c>
      <c r="F7" s="4">
        <f>E7/D7</f>
        <v/>
      </c>
      <c r="G7" s="4">
        <f>E7/1.1/D7</f>
        <v/>
      </c>
    </row>
    <row r="8">
      <c r="A8" s="2" t="inlineStr">
        <is>
          <t>2025년</t>
        </is>
      </c>
      <c r="B8" s="2" t="inlineStr">
        <is>
          <t>함안뷰티샵</t>
        </is>
      </c>
      <c r="C8" s="2" t="inlineStr">
        <is>
          <t>뷰티/미용</t>
        </is>
      </c>
      <c r="D8" s="3" t="n">
        <v>12.9</v>
      </c>
      <c r="E8" s="4" t="n">
        <v>29205000</v>
      </c>
      <c r="F8" s="4">
        <f>E8/D8</f>
        <v/>
      </c>
      <c r="G8" s="4">
        <f>E8/1.1/D8</f>
        <v/>
      </c>
    </row>
    <row r="9">
      <c r="A9" s="2" t="inlineStr">
        <is>
          <t>2025년</t>
        </is>
      </c>
      <c r="B9" s="2" t="inlineStr">
        <is>
          <t>현동바버샵</t>
        </is>
      </c>
      <c r="C9" s="2" t="inlineStr">
        <is>
          <t>뷰티/미용</t>
        </is>
      </c>
      <c r="D9" s="3" t="n">
        <v>13.6</v>
      </c>
      <c r="E9" s="4" t="n">
        <v>30437000</v>
      </c>
      <c r="F9" s="4">
        <f>E9/D9</f>
        <v/>
      </c>
      <c r="G9" s="4">
        <f>E9/1.1/D9</f>
        <v/>
      </c>
    </row>
    <row r="10">
      <c r="A10" s="2" t="inlineStr">
        <is>
          <t>2025년</t>
        </is>
      </c>
      <c r="B10" s="2" t="inlineStr">
        <is>
          <t>밀양 뷰티샵</t>
        </is>
      </c>
      <c r="C10" s="2" t="inlineStr">
        <is>
          <t>뷰티/미용</t>
        </is>
      </c>
      <c r="D10" s="3" t="n">
        <v>7.9</v>
      </c>
      <c r="E10" s="4" t="n">
        <v>16379000</v>
      </c>
      <c r="F10" s="4">
        <f>E10/D10</f>
        <v/>
      </c>
      <c r="G10" s="4">
        <f>E10/1.1/D10</f>
        <v/>
      </c>
    </row>
    <row r="11">
      <c r="A11" s="2" t="inlineStr">
        <is>
          <t>2025년</t>
        </is>
      </c>
      <c r="B11" s="2" t="inlineStr">
        <is>
          <t>현동네일샵</t>
        </is>
      </c>
      <c r="C11" s="2" t="inlineStr">
        <is>
          <t>뷰티/미용</t>
        </is>
      </c>
      <c r="D11" s="3" t="n">
        <v>11.8</v>
      </c>
      <c r="E11" s="4" t="n">
        <v>21000000</v>
      </c>
      <c r="F11" s="4">
        <f>E11/D11</f>
        <v/>
      </c>
      <c r="G11" s="4">
        <f>E11/1.1/D11</f>
        <v/>
      </c>
    </row>
    <row r="12">
      <c r="A12" s="2" t="inlineStr">
        <is>
          <t>2025년</t>
        </is>
      </c>
      <c r="B12" s="2" t="inlineStr">
        <is>
          <t>정우상가(용호동)뷰티샵</t>
        </is>
      </c>
      <c r="C12" s="2" t="inlineStr">
        <is>
          <t>뷰티/미용</t>
        </is>
      </c>
      <c r="D12" s="3" t="n">
        <v>23.9</v>
      </c>
      <c r="E12" s="4" t="n">
        <v>35673000</v>
      </c>
      <c r="F12" s="4">
        <f>E12/D12</f>
        <v/>
      </c>
      <c r="G12" s="4">
        <f>E12/1.1/D12</f>
        <v/>
      </c>
    </row>
    <row r="13">
      <c r="A13" s="2" t="inlineStr">
        <is>
          <t>2026년</t>
        </is>
      </c>
      <c r="B13" s="2" t="inlineStr">
        <is>
          <t>문화콘크리트 사무실</t>
        </is>
      </c>
      <c r="C13" s="2" t="inlineStr">
        <is>
          <t>사무실</t>
        </is>
      </c>
      <c r="D13" s="3" t="n">
        <v>19.2</v>
      </c>
      <c r="E13" s="4" t="n">
        <v>74767000</v>
      </c>
      <c r="F13" s="4">
        <f>E13/D13</f>
        <v/>
      </c>
      <c r="G13" s="4">
        <f>E13/1.1/D13</f>
        <v/>
      </c>
    </row>
    <row r="14">
      <c r="A14" s="2" t="inlineStr">
        <is>
          <t>2026년</t>
        </is>
      </c>
      <c r="B14" s="2" t="inlineStr">
        <is>
          <t>현대마린엔진 선주실</t>
        </is>
      </c>
      <c r="C14" s="2" t="inlineStr">
        <is>
          <t>사무실</t>
        </is>
      </c>
      <c r="D14" s="3" t="n">
        <v>27.2</v>
      </c>
      <c r="E14" s="4" t="n">
        <v>52899000</v>
      </c>
      <c r="F14" s="4">
        <f>E14/D14</f>
        <v/>
      </c>
      <c r="G14" s="4">
        <f>E14/1.1/D14</f>
        <v/>
      </c>
    </row>
    <row r="15">
      <c r="A15" s="2" t="inlineStr">
        <is>
          <t>2026년</t>
        </is>
      </c>
      <c r="B15" s="2" t="inlineStr">
        <is>
          <t>린데코리아 사무실</t>
        </is>
      </c>
      <c r="C15" s="2" t="inlineStr">
        <is>
          <t>사무실</t>
        </is>
      </c>
      <c r="D15" s="3" t="n">
        <v>27.9</v>
      </c>
      <c r="E15" s="4" t="n">
        <v>52789000</v>
      </c>
      <c r="F15" s="4">
        <f>E15/D15</f>
        <v/>
      </c>
      <c r="G15" s="4">
        <f>E15/1.1/D15</f>
        <v/>
      </c>
    </row>
    <row r="16">
      <c r="A16" s="2" t="inlineStr">
        <is>
          <t>2025년</t>
        </is>
      </c>
      <c r="B16" s="2" t="inlineStr">
        <is>
          <t>이홍열법률사무소</t>
        </is>
      </c>
      <c r="C16" s="2" t="inlineStr">
        <is>
          <t>사무실</t>
        </is>
      </c>
      <c r="D16" s="3" t="n">
        <v>31</v>
      </c>
      <c r="E16" s="4" t="n">
        <v>53119000</v>
      </c>
      <c r="F16" s="4">
        <f>E16/D16</f>
        <v/>
      </c>
      <c r="G16" s="4">
        <f>E16/1.1/D16</f>
        <v/>
      </c>
    </row>
    <row r="17">
      <c r="A17" s="2" t="inlineStr">
        <is>
          <t>2025년</t>
        </is>
      </c>
      <c r="B17" s="2" t="inlineStr">
        <is>
          <t>나라정보시스템</t>
        </is>
      </c>
      <c r="C17" s="2" t="inlineStr">
        <is>
          <t>사무실</t>
        </is>
      </c>
      <c r="D17" s="3" t="n">
        <v>10.6</v>
      </c>
      <c r="E17" s="4" t="n">
        <v>17578000</v>
      </c>
      <c r="F17" s="4">
        <f>E17/D17</f>
        <v/>
      </c>
      <c r="G17" s="4">
        <f>E17/1.1/D17</f>
        <v/>
      </c>
    </row>
    <row r="18">
      <c r="A18" s="2" t="inlineStr">
        <is>
          <t>2025년</t>
        </is>
      </c>
      <c r="B18" s="2" t="inlineStr">
        <is>
          <t>MH에탄올 사무실 2,3층 인테리어</t>
        </is>
      </c>
      <c r="C18" s="2" t="inlineStr">
        <is>
          <t>사무실</t>
        </is>
      </c>
      <c r="D18" s="3" t="n">
        <v>98.59999999999999</v>
      </c>
      <c r="E18" s="4" t="n">
        <v>160413000</v>
      </c>
      <c r="F18" s="4">
        <f>E18/D18</f>
        <v/>
      </c>
      <c r="G18" s="4">
        <f>E18/1.1/D18</f>
        <v/>
      </c>
    </row>
    <row r="19">
      <c r="A19" s="2" t="inlineStr">
        <is>
          <t>2025년</t>
        </is>
      </c>
      <c r="B19" s="2" t="inlineStr">
        <is>
          <t>법무법인DH</t>
        </is>
      </c>
      <c r="C19" s="2" t="inlineStr">
        <is>
          <t>사무실</t>
        </is>
      </c>
      <c r="D19" s="3" t="n">
        <v>34.5</v>
      </c>
      <c r="E19" s="4" t="n">
        <v>45001000</v>
      </c>
      <c r="F19" s="4">
        <f>E19/D19</f>
        <v/>
      </c>
      <c r="G19" s="4">
        <f>E19/1.1/D19</f>
        <v/>
      </c>
    </row>
    <row r="20">
      <c r="A20" s="2" t="inlineStr">
        <is>
          <t>2025년</t>
        </is>
      </c>
      <c r="B20" s="2" t="inlineStr">
        <is>
          <t>라온메디칼 사무실</t>
        </is>
      </c>
      <c r="C20" s="2" t="inlineStr">
        <is>
          <t>사무실</t>
        </is>
      </c>
      <c r="D20" s="3" t="n">
        <v>29.6</v>
      </c>
      <c r="E20" s="4" t="n">
        <v>34529000</v>
      </c>
      <c r="F20" s="4">
        <f>E20/D20</f>
        <v/>
      </c>
      <c r="G20" s="4">
        <f>E20/1.1/D20</f>
        <v/>
      </c>
    </row>
    <row r="21">
      <c r="A21" s="2" t="inlineStr">
        <is>
          <t>2025년</t>
        </is>
      </c>
      <c r="B21" s="2" t="inlineStr">
        <is>
          <t>키움에셋플래너</t>
        </is>
      </c>
      <c r="C21" s="2" t="inlineStr">
        <is>
          <t>사무실</t>
        </is>
      </c>
      <c r="D21" s="3" t="n">
        <v>47.5</v>
      </c>
      <c r="E21" s="4" t="n">
        <v>40931000</v>
      </c>
      <c r="F21" s="4">
        <f>E21/D21</f>
        <v/>
      </c>
      <c r="G21" s="4">
        <f>E21/1.1/D21</f>
        <v/>
      </c>
    </row>
    <row r="22">
      <c r="A22" s="2" t="inlineStr">
        <is>
          <t>2025년</t>
        </is>
      </c>
      <c r="B22" s="2" t="inlineStr">
        <is>
          <t>에이지로보틱스 경남창조혁신센터 사무실</t>
        </is>
      </c>
      <c r="C22" s="2" t="inlineStr">
        <is>
          <t>사무실</t>
        </is>
      </c>
      <c r="D22" s="3" t="n">
        <v>45.4</v>
      </c>
      <c r="E22" s="4" t="n">
        <v>32494000</v>
      </c>
      <c r="F22" s="4">
        <f>E22/D22</f>
        <v/>
      </c>
      <c r="G22" s="4">
        <f>E22/1.1/D22</f>
        <v/>
      </c>
    </row>
    <row r="23">
      <c r="A23" s="2" t="inlineStr">
        <is>
          <t>2026년</t>
        </is>
      </c>
      <c r="B23" s="2" t="inlineStr">
        <is>
          <t>장유사무실</t>
        </is>
      </c>
      <c r="C23" s="2" t="inlineStr">
        <is>
          <t>사무실</t>
        </is>
      </c>
      <c r="D23" s="3" t="n">
        <v>34.8</v>
      </c>
      <c r="E23" s="4" t="n">
        <v>24090000</v>
      </c>
      <c r="F23" s="4">
        <f>E23/D23</f>
        <v/>
      </c>
      <c r="G23" s="4">
        <f>E23/1.1/D23</f>
        <v/>
      </c>
    </row>
    <row r="24">
      <c r="A24" s="2" t="inlineStr">
        <is>
          <t>2025년</t>
        </is>
      </c>
      <c r="B24" s="2" t="inlineStr">
        <is>
          <t>경남산소</t>
        </is>
      </c>
      <c r="C24" s="2" t="inlineStr">
        <is>
          <t>상업/기타</t>
        </is>
      </c>
      <c r="D24" s="3" t="n">
        <v>26.6</v>
      </c>
      <c r="E24" s="4" t="n">
        <v>72204000</v>
      </c>
      <c r="F24" s="4">
        <f>E24/D24</f>
        <v/>
      </c>
      <c r="G24" s="4">
        <f>E24/1.1/D24</f>
        <v/>
      </c>
    </row>
    <row r="25">
      <c r="A25" s="2" t="inlineStr">
        <is>
          <t>2025년</t>
        </is>
      </c>
      <c r="B25" s="2" t="inlineStr">
        <is>
          <t>진례제일전자공업</t>
        </is>
      </c>
      <c r="C25" s="2" t="inlineStr">
        <is>
          <t>상업/기타</t>
        </is>
      </c>
      <c r="D25" s="3" t="n">
        <v>25.7</v>
      </c>
      <c r="E25" s="4" t="n">
        <v>58190000</v>
      </c>
      <c r="F25" s="4">
        <f>E25/D25</f>
        <v/>
      </c>
      <c r="G25" s="4">
        <f>E25/1.1/D25</f>
        <v/>
      </c>
    </row>
    <row r="26">
      <c r="A26" s="2" t="inlineStr">
        <is>
          <t>2025년</t>
        </is>
      </c>
      <c r="B26" s="2" t="inlineStr">
        <is>
          <t>서경방송</t>
        </is>
      </c>
      <c r="C26" s="2" t="inlineStr">
        <is>
          <t>상업/기타</t>
        </is>
      </c>
      <c r="D26" s="3" t="n">
        <v>158.2</v>
      </c>
      <c r="E26" s="4" t="n">
        <v>291236000</v>
      </c>
      <c r="F26" s="4">
        <f>E26/D26</f>
        <v/>
      </c>
      <c r="G26" s="4">
        <f>E26/1.1/D26</f>
        <v/>
      </c>
    </row>
    <row r="27">
      <c r="A27" s="2" t="inlineStr">
        <is>
          <t>2026년</t>
        </is>
      </c>
      <c r="B27" s="2" t="inlineStr">
        <is>
          <t>지엔티 4공장</t>
        </is>
      </c>
      <c r="C27" s="2" t="inlineStr">
        <is>
          <t>상업/기타</t>
        </is>
      </c>
      <c r="D27" s="3" t="n">
        <v>32</v>
      </c>
      <c r="E27" s="4" t="n">
        <v>53130000</v>
      </c>
      <c r="F27" s="4">
        <f>E27/D27</f>
        <v/>
      </c>
      <c r="G27" s="4">
        <f>E27/1.1/D27</f>
        <v/>
      </c>
    </row>
    <row r="28">
      <c r="A28" s="2" t="inlineStr">
        <is>
          <t>2026년</t>
        </is>
      </c>
      <c r="B28" s="2" t="inlineStr">
        <is>
          <t>팔용동사진관(이담사진관)</t>
        </is>
      </c>
      <c r="C28" s="2" t="inlineStr">
        <is>
          <t>상업/기타</t>
        </is>
      </c>
      <c r="D28" s="3" t="n">
        <v>13.3</v>
      </c>
      <c r="E28" s="4" t="n">
        <v>21703000</v>
      </c>
      <c r="F28" s="4">
        <f>E28/D28</f>
        <v/>
      </c>
      <c r="G28" s="4">
        <f>E28/1.1/D28</f>
        <v/>
      </c>
    </row>
    <row r="29">
      <c r="A29" s="2" t="inlineStr">
        <is>
          <t>2026년</t>
        </is>
      </c>
      <c r="B29" s="2" t="inlineStr">
        <is>
          <t>크랭크샤프트 강당</t>
        </is>
      </c>
      <c r="C29" s="2" t="inlineStr">
        <is>
          <t>상업/기타</t>
        </is>
      </c>
      <c r="D29" s="3" t="n">
        <v>62</v>
      </c>
      <c r="E29" s="4" t="n">
        <v>99924000</v>
      </c>
      <c r="F29" s="4">
        <f>E29/D29</f>
        <v/>
      </c>
      <c r="G29" s="4">
        <f>E29/1.1/D29</f>
        <v/>
      </c>
    </row>
    <row r="30">
      <c r="A30" s="2" t="inlineStr">
        <is>
          <t>2024년</t>
        </is>
      </c>
      <c r="B30" s="2" t="inlineStr">
        <is>
          <t>터보링크</t>
        </is>
      </c>
      <c r="C30" s="2" t="inlineStr">
        <is>
          <t>상업/기타</t>
        </is>
      </c>
      <c r="D30" s="3" t="n">
        <v>24.2</v>
      </c>
      <c r="E30" s="4" t="n">
        <v>33220000</v>
      </c>
      <c r="F30" s="4">
        <f>E30/D30</f>
        <v/>
      </c>
      <c r="G30" s="4">
        <f>E30/1.1/D30</f>
        <v/>
      </c>
    </row>
    <row r="31">
      <c r="A31" s="2" t="inlineStr">
        <is>
          <t>2024년</t>
        </is>
      </c>
      <c r="B31" s="2" t="inlineStr">
        <is>
          <t>현대크랭크 탈의실 샤워실 보수공사</t>
        </is>
      </c>
      <c r="C31" s="2" t="inlineStr">
        <is>
          <t>상업/기타</t>
        </is>
      </c>
      <c r="D31" s="3" t="n">
        <v>28.7</v>
      </c>
      <c r="E31" s="4" t="n">
        <v>23287000</v>
      </c>
      <c r="F31" s="4">
        <f>E31/D31</f>
        <v/>
      </c>
      <c r="G31" s="4">
        <f>E31/1.1/D31</f>
        <v/>
      </c>
    </row>
    <row r="32">
      <c r="A32" s="2" t="inlineStr">
        <is>
          <t>2025년</t>
        </is>
      </c>
      <c r="B32" s="2" t="inlineStr">
        <is>
          <t>구산면 도만카페</t>
        </is>
      </c>
      <c r="C32" s="2" t="inlineStr">
        <is>
          <t>식음료</t>
        </is>
      </c>
      <c r="D32" s="3" t="n">
        <v>39.6</v>
      </c>
      <c r="E32" s="4" t="n">
        <v>178607000</v>
      </c>
      <c r="F32" s="4">
        <f>E32/D32</f>
        <v/>
      </c>
      <c r="G32" s="4">
        <f>E32/1.1/D32</f>
        <v/>
      </c>
    </row>
    <row r="33">
      <c r="A33" s="2" t="inlineStr">
        <is>
          <t>2026년</t>
        </is>
      </c>
      <c r="B33" s="2" t="inlineStr">
        <is>
          <t>북면 반찬가게</t>
        </is>
      </c>
      <c r="C33" s="2" t="inlineStr">
        <is>
          <t>식음료</t>
        </is>
      </c>
      <c r="D33" s="3" t="n">
        <v>10.4</v>
      </c>
      <c r="E33" s="4" t="n">
        <v>39314000</v>
      </c>
      <c r="F33" s="4">
        <f>E33/D33</f>
        <v/>
      </c>
      <c r="G33" s="4">
        <f>E33/1.1/D33</f>
        <v/>
      </c>
    </row>
    <row r="34">
      <c r="A34" s="2" t="inlineStr">
        <is>
          <t>2025년</t>
        </is>
      </c>
      <c r="B34" s="2" t="inlineStr">
        <is>
          <t>양산타코야끼</t>
        </is>
      </c>
      <c r="C34" s="2" t="inlineStr">
        <is>
          <t>식음료</t>
        </is>
      </c>
      <c r="D34" s="3" t="n">
        <v>18.5</v>
      </c>
      <c r="E34" s="4" t="n">
        <v>29469000</v>
      </c>
      <c r="F34" s="4">
        <f>E34/D34</f>
        <v/>
      </c>
      <c r="G34" s="4">
        <f>E34/1.1/D34</f>
        <v/>
      </c>
    </row>
    <row r="35">
      <c r="A35" s="2" t="inlineStr">
        <is>
          <t>2025년</t>
        </is>
      </c>
      <c r="B35" s="2" t="inlineStr">
        <is>
          <t>진해 디아크마린</t>
        </is>
      </c>
      <c r="C35" s="2" t="inlineStr">
        <is>
          <t>식음료</t>
        </is>
      </c>
      <c r="D35" s="3" t="n">
        <v>59.3</v>
      </c>
      <c r="E35" s="4" t="n">
        <v>76824000</v>
      </c>
      <c r="F35" s="4">
        <f>E35/D35</f>
        <v/>
      </c>
      <c r="G35" s="4">
        <f>E35/1.1/D35</f>
        <v/>
      </c>
    </row>
    <row r="36">
      <c r="A36" s="2" t="inlineStr">
        <is>
          <t>2025년</t>
        </is>
      </c>
      <c r="B36" s="2" t="inlineStr">
        <is>
          <t>진해 이우철 삼계탕</t>
        </is>
      </c>
      <c r="C36" s="2" t="inlineStr">
        <is>
          <t>식음료</t>
        </is>
      </c>
      <c r="D36" s="3" t="n">
        <v>110.4</v>
      </c>
      <c r="E36" s="4" t="n">
        <v>99320000</v>
      </c>
      <c r="F36" s="4">
        <f>E36/D36</f>
        <v/>
      </c>
      <c r="G36" s="4">
        <f>E36/1.1/D36</f>
        <v/>
      </c>
    </row>
    <row r="37">
      <c r="A37" s="2" t="inlineStr">
        <is>
          <t>2024년</t>
        </is>
      </c>
      <c r="B37" s="2" t="inlineStr">
        <is>
          <t>진주음악학원</t>
        </is>
      </c>
      <c r="C37" s="2" t="inlineStr">
        <is>
          <t>학원/교습소</t>
        </is>
      </c>
      <c r="D37" s="3" t="n">
        <v>43.1</v>
      </c>
      <c r="E37" s="4" t="n">
        <v>96162000</v>
      </c>
      <c r="F37" s="4">
        <f>E37/D37</f>
        <v/>
      </c>
      <c r="G37" s="4">
        <f>E37/1.1/D37</f>
        <v/>
      </c>
    </row>
    <row r="38">
      <c r="A38" s="2" t="inlineStr">
        <is>
          <t>2024년</t>
        </is>
      </c>
      <c r="B38" s="2" t="inlineStr">
        <is>
          <t>진해교습소</t>
        </is>
      </c>
      <c r="C38" s="2" t="inlineStr">
        <is>
          <t>학원/교습소</t>
        </is>
      </c>
      <c r="D38" s="3" t="n">
        <v>14.5</v>
      </c>
      <c r="E38" s="4" t="n">
        <v>25916000</v>
      </c>
      <c r="F38" s="4">
        <f>E38/D38</f>
        <v/>
      </c>
      <c r="G38" s="4">
        <f>E38/1.1/D38</f>
        <v/>
      </c>
    </row>
    <row r="39">
      <c r="A39" s="2" t="inlineStr">
        <is>
          <t>2026년</t>
        </is>
      </c>
      <c r="B39" s="2" t="inlineStr">
        <is>
          <t>롯데캐슬교습소</t>
        </is>
      </c>
      <c r="C39" s="2" t="inlineStr">
        <is>
          <t>학원/교습소</t>
        </is>
      </c>
      <c r="D39" s="3" t="n">
        <v>9.4</v>
      </c>
      <c r="E39" s="4" t="n">
        <v>15851000</v>
      </c>
      <c r="F39" s="4">
        <f>E39/D39</f>
        <v/>
      </c>
      <c r="G39" s="4">
        <f>E39/1.1/D39</f>
        <v/>
      </c>
    </row>
    <row r="40">
      <c r="A40" s="2" t="inlineStr">
        <is>
          <t>2026년</t>
        </is>
      </c>
      <c r="B40" s="2" t="inlineStr">
        <is>
          <t>반도유보라 교습소</t>
        </is>
      </c>
      <c r="C40" s="2" t="inlineStr">
        <is>
          <t>학원/교습소</t>
        </is>
      </c>
      <c r="D40" s="3" t="n">
        <v>9.4</v>
      </c>
      <c r="E40" s="4" t="n">
        <v>15037000</v>
      </c>
      <c r="F40" s="4">
        <f>E40/D40</f>
        <v/>
      </c>
      <c r="G40" s="4">
        <f>E40/1.1/D40</f>
        <v/>
      </c>
    </row>
    <row r="41">
      <c r="A41" s="2" t="inlineStr">
        <is>
          <t>2025년</t>
        </is>
      </c>
      <c r="B41" s="2" t="inlineStr">
        <is>
          <t>내동교습소</t>
        </is>
      </c>
      <c r="C41" s="2" t="inlineStr">
        <is>
          <t>학원/교습소</t>
        </is>
      </c>
      <c r="D41" s="3" t="n">
        <v>12.4</v>
      </c>
      <c r="E41" s="4" t="n">
        <v>18282000</v>
      </c>
      <c r="F41" s="4">
        <f>E41/D41</f>
        <v/>
      </c>
      <c r="G41" s="4">
        <f>E41/1.1/D41</f>
        <v/>
      </c>
    </row>
    <row r="42">
      <c r="A42" s="2" t="inlineStr">
        <is>
          <t>2025년</t>
        </is>
      </c>
      <c r="B42" s="2" t="inlineStr">
        <is>
          <t>회원동교습소</t>
        </is>
      </c>
      <c r="C42" s="2" t="inlineStr">
        <is>
          <t>학원/교습소</t>
        </is>
      </c>
      <c r="D42" s="3" t="n">
        <v>25.7</v>
      </c>
      <c r="E42" s="4" t="n">
        <v>30338000</v>
      </c>
      <c r="F42" s="4">
        <f>E42/D42</f>
        <v/>
      </c>
      <c r="G42" s="4">
        <f>E42/1.1/D42</f>
        <v/>
      </c>
    </row>
    <row r="43">
      <c r="A43" s="2" t="inlineStr">
        <is>
          <t>2026년</t>
        </is>
      </c>
      <c r="B43" s="2" t="inlineStr">
        <is>
          <t>어반브릭스 기타 학원</t>
        </is>
      </c>
      <c r="C43" s="2" t="inlineStr">
        <is>
          <t>학원/교습소</t>
        </is>
      </c>
      <c r="D43" s="3" t="n">
        <v>12.2</v>
      </c>
      <c r="E43" s="4" t="n">
        <v>11836000</v>
      </c>
      <c r="F43" s="4">
        <f>E43/D43</f>
        <v/>
      </c>
      <c r="G43" s="4">
        <f>E43/1.1/D43</f>
        <v/>
      </c>
    </row>
    <row r="44">
      <c r="A44" s="2" t="inlineStr">
        <is>
          <t>2024년</t>
        </is>
      </c>
      <c r="B44" s="2" t="inlineStr">
        <is>
          <t>문소영수학관리</t>
        </is>
      </c>
      <c r="C44" s="2" t="inlineStr">
        <is>
          <t>학원/교습소</t>
        </is>
      </c>
      <c r="D44" s="3" t="n">
        <v>45.4</v>
      </c>
      <c r="E44" s="4" t="n">
        <v>31999000</v>
      </c>
      <c r="F44" s="4">
        <f>E44/D44</f>
        <v/>
      </c>
      <c r="G44" s="4">
        <f>E44/1.1/D44</f>
        <v/>
      </c>
    </row>
    <row r="45">
      <c r="A45" s="2" t="inlineStr">
        <is>
          <t>2026년</t>
        </is>
      </c>
      <c r="B45" s="2" t="inlineStr">
        <is>
          <t>어반브릭스 컴퓨터학원</t>
        </is>
      </c>
      <c r="C45" s="2" t="inlineStr">
        <is>
          <t>학원/교습소</t>
        </is>
      </c>
      <c r="D45" s="3" t="n">
        <v>26.3</v>
      </c>
      <c r="E45" s="4" t="n">
        <v>15466000</v>
      </c>
      <c r="F45" s="4">
        <f>E45/D45</f>
        <v/>
      </c>
      <c r="G45" s="4">
        <f>E45/1.1/D45</f>
        <v/>
      </c>
    </row>
    <row r="47">
      <c r="A47" s="5" t="inlineStr">
        <is>
          <t>※ 본공사(전체 인테리어)이면서 견적서에서 면적이 확인되는 44건만. 부분공사·추가공사·가구단독·원상복구 도급·일부공정 견적은 제외 (전체목록의 구분 참조).</t>
        </is>
      </c>
    </row>
  </sheetData>
  <autoFilter ref="A1:G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업종</t>
        </is>
      </c>
      <c r="B1" s="1" t="inlineStr">
        <is>
          <t>건수</t>
        </is>
      </c>
      <c r="C1" s="1" t="inlineStr">
        <is>
          <t>평당가 중앙값</t>
        </is>
      </c>
      <c r="D1" s="1" t="inlineStr">
        <is>
          <t>평균</t>
        </is>
      </c>
      <c r="E1" s="1" t="inlineStr">
        <is>
          <t>최소</t>
        </is>
      </c>
      <c r="F1" s="1" t="inlineStr">
        <is>
          <t>최대</t>
        </is>
      </c>
      <c r="G1" s="1" t="inlineStr">
        <is>
          <t>평균 평수</t>
        </is>
      </c>
    </row>
    <row r="2">
      <c r="A2" s="2" t="inlineStr">
        <is>
          <t>사무실</t>
        </is>
      </c>
      <c r="B2" s="2" t="n">
        <v>11</v>
      </c>
      <c r="C2" s="4" t="n">
        <v>1626906.693711968</v>
      </c>
      <c r="D2" s="4" t="n">
        <v>1588209.538087873</v>
      </c>
      <c r="E2" s="4" t="n">
        <v>692241.3793103449</v>
      </c>
      <c r="F2" s="4" t="n">
        <v>3894114.583333333</v>
      </c>
      <c r="G2" s="3" t="n">
        <v>36.93636363636364</v>
      </c>
    </row>
    <row r="3">
      <c r="A3" s="2" t="inlineStr">
        <is>
          <t>학원/교습소</t>
        </is>
      </c>
      <c r="B3" s="2" t="n">
        <v>9</v>
      </c>
      <c r="C3" s="4" t="n">
        <v>1474354.838709677</v>
      </c>
      <c r="D3" s="4" t="n">
        <v>1358030.556315719</v>
      </c>
      <c r="E3" s="4" t="n">
        <v>588060.8365019012</v>
      </c>
      <c r="F3" s="4" t="n">
        <v>2231136.890951276</v>
      </c>
      <c r="G3" s="3" t="n">
        <v>22.04444444444444</v>
      </c>
    </row>
    <row r="4">
      <c r="A4" s="2" t="inlineStr">
        <is>
          <t>뷰티/미용</t>
        </is>
      </c>
      <c r="B4" s="2" t="n">
        <v>9</v>
      </c>
      <c r="C4" s="4" t="n">
        <v>2263953.488372093</v>
      </c>
      <c r="D4" s="4" t="n">
        <v>2306415.841296312</v>
      </c>
      <c r="E4" s="4" t="n">
        <v>1492594.142259414</v>
      </c>
      <c r="F4" s="4" t="n">
        <v>3253800</v>
      </c>
      <c r="G4" s="3" t="n">
        <v>12.04444444444444</v>
      </c>
    </row>
    <row r="5">
      <c r="A5" s="2" t="inlineStr">
        <is>
          <t>상업/기타</t>
        </is>
      </c>
      <c r="B5" s="2" t="n">
        <v>8</v>
      </c>
      <c r="C5" s="4" t="n">
        <v>1646058.505639098</v>
      </c>
      <c r="D5" s="4" t="n">
        <v>1738436.172636444</v>
      </c>
      <c r="E5" s="4" t="n">
        <v>811393.7282229966</v>
      </c>
      <c r="F5" s="4" t="n">
        <v>2714436.090225564</v>
      </c>
      <c r="G5" s="3" t="n">
        <v>46.3375</v>
      </c>
    </row>
    <row r="6">
      <c r="A6" s="2" t="inlineStr">
        <is>
          <t>식음료</t>
        </is>
      </c>
      <c r="B6" s="2" t="n">
        <v>5</v>
      </c>
      <c r="C6" s="4" t="n">
        <v>1592918.918918919</v>
      </c>
      <c r="D6" s="4" t="n">
        <v>2415708.203888774</v>
      </c>
      <c r="E6" s="4" t="n">
        <v>899637.6811594203</v>
      </c>
      <c r="F6" s="4" t="n">
        <v>4510277.777777778</v>
      </c>
      <c r="G6" s="3" t="n">
        <v>47.64</v>
      </c>
    </row>
    <row r="7">
      <c r="A7" s="2" t="inlineStr">
        <is>
          <t>대학/공공</t>
        </is>
      </c>
      <c r="B7" s="2" t="n">
        <v>2</v>
      </c>
      <c r="C7" s="4" t="n">
        <v>1277736.995624696</v>
      </c>
      <c r="D7" s="4" t="n">
        <v>1277736.995624696</v>
      </c>
      <c r="E7" s="4" t="n">
        <v>1171176.470588235</v>
      </c>
      <c r="F7" s="4" t="n">
        <v>1384297.520661157</v>
      </c>
      <c r="G7" s="3" t="n">
        <v>25.7</v>
      </c>
    </row>
    <row r="8">
      <c r="A8" s="6" t="inlineStr">
        <is>
          <t>전체</t>
        </is>
      </c>
      <c r="B8" s="6" t="n">
        <v>44</v>
      </c>
      <c r="C8" s="7" t="n">
        <v>1645053.199035324</v>
      </c>
      <c r="D8" s="7" t="n">
        <v>1795268.792937721</v>
      </c>
      <c r="E8" s="7" t="n">
        <v>588060.8365019012</v>
      </c>
      <c r="F8" s="7" t="n">
        <v>4510277.777777778</v>
      </c>
      <c r="G8" s="8" t="n">
        <v>31.21363636363636</v>
      </c>
    </row>
    <row r="10">
      <c r="A10" s="5" t="inlineStr">
        <is>
          <t>※ VAT 포함 기준. 업종은 90건 전체 수동 분류 (자동 키워드 분류 아님).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14" customWidth="1" min="5" max="5"/>
    <col width="9" customWidth="1" min="6" max="6"/>
    <col width="9" customWidth="1" min="7" max="7"/>
    <col width="15" customWidth="1" min="8" max="8"/>
    <col width="9" customWidth="1" min="9" max="9"/>
  </cols>
  <sheetData>
    <row r="1">
      <c r="A1" s="1" t="inlineStr">
        <is>
          <t>공종</t>
        </is>
      </c>
      <c r="B1" s="1" t="inlineStr">
        <is>
          <t>등장 현장수</t>
        </is>
      </c>
      <c r="C1" s="1" t="inlineStr">
        <is>
          <t>등장률</t>
        </is>
      </c>
      <c r="D1" s="1" t="inlineStr">
        <is>
          <t>금액 비중</t>
        </is>
      </c>
      <c r="E1" s="1" t="inlineStr">
        <is>
          <t>평당금액 중앙값</t>
        </is>
      </c>
      <c r="F1" s="1" t="inlineStr">
        <is>
          <t>재료비 비율</t>
        </is>
      </c>
      <c r="G1" s="1" t="inlineStr">
        <is>
          <t>노무비 비율</t>
        </is>
      </c>
      <c r="H1" s="1" t="inlineStr">
        <is>
          <t>평당 투입품 중앙값</t>
        </is>
      </c>
      <c r="I1" s="1" t="inlineStr">
        <is>
          <t>총 투입품</t>
        </is>
      </c>
    </row>
    <row r="2">
      <c r="A2" s="2" t="inlineStr">
        <is>
          <t>목작업</t>
        </is>
      </c>
      <c r="B2" s="2" t="n">
        <v>43</v>
      </c>
      <c r="C2" s="9" t="n">
        <v>0.9772727272727273</v>
      </c>
      <c r="D2" s="9" t="n">
        <v>0.2499402461017315</v>
      </c>
      <c r="E2" s="4" t="n">
        <v>395574.4680851063</v>
      </c>
      <c r="F2" s="9" t="n">
        <v>0.4122284695664829</v>
      </c>
      <c r="G2" s="9" t="n">
        <v>0.5298166104992772</v>
      </c>
      <c r="H2" s="2" t="n">
        <v>0.7</v>
      </c>
      <c r="I2" s="2" t="n">
        <v>754</v>
      </c>
    </row>
    <row r="3">
      <c r="A3" s="2" t="inlineStr">
        <is>
          <t>전기</t>
        </is>
      </c>
      <c r="B3" s="2" t="n">
        <v>41</v>
      </c>
      <c r="C3" s="9" t="n">
        <v>0.9318181818181818</v>
      </c>
      <c r="D3" s="9" t="n">
        <v>0.1325357441527028</v>
      </c>
      <c r="E3" s="4" t="n">
        <v>169744.9275362319</v>
      </c>
      <c r="F3" s="9" t="n">
        <v>0.543199692048861</v>
      </c>
      <c r="G3" s="9" t="n">
        <v>0.4315266726662597</v>
      </c>
      <c r="H3" s="2" t="n">
        <v>0.29</v>
      </c>
      <c r="I3" s="2" t="n">
        <v>341.5</v>
      </c>
    </row>
    <row r="4">
      <c r="A4" s="2" t="inlineStr">
        <is>
          <t>가구</t>
        </is>
      </c>
      <c r="B4" s="2" t="n">
        <v>30</v>
      </c>
      <c r="C4" s="9" t="n">
        <v>0.6818181818181818</v>
      </c>
      <c r="D4" s="9" t="n">
        <v>0.08541951726739248</v>
      </c>
      <c r="E4" s="4" t="n">
        <v>127375.4818673432</v>
      </c>
      <c r="F4" s="9" t="n">
        <v>0.9805386785288055</v>
      </c>
      <c r="G4" s="9" t="n">
        <v>0.01661332320711728</v>
      </c>
      <c r="H4" s="2" t="n">
        <v>0.11</v>
      </c>
      <c r="I4" s="2" t="n">
        <v>9</v>
      </c>
    </row>
    <row r="5">
      <c r="A5" s="2" t="inlineStr">
        <is>
          <t>수장</t>
        </is>
      </c>
      <c r="B5" s="2" t="n">
        <v>19</v>
      </c>
      <c r="C5" s="9" t="n">
        <v>0.4318181818181818</v>
      </c>
      <c r="D5" s="9" t="n">
        <v>0.05150355753215529</v>
      </c>
      <c r="E5" s="4" t="n">
        <v>186808.5106382979</v>
      </c>
      <c r="F5" s="9" t="n">
        <v>0.434017859151128</v>
      </c>
      <c r="G5" s="9" t="n">
        <v>0.4834791605749117</v>
      </c>
      <c r="H5" s="2" t="n">
        <v>0.32</v>
      </c>
      <c r="I5" s="2" t="n">
        <v>156</v>
      </c>
    </row>
    <row r="6">
      <c r="A6" s="2" t="inlineStr">
        <is>
          <t>타일</t>
        </is>
      </c>
      <c r="B6" s="2" t="n">
        <v>14</v>
      </c>
      <c r="C6" s="9" t="n">
        <v>0.3181818181818182</v>
      </c>
      <c r="D6" s="9" t="n">
        <v>0.05068598098458744</v>
      </c>
      <c r="E6" s="4" t="n">
        <v>164857.4901928735</v>
      </c>
      <c r="F6" s="9" t="n">
        <v>0.5059567003594019</v>
      </c>
      <c r="G6" s="9" t="n">
        <v>0.4265968813745264</v>
      </c>
      <c r="H6" s="2" t="n">
        <v>0.22</v>
      </c>
      <c r="I6" s="2" t="n">
        <v>125</v>
      </c>
    </row>
    <row r="7">
      <c r="A7" s="2" t="inlineStr">
        <is>
          <t>냉난방</t>
        </is>
      </c>
      <c r="B7" s="2" t="n">
        <v>14</v>
      </c>
      <c r="C7" s="9" t="n">
        <v>0.3181818181818182</v>
      </c>
      <c r="D7" s="9" t="n">
        <v>0.04668556127096556</v>
      </c>
      <c r="E7" s="4" t="n">
        <v>197730.2379988303</v>
      </c>
      <c r="F7" s="9" t="n">
        <v>0.9900744416873449</v>
      </c>
      <c r="G7" s="9" t="n">
        <v>0.009925558312655087</v>
      </c>
      <c r="H7" s="2" t="n">
        <v>0.04</v>
      </c>
      <c r="I7" s="2" t="n">
        <v>1</v>
      </c>
    </row>
    <row r="8">
      <c r="A8" s="2" t="inlineStr">
        <is>
          <t>철거</t>
        </is>
      </c>
      <c r="B8" s="2" t="n">
        <v>23</v>
      </c>
      <c r="C8" s="9" t="n">
        <v>0.5227272727272727</v>
      </c>
      <c r="D8" s="9" t="n">
        <v>0.04311000333392251</v>
      </c>
      <c r="E8" s="4" t="n">
        <v>90082.64462809918</v>
      </c>
      <c r="F8" s="9" t="n">
        <v>0.2739597189192094</v>
      </c>
      <c r="G8" s="9" t="n">
        <v>0.4503741921614468</v>
      </c>
      <c r="H8" s="2" t="n">
        <v>0.17</v>
      </c>
      <c r="I8" s="2" t="n">
        <v>140</v>
      </c>
    </row>
    <row r="9">
      <c r="A9" s="2" t="inlineStr">
        <is>
          <t>도장</t>
        </is>
      </c>
      <c r="B9" s="2" t="n">
        <v>11</v>
      </c>
      <c r="C9" s="9" t="n">
        <v>0.25</v>
      </c>
      <c r="D9" s="9" t="n">
        <v>0.04302601566166084</v>
      </c>
      <c r="E9" s="4" t="n">
        <v>125145.3855878635</v>
      </c>
      <c r="F9" s="9" t="n">
        <v>0.5422578821248755</v>
      </c>
      <c r="G9" s="9" t="n">
        <v>0.4333485905064484</v>
      </c>
      <c r="H9" s="2" t="n">
        <v>0.1</v>
      </c>
      <c r="I9" s="2" t="n">
        <v>72</v>
      </c>
    </row>
    <row r="10">
      <c r="A10" s="2" t="inlineStr">
        <is>
          <t>금속</t>
        </is>
      </c>
      <c r="B10" s="2" t="n">
        <v>16</v>
      </c>
      <c r="C10" s="9" t="n">
        <v>0.3636363636363636</v>
      </c>
      <c r="D10" s="9" t="n">
        <v>0.0402411002945293</v>
      </c>
      <c r="E10" s="4" t="n">
        <v>107715.9350160571</v>
      </c>
      <c r="F10" s="9" t="n">
        <v>0.8732475458444886</v>
      </c>
      <c r="G10" s="9" t="n">
        <v>0.114287359299882</v>
      </c>
      <c r="H10" s="2" t="n">
        <v>0.07000000000000001</v>
      </c>
      <c r="I10" s="2" t="n">
        <v>29</v>
      </c>
    </row>
    <row r="11">
      <c r="A11" s="2" t="inlineStr">
        <is>
          <t>가설</t>
        </is>
      </c>
      <c r="B11" s="2" t="n">
        <v>44</v>
      </c>
      <c r="C11" s="9" t="n">
        <v>1</v>
      </c>
      <c r="D11" s="9" t="n">
        <v>0.03649126909599395</v>
      </c>
      <c r="E11" s="4" t="n">
        <v>52046.23655913978</v>
      </c>
      <c r="F11" s="9" t="n">
        <v>0.1996995815579864</v>
      </c>
      <c r="G11" s="9" t="n">
        <v>0.5005794353398685</v>
      </c>
      <c r="H11" s="2" t="n"/>
      <c r="I11" s="2" t="n"/>
    </row>
    <row r="12">
      <c r="A12" s="2" t="inlineStr">
        <is>
          <t>설비</t>
        </is>
      </c>
      <c r="B12" s="2" t="n">
        <v>23</v>
      </c>
      <c r="C12" s="9" t="n">
        <v>0.5227272727272727</v>
      </c>
      <c r="D12" s="9" t="n">
        <v>0.03598640066281866</v>
      </c>
      <c r="E12" s="4" t="n">
        <v>113305.0847457627</v>
      </c>
      <c r="F12" s="9" t="n">
        <v>0.6305560250126754</v>
      </c>
      <c r="G12" s="9" t="n">
        <v>0.3426768713231448</v>
      </c>
      <c r="H12" s="2" t="n">
        <v>0.11</v>
      </c>
      <c r="I12" s="2" t="n">
        <v>73</v>
      </c>
    </row>
    <row r="13">
      <c r="A13" s="2" t="inlineStr">
        <is>
          <t>필름</t>
        </is>
      </c>
      <c r="B13" s="2" t="n">
        <v>22</v>
      </c>
      <c r="C13" s="9" t="n">
        <v>0.5</v>
      </c>
      <c r="D13" s="9" t="n">
        <v>0.02858071525798082</v>
      </c>
      <c r="E13" s="4" t="n">
        <v>41021.73561732385</v>
      </c>
      <c r="F13" s="9" t="n">
        <v>0.3922136878584602</v>
      </c>
      <c r="G13" s="9" t="n">
        <v>0.5788055043268548</v>
      </c>
      <c r="H13" s="2" t="n">
        <v>0.1</v>
      </c>
      <c r="I13" s="2" t="n">
        <v>99</v>
      </c>
    </row>
    <row r="14">
      <c r="A14" s="2" t="inlineStr">
        <is>
          <t>바닥</t>
        </is>
      </c>
      <c r="B14" s="2" t="n">
        <v>14</v>
      </c>
      <c r="C14" s="9" t="n">
        <v>0.3181818181818182</v>
      </c>
      <c r="D14" s="9" t="n">
        <v>0.02005133272081452</v>
      </c>
      <c r="E14" s="4" t="n">
        <v>81376.34408602151</v>
      </c>
      <c r="F14" s="9" t="n">
        <v>0.5954358344767819</v>
      </c>
      <c r="G14" s="9" t="n">
        <v>0.3405791868274717</v>
      </c>
      <c r="H14" s="2" t="n">
        <v>0.1</v>
      </c>
      <c r="I14" s="2" t="n">
        <v>46</v>
      </c>
    </row>
    <row r="15">
      <c r="A15" s="2" t="inlineStr">
        <is>
          <t>도배</t>
        </is>
      </c>
      <c r="B15" s="2" t="n">
        <v>17</v>
      </c>
      <c r="C15" s="9" t="n">
        <v>0.3863636363636364</v>
      </c>
      <c r="D15" s="9" t="n">
        <v>0.01793976679509113</v>
      </c>
      <c r="E15" s="4" t="n">
        <v>85652.17391304347</v>
      </c>
      <c r="F15" s="9" t="n">
        <v>0.3973911920444272</v>
      </c>
      <c r="G15" s="9" t="n">
        <v>0.5666408368849283</v>
      </c>
      <c r="H15" s="2" t="n">
        <v>0.18</v>
      </c>
      <c r="I15" s="2" t="n">
        <v>63</v>
      </c>
    </row>
    <row r="16">
      <c r="A16" s="2" t="inlineStr">
        <is>
          <t>기타작업</t>
        </is>
      </c>
      <c r="B16" s="2" t="n">
        <v>10</v>
      </c>
      <c r="C16" s="9" t="n">
        <v>0.2272727272727273</v>
      </c>
      <c r="D16" s="9" t="n">
        <v>0.01503616700022332</v>
      </c>
      <c r="E16" s="4" t="n">
        <v>35649.7105595848</v>
      </c>
      <c r="F16" s="9" t="n">
        <v>0.6891264095539837</v>
      </c>
      <c r="G16" s="9" t="n">
        <v>0.2831376883742263</v>
      </c>
      <c r="H16" s="2" t="n">
        <v>0.08</v>
      </c>
      <c r="I16" s="2" t="n">
        <v>27</v>
      </c>
    </row>
    <row r="17">
      <c r="A17" s="2" t="inlineStr">
        <is>
          <t>집기류</t>
        </is>
      </c>
      <c r="B17" s="2" t="n">
        <v>2</v>
      </c>
      <c r="C17" s="9" t="n">
        <v>0.04545454545454546</v>
      </c>
      <c r="D17" s="9" t="n">
        <v>0.01345772122294806</v>
      </c>
      <c r="E17" s="4" t="n">
        <v>260053.5857104772</v>
      </c>
      <c r="F17" s="9" t="n">
        <v>0.9870878884393561</v>
      </c>
      <c r="G17" s="9" t="n">
        <v>0</v>
      </c>
      <c r="H17" s="2" t="n"/>
      <c r="I17" s="2" t="n"/>
    </row>
    <row r="18">
      <c r="A18" s="2" t="inlineStr">
        <is>
          <t>소방</t>
        </is>
      </c>
      <c r="B18" s="2" t="n">
        <v>12</v>
      </c>
      <c r="C18" s="9" t="n">
        <v>0.2727272727272727</v>
      </c>
      <c r="D18" s="9" t="n">
        <v>0.01258511826941569</v>
      </c>
      <c r="E18" s="4" t="n">
        <v>34490.4319300164</v>
      </c>
      <c r="F18" s="9" t="n">
        <v>0.5290300310666206</v>
      </c>
      <c r="G18" s="9" t="n">
        <v>0.4492003221723622</v>
      </c>
      <c r="H18" s="2" t="n">
        <v>0.07000000000000001</v>
      </c>
      <c r="I18" s="2" t="n">
        <v>35</v>
      </c>
    </row>
    <row r="19">
      <c r="A19" s="2" t="inlineStr">
        <is>
          <t>징크작업</t>
        </is>
      </c>
      <c r="B19" s="2" t="n">
        <v>1</v>
      </c>
      <c r="C19" s="9" t="n">
        <v>0.02272727272727273</v>
      </c>
      <c r="D19" s="9" t="n">
        <v>0.009782999910103651</v>
      </c>
      <c r="E19" s="4" t="n">
        <v>879677.0833333334</v>
      </c>
      <c r="F19" s="9" t="n">
        <v>0.5796279411242288</v>
      </c>
      <c r="G19" s="9" t="n">
        <v>0.3730061930869519</v>
      </c>
      <c r="H19" s="2" t="n">
        <v>1.09</v>
      </c>
      <c r="I19" s="2" t="n">
        <v>21</v>
      </c>
    </row>
    <row r="20">
      <c r="A20" s="2" t="inlineStr">
        <is>
          <t>경량</t>
        </is>
      </c>
      <c r="B20" s="2" t="n">
        <v>2</v>
      </c>
      <c r="C20" s="9" t="n">
        <v>0.04545454545454546</v>
      </c>
      <c r="D20" s="9" t="n">
        <v>0.00920910345715982</v>
      </c>
      <c r="E20" s="4" t="n">
        <v>165788.3491389992</v>
      </c>
      <c r="F20" s="9" t="n">
        <v>0.8666582803949934</v>
      </c>
      <c r="G20" s="9" t="n">
        <v>0.1132146675891565</v>
      </c>
      <c r="H20" s="2" t="n"/>
      <c r="I20" s="2" t="n"/>
    </row>
    <row r="21">
      <c r="A21" s="2" t="inlineStr">
        <is>
          <t>싸인</t>
        </is>
      </c>
      <c r="B21" s="2" t="n">
        <v>8</v>
      </c>
      <c r="C21" s="9" t="n">
        <v>0.1818181818181818</v>
      </c>
      <c r="D21" s="9" t="n">
        <v>0.008747750485046618</v>
      </c>
      <c r="E21" s="4" t="n">
        <v>40778.89792870337</v>
      </c>
      <c r="F21" s="9" t="n">
        <v>0.9470286376427743</v>
      </c>
      <c r="G21" s="9" t="n">
        <v>0.02979639132593941</v>
      </c>
      <c r="H21" s="2" t="n">
        <v>0.02</v>
      </c>
      <c r="I21" s="2" t="n">
        <v>2</v>
      </c>
    </row>
    <row r="22">
      <c r="A22" s="2" t="inlineStr">
        <is>
          <t>마당포장공사</t>
        </is>
      </c>
      <c r="B22" s="2" t="n">
        <v>1</v>
      </c>
      <c r="C22" s="9" t="n">
        <v>0.02272727272727273</v>
      </c>
      <c r="D22" s="9" t="n">
        <v>0.007861246123691622</v>
      </c>
      <c r="E22" s="4" t="n">
        <v>342727.2727272727</v>
      </c>
      <c r="F22" s="9" t="n">
        <v>0.6716033009136457</v>
      </c>
      <c r="G22" s="9" t="n">
        <v>0.1809608016504568</v>
      </c>
      <c r="H22" s="2" t="n"/>
      <c r="I22" s="2" t="n"/>
    </row>
    <row r="23">
      <c r="A23" s="2" t="inlineStr">
        <is>
          <t>샷시</t>
        </is>
      </c>
      <c r="B23" s="2" t="n">
        <v>3</v>
      </c>
      <c r="C23" s="9" t="n">
        <v>0.06818181818181818</v>
      </c>
      <c r="D23" s="9" t="n">
        <v>0.006220300775296516</v>
      </c>
      <c r="E23" s="4" t="n">
        <v>110627.1777003484</v>
      </c>
      <c r="F23" s="9" t="n">
        <v>0.8267995157835926</v>
      </c>
      <c r="G23" s="9" t="n">
        <v>0.1601638886302263</v>
      </c>
      <c r="H23" s="2" t="n">
        <v>0.07000000000000001</v>
      </c>
      <c r="I23" s="2" t="n">
        <v>6</v>
      </c>
    </row>
    <row r="24">
      <c r="A24" s="2" t="inlineStr">
        <is>
          <t>비품</t>
        </is>
      </c>
      <c r="B24" s="2" t="n">
        <v>1</v>
      </c>
      <c r="C24" s="9" t="n">
        <v>0.02272727272727273</v>
      </c>
      <c r="D24" s="9" t="n">
        <v>0.006186126481065909</v>
      </c>
      <c r="E24" s="4" t="n">
        <v>392647.0588235294</v>
      </c>
      <c r="F24" s="9" t="n">
        <v>1</v>
      </c>
      <c r="G24" s="9" t="n">
        <v>0</v>
      </c>
      <c r="H24" s="2" t="n"/>
      <c r="I24" s="2" t="n"/>
    </row>
    <row r="25">
      <c r="A25" s="2" t="inlineStr">
        <is>
          <t>샤워실</t>
        </is>
      </c>
      <c r="B25" s="2" t="n">
        <v>1</v>
      </c>
      <c r="C25" s="9" t="n">
        <v>0.02272727272727273</v>
      </c>
      <c r="D25" s="9" t="n">
        <v>0.006080417859081403</v>
      </c>
      <c r="E25" s="4" t="n">
        <v>365766.5505226481</v>
      </c>
      <c r="F25" s="9" t="n">
        <v>0.7094546320552513</v>
      </c>
      <c r="G25" s="9" t="n">
        <v>0.2905453679447487</v>
      </c>
      <c r="H25" s="2" t="n">
        <v>0.42</v>
      </c>
      <c r="I25" s="2" t="n">
        <v>12</v>
      </c>
    </row>
    <row r="26">
      <c r="A26" s="2" t="inlineStr">
        <is>
          <t>기타</t>
        </is>
      </c>
      <c r="B26" s="2" t="n">
        <v>4</v>
      </c>
      <c r="C26" s="9" t="n">
        <v>0.09090909090909091</v>
      </c>
      <c r="D26" s="9" t="n">
        <v>0.00378871401544055</v>
      </c>
      <c r="E26" s="4" t="n">
        <v>41912.63282172373</v>
      </c>
      <c r="F26" s="9" t="n">
        <v>0.8555264162891251</v>
      </c>
      <c r="G26" s="9" t="n">
        <v>0.1383583126866495</v>
      </c>
      <c r="H26" s="2" t="n"/>
      <c r="I26" s="2" t="n"/>
    </row>
    <row r="27">
      <c r="A27" s="2" t="inlineStr">
        <is>
          <t>화장실</t>
        </is>
      </c>
      <c r="B27" s="2" t="n">
        <v>1</v>
      </c>
      <c r="C27" s="9" t="n">
        <v>0.02272727272727273</v>
      </c>
      <c r="D27" s="9" t="n">
        <v>0.003571213747098489</v>
      </c>
      <c r="E27" s="4" t="n">
        <v>321119.7916666667</v>
      </c>
      <c r="F27" s="9" t="n">
        <v>0.5150433865866515</v>
      </c>
      <c r="G27" s="9" t="n">
        <v>0.3892628335090422</v>
      </c>
      <c r="H27" s="2" t="n">
        <v>0.42</v>
      </c>
      <c r="I27" s="2" t="n">
        <v>8</v>
      </c>
    </row>
    <row r="28">
      <c r="A28" s="2" t="inlineStr">
        <is>
          <t>닥트</t>
        </is>
      </c>
      <c r="B28" s="2" t="n">
        <v>3</v>
      </c>
      <c r="C28" s="9" t="n">
        <v>0.06818181818181818</v>
      </c>
      <c r="D28" s="9" t="n">
        <v>0.003129554436067332</v>
      </c>
      <c r="E28" s="4" t="n">
        <v>97459.45945945945</v>
      </c>
      <c r="F28" s="9" t="n">
        <v>0.6816583379603923</v>
      </c>
      <c r="G28" s="9" t="n">
        <v>0.2887284841754581</v>
      </c>
      <c r="H28" s="2" t="n">
        <v>0.11</v>
      </c>
      <c r="I28" s="2" t="n">
        <v>6</v>
      </c>
    </row>
    <row r="29">
      <c r="A29" s="2" t="inlineStr">
        <is>
          <t>블라인드</t>
        </is>
      </c>
      <c r="B29" s="2" t="n">
        <v>6</v>
      </c>
      <c r="C29" s="9" t="n">
        <v>0.1363636363636364</v>
      </c>
      <c r="D29" s="9" t="n">
        <v>0.002827198815925346</v>
      </c>
      <c r="E29" s="4" t="n">
        <v>17218.75</v>
      </c>
      <c r="F29" s="9" t="n">
        <v>0.8565867650071707</v>
      </c>
      <c r="G29" s="9" t="n">
        <v>0.1434132349928293</v>
      </c>
      <c r="H29" s="2" t="n">
        <v>0.03</v>
      </c>
      <c r="I29" s="2" t="n">
        <v>5</v>
      </c>
    </row>
    <row r="30">
      <c r="A30" s="2" t="inlineStr">
        <is>
          <t>갈바작업</t>
        </is>
      </c>
      <c r="B30" s="2" t="n">
        <v>1</v>
      </c>
      <c r="C30" s="9" t="n">
        <v>0.02272727272727273</v>
      </c>
      <c r="D30" s="9" t="n">
        <v>0.001787489355858557</v>
      </c>
      <c r="E30" s="4" t="n">
        <v>166810.8108108108</v>
      </c>
      <c r="F30" s="9" t="n">
        <v>0.712896953985742</v>
      </c>
      <c r="G30" s="9" t="n">
        <v>0.2430330524951393</v>
      </c>
      <c r="H30" s="2" t="n">
        <v>0.16</v>
      </c>
      <c r="I30" s="2" t="n">
        <v>3</v>
      </c>
    </row>
    <row r="31">
      <c r="A31" s="2" t="inlineStr">
        <is>
          <t>텍스</t>
        </is>
      </c>
      <c r="B31" s="2" t="n">
        <v>1</v>
      </c>
      <c r="C31" s="9" t="n">
        <v>0.02272727272727273</v>
      </c>
      <c r="D31" s="9" t="n">
        <v>0.001629360841876255</v>
      </c>
      <c r="E31" s="4" t="n">
        <v>95033.78378378377</v>
      </c>
      <c r="F31" s="9" t="n">
        <v>0.541414859580519</v>
      </c>
      <c r="G31" s="9" t="n">
        <v>0.4372555990046214</v>
      </c>
      <c r="H31" s="2" t="n">
        <v>0.14</v>
      </c>
      <c r="I31" s="2" t="n">
        <v>4</v>
      </c>
    </row>
    <row r="32">
      <c r="A32" s="2" t="inlineStr">
        <is>
          <t>영상</t>
        </is>
      </c>
      <c r="B32" s="2" t="n">
        <v>1</v>
      </c>
      <c r="C32" s="9" t="n">
        <v>0.02272727272727273</v>
      </c>
      <c r="D32" s="9" t="n">
        <v>0.00150308972082079</v>
      </c>
      <c r="E32" s="4" t="n">
        <v>43760.53962900506</v>
      </c>
      <c r="F32" s="9" t="n">
        <v>0.8651252408477842</v>
      </c>
      <c r="G32" s="9" t="n">
        <v>0.1348747591522158</v>
      </c>
      <c r="H32" s="2" t="n">
        <v>0.02</v>
      </c>
      <c r="I32" s="2" t="n">
        <v>1</v>
      </c>
    </row>
    <row r="34">
      <c r="A34" s="5" t="inlineStr">
        <is>
          <t>※ 본공사 44건의 내역서 [소계] 기준 (직접공사비, VAT·간접비 제외). 투입품 = 내역서의 "인" 단위 수량.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</cols>
  <sheetData>
    <row r="1">
      <c r="A1" s="1" t="inlineStr">
        <is>
          <t>항목</t>
        </is>
      </c>
      <c r="B1" s="1" t="inlineStr">
        <is>
          <t>표준값</t>
        </is>
      </c>
      <c r="C1" s="1" t="inlineStr">
        <is>
          <t>비고</t>
        </is>
      </c>
    </row>
    <row r="2">
      <c r="A2" s="2" t="inlineStr">
        <is>
          <t>고용보험</t>
        </is>
      </c>
      <c r="B2" s="10" t="n">
        <v>0.0101</v>
      </c>
      <c r="C2" s="2" t="inlineStr">
        <is>
          <t>노무비 기준 (견적서 86건 중 85건 동일)</t>
        </is>
      </c>
    </row>
    <row r="3">
      <c r="A3" s="2" t="inlineStr">
        <is>
          <t>산재보험</t>
        </is>
      </c>
      <c r="B3" s="10" t="n">
        <v>0.0356</v>
      </c>
      <c r="C3" s="2" t="inlineStr">
        <is>
          <t>노무비 기준 (86건 중 84건 동일)</t>
        </is>
      </c>
    </row>
    <row r="4">
      <c r="A4" s="2" t="inlineStr">
        <is>
          <t>일반관리비</t>
        </is>
      </c>
      <c r="B4" s="10" t="n">
        <v>0.05</v>
      </c>
      <c r="C4" s="2" t="inlineStr">
        <is>
          <t>직접공사비 기준 (86건 중 79건 동일)</t>
        </is>
      </c>
    </row>
    <row r="5">
      <c r="A5" s="2" t="inlineStr">
        <is>
          <t>이윤</t>
        </is>
      </c>
      <c r="B5" s="10" t="n">
        <v>0.1</v>
      </c>
      <c r="C5" s="2" t="inlineStr">
        <is>
          <t>직접공사비 기준 (88건 중 85건 동일)</t>
        </is>
      </c>
    </row>
    <row r="6">
      <c r="A6" s="2" t="inlineStr">
        <is>
          <t>부가세</t>
        </is>
      </c>
      <c r="B6" s="10" t="n">
        <v>0.1</v>
      </c>
      <c r="C6" s="2" t="inlineStr">
        <is>
          <t>88건 전체 동일</t>
        </is>
      </c>
    </row>
    <row r="7">
      <c r="A7" s="2" t="inlineStr">
        <is>
          <t>단수정리</t>
        </is>
      </c>
      <c r="B7" s="2" t="inlineStr">
        <is>
          <t>만단위 절사</t>
        </is>
      </c>
      <c r="C7" s="2" t="inlineStr">
        <is>
          <t>갑지 표기는 '천단위절사'지만 실제 계산은 만단위 절사</t>
        </is>
      </c>
    </row>
    <row r="8">
      <c r="A8" s="2" t="inlineStr">
        <is>
          <t>노무비 단가(1품)</t>
        </is>
      </c>
      <c r="B8" s="4" t="n">
        <v>300000</v>
      </c>
      <c r="C8" s="2" t="inlineStr">
        <is>
          <t>내역서 표준 단가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7" customWidth="1" min="3" max="3"/>
    <col width="15" customWidth="1" min="4" max="4"/>
    <col width="16" customWidth="1" min="5" max="5"/>
    <col width="13" customWidth="1" min="6" max="6"/>
    <col width="8" customWidth="1" min="7" max="7"/>
  </cols>
  <sheetData>
    <row r="1">
      <c r="A1" s="11" t="inlineStr">
        <is>
          <t>연도</t>
        </is>
      </c>
      <c r="B1" s="11" t="inlineStr">
        <is>
          <t>현장명</t>
        </is>
      </c>
      <c r="C1" s="11" t="inlineStr">
        <is>
          <t>총 계약금액(VAT제외)</t>
        </is>
      </c>
      <c r="D1" s="11" t="inlineStr">
        <is>
          <t>수익 기준</t>
        </is>
      </c>
      <c r="E1" s="11" t="inlineStr">
        <is>
          <t>실원가(부가세제외)</t>
        </is>
      </c>
      <c r="F1" s="11" t="inlineStr">
        <is>
          <t>순이익</t>
        </is>
      </c>
      <c r="G1" s="11" t="inlineStr">
        <is>
          <t>이익률</t>
        </is>
      </c>
    </row>
    <row r="2">
      <c r="A2" s="2" t="inlineStr">
        <is>
          <t>2024년</t>
        </is>
      </c>
      <c r="B2" s="2" t="inlineStr">
        <is>
          <t>HK금융파트너스 경남사업단 인테리어 및 원상복구 도급</t>
        </is>
      </c>
      <c r="C2" s="4" t="n">
        <v>27090000</v>
      </c>
      <c r="D2" s="2" t="inlineStr">
        <is>
          <t>누계(추가공사 포함)</t>
        </is>
      </c>
      <c r="E2" s="4" t="n">
        <v>16213120</v>
      </c>
      <c r="F2" s="4">
        <f>C2-E2</f>
        <v/>
      </c>
      <c r="G2" s="9">
        <f>IF(C2&gt;0,F2/C2,"")</f>
        <v/>
      </c>
    </row>
    <row r="3">
      <c r="A3" s="2" t="inlineStr">
        <is>
          <t>2024년</t>
        </is>
      </c>
      <c r="B3" s="2" t="inlineStr">
        <is>
          <t>HK금융파트너스 경남사업단 인테리어 및 원상복구 도급</t>
        </is>
      </c>
      <c r="C3" s="4" t="n">
        <v>6760000</v>
      </c>
      <c r="D3" s="2" t="inlineStr">
        <is>
          <t>누계(추가공사 포함)</t>
        </is>
      </c>
      <c r="E3" s="4" t="n">
        <v>3570000</v>
      </c>
      <c r="F3" s="4">
        <f>C3-E3</f>
        <v/>
      </c>
      <c r="G3" s="9">
        <f>IF(C3&gt;0,F3/C3,"")</f>
        <v/>
      </c>
    </row>
    <row r="4">
      <c r="A4" s="2" t="inlineStr">
        <is>
          <t>2024년</t>
        </is>
      </c>
      <c r="B4" s="2" t="inlineStr">
        <is>
          <t>SG정공</t>
        </is>
      </c>
      <c r="C4" s="4" t="n">
        <v>5365585</v>
      </c>
      <c r="D4" s="2" t="inlineStr">
        <is>
          <t>누계(추가공사 포함)</t>
        </is>
      </c>
      <c r="E4" s="4" t="n">
        <v>3860000</v>
      </c>
      <c r="F4" s="4">
        <f>C4-E4</f>
        <v/>
      </c>
      <c r="G4" s="9">
        <f>IF(C4&gt;0,F4/C4,"")</f>
        <v/>
      </c>
    </row>
    <row r="5">
      <c r="A5" s="2" t="inlineStr">
        <is>
          <t>2024년</t>
        </is>
      </c>
      <c r="B5" s="2" t="inlineStr">
        <is>
          <t>다윈이엔씨 4층,16층</t>
        </is>
      </c>
      <c r="C5" s="4" t="n">
        <v>72740000</v>
      </c>
      <c r="D5" s="2" t="inlineStr">
        <is>
          <t>누계(추가공사 포함)</t>
        </is>
      </c>
      <c r="E5" s="4" t="n">
        <v>59532765</v>
      </c>
      <c r="F5" s="4">
        <f>C5-E5</f>
        <v/>
      </c>
      <c r="G5" s="9">
        <f>IF(C5&gt;0,F5/C5,"")</f>
        <v/>
      </c>
    </row>
    <row r="6">
      <c r="A6" s="2" t="inlineStr">
        <is>
          <t>2024년</t>
        </is>
      </c>
      <c r="B6" s="2" t="inlineStr">
        <is>
          <t>다윈이엔씨 4층,16층</t>
        </is>
      </c>
      <c r="C6" s="4" t="n">
        <v>14720000</v>
      </c>
      <c r="D6" s="2" t="inlineStr">
        <is>
          <t>누계(추가공사 포함)</t>
        </is>
      </c>
      <c r="E6" s="4" t="n">
        <v>10449360</v>
      </c>
      <c r="F6" s="4">
        <f>C6-E6</f>
        <v/>
      </c>
      <c r="G6" s="9">
        <f>IF(C6&gt;0,F6/C6,"")</f>
        <v/>
      </c>
    </row>
    <row r="7">
      <c r="A7" s="2" t="inlineStr">
        <is>
          <t>2024년</t>
        </is>
      </c>
      <c r="B7" s="2" t="inlineStr">
        <is>
          <t>더 젤 네일샾</t>
        </is>
      </c>
      <c r="C7" s="4" t="n">
        <v>29580000</v>
      </c>
      <c r="D7" s="2" t="inlineStr">
        <is>
          <t>누계(추가공사 포함)</t>
        </is>
      </c>
      <c r="E7" s="4" t="n">
        <v>17577972</v>
      </c>
      <c r="F7" s="4">
        <f>C7-E7</f>
        <v/>
      </c>
      <c r="G7" s="9">
        <f>IF(C7&gt;0,F7/C7,"")</f>
        <v/>
      </c>
    </row>
    <row r="8">
      <c r="A8" s="2" t="inlineStr">
        <is>
          <t>2024년</t>
        </is>
      </c>
      <c r="B8" s="2" t="inlineStr">
        <is>
          <t>디오오토갤러리</t>
        </is>
      </c>
      <c r="C8" s="4" t="n">
        <v>5820000</v>
      </c>
      <c r="D8" s="2" t="inlineStr">
        <is>
          <t>누계(추가공사 포함)</t>
        </is>
      </c>
      <c r="E8" s="4" t="n">
        <v>2773776</v>
      </c>
      <c r="F8" s="4">
        <f>C8-E8</f>
        <v/>
      </c>
      <c r="G8" s="9">
        <f>IF(C8&gt;0,F8/C8,"")</f>
        <v/>
      </c>
    </row>
    <row r="9">
      <c r="A9" s="2" t="inlineStr">
        <is>
          <t>2024년</t>
        </is>
      </c>
      <c r="B9" s="2" t="inlineStr">
        <is>
          <t>문소영수학관리</t>
        </is>
      </c>
      <c r="C9" s="4" t="n">
        <v>32320000</v>
      </c>
      <c r="D9" s="2" t="inlineStr">
        <is>
          <t>누계(추가공사 포함)</t>
        </is>
      </c>
      <c r="E9" s="4" t="n">
        <v>23008891</v>
      </c>
      <c r="F9" s="4">
        <f>C9-E9</f>
        <v/>
      </c>
      <c r="G9" s="9">
        <f>IF(C9&gt;0,F9/C9,"")</f>
        <v/>
      </c>
    </row>
    <row r="10">
      <c r="A10" s="2" t="inlineStr">
        <is>
          <t>2024년</t>
        </is>
      </c>
      <c r="B10" s="2" t="inlineStr">
        <is>
          <t>봉덕초교습소</t>
        </is>
      </c>
      <c r="C10" s="4" t="n">
        <v>11390000</v>
      </c>
      <c r="D10" s="2" t="inlineStr">
        <is>
          <t>누계(추가공사 포함)</t>
        </is>
      </c>
      <c r="E10" s="4" t="n">
        <v>4968794</v>
      </c>
      <c r="F10" s="4">
        <f>C10-E10</f>
        <v/>
      </c>
      <c r="G10" s="9">
        <f>IF(C10&gt;0,F10/C10,"")</f>
        <v/>
      </c>
    </row>
    <row r="11">
      <c r="A11" s="2" t="inlineStr">
        <is>
          <t>2024년</t>
        </is>
      </c>
      <c r="B11" s="2" t="inlineStr">
        <is>
          <t>부산대밀양캠퍼스</t>
        </is>
      </c>
      <c r="C11" s="4" t="n">
        <v>34210000</v>
      </c>
      <c r="D11" s="2" t="inlineStr">
        <is>
          <t>누계(추가공사 포함)</t>
        </is>
      </c>
      <c r="E11" s="4" t="n">
        <v>26497773</v>
      </c>
      <c r="F11" s="4">
        <f>C11-E11</f>
        <v/>
      </c>
      <c r="G11" s="9">
        <f>IF(C11&gt;0,F11/C11,"")</f>
        <v/>
      </c>
    </row>
    <row r="12">
      <c r="A12" s="2" t="inlineStr">
        <is>
          <t>2024년</t>
        </is>
      </c>
      <c r="B12" s="2" t="inlineStr">
        <is>
          <t>부산대학교생명자원과학대학</t>
        </is>
      </c>
      <c r="C12" s="4" t="n">
        <v>35863630</v>
      </c>
      <c r="D12" s="2" t="inlineStr">
        <is>
          <t>누계(추가공사 포함)</t>
        </is>
      </c>
      <c r="E12" s="4" t="n">
        <v>26207491</v>
      </c>
      <c r="F12" s="4">
        <f>C12-E12</f>
        <v/>
      </c>
      <c r="G12" s="9">
        <f>IF(C12&gt;0,F12/C12,"")</f>
        <v/>
      </c>
    </row>
    <row r="13">
      <c r="A13" s="2" t="inlineStr">
        <is>
          <t>2024년</t>
        </is>
      </c>
      <c r="B13" s="2" t="inlineStr">
        <is>
          <t>북면감계학원</t>
        </is>
      </c>
      <c r="C13" s="4" t="n">
        <v>15682727</v>
      </c>
      <c r="D13" s="2" t="inlineStr">
        <is>
          <t>누계(추가공사 포함)</t>
        </is>
      </c>
      <c r="E13" s="4" t="n">
        <v>9866305</v>
      </c>
      <c r="F13" s="4">
        <f>C13-E13</f>
        <v/>
      </c>
      <c r="G13" s="9">
        <f>IF(C13&gt;0,F13/C13,"")</f>
        <v/>
      </c>
    </row>
    <row r="14">
      <c r="A14" s="2" t="inlineStr">
        <is>
          <t>2024년</t>
        </is>
      </c>
      <c r="B14" s="2" t="inlineStr">
        <is>
          <t>북면교습소</t>
        </is>
      </c>
      <c r="C14" s="4" t="n">
        <v>3550000</v>
      </c>
      <c r="D14" s="2" t="inlineStr">
        <is>
          <t>누계(추가공사 포함)</t>
        </is>
      </c>
      <c r="E14" s="4" t="n">
        <v>1712411</v>
      </c>
      <c r="F14" s="4">
        <f>C14-E14</f>
        <v/>
      </c>
      <c r="G14" s="9">
        <f>IF(C14&gt;0,F14/C14,"")</f>
        <v/>
      </c>
    </row>
    <row r="15">
      <c r="A15" s="2" t="inlineStr">
        <is>
          <t>2024년</t>
        </is>
      </c>
      <c r="B15" s="2" t="inlineStr">
        <is>
          <t>블루돌핀어학원</t>
        </is>
      </c>
      <c r="C15" s="4" t="n">
        <v>45206363</v>
      </c>
      <c r="D15" s="2" t="inlineStr">
        <is>
          <t>누계(추가공사 포함)</t>
        </is>
      </c>
      <c r="E15" s="4" t="n">
        <v>31173079</v>
      </c>
      <c r="F15" s="4">
        <f>C15-E15</f>
        <v/>
      </c>
      <c r="G15" s="9">
        <f>IF(C15&gt;0,F15/C15,"")</f>
        <v/>
      </c>
    </row>
    <row r="16">
      <c r="A16" s="2" t="inlineStr">
        <is>
          <t>2024년</t>
        </is>
      </c>
      <c r="B16" s="2" t="inlineStr">
        <is>
          <t>사파동변호사사무실</t>
        </is>
      </c>
      <c r="C16" s="4" t="n">
        <v>24850000</v>
      </c>
      <c r="D16" s="2" t="inlineStr">
        <is>
          <t>누계(추가공사 포함)</t>
        </is>
      </c>
      <c r="E16" s="4" t="n">
        <v>12806462</v>
      </c>
      <c r="F16" s="4">
        <f>C16-E16</f>
        <v/>
      </c>
      <c r="G16" s="9">
        <f>IF(C16&gt;0,F16/C16,"")</f>
        <v/>
      </c>
    </row>
    <row r="17">
      <c r="A17" s="2" t="inlineStr">
        <is>
          <t>2024년</t>
        </is>
      </c>
      <c r="B17" s="2" t="inlineStr">
        <is>
          <t>삼명기계공업(오브제)</t>
        </is>
      </c>
      <c r="C17" s="4" t="n">
        <v>34490000</v>
      </c>
      <c r="D17" s="2" t="inlineStr">
        <is>
          <t>누계(추가공사 포함)</t>
        </is>
      </c>
      <c r="E17" s="4" t="n">
        <v>26670044</v>
      </c>
      <c r="F17" s="4">
        <f>C17-E17</f>
        <v/>
      </c>
      <c r="G17" s="9">
        <f>IF(C17&gt;0,F17/C17,"")</f>
        <v/>
      </c>
    </row>
    <row r="18">
      <c r="A18" s="2" t="inlineStr">
        <is>
          <t>2024년</t>
        </is>
      </c>
      <c r="B18" s="2" t="inlineStr">
        <is>
          <t>어반브릭스 12층 상담실</t>
        </is>
      </c>
      <c r="C18" s="4" t="n">
        <v>13780000</v>
      </c>
      <c r="D18" s="2" t="inlineStr">
        <is>
          <t>누계(추가공사 포함)</t>
        </is>
      </c>
      <c r="E18" s="4" t="n">
        <v>7392312</v>
      </c>
      <c r="F18" s="4">
        <f>C18-E18</f>
        <v/>
      </c>
      <c r="G18" s="9">
        <f>IF(C18&gt;0,F18/C18,"")</f>
        <v/>
      </c>
    </row>
    <row r="19">
      <c r="A19" s="2" t="inlineStr">
        <is>
          <t>2024년</t>
        </is>
      </c>
      <c r="B19" s="2" t="inlineStr">
        <is>
          <t>진주음악학원</t>
        </is>
      </c>
      <c r="C19" s="4" t="n">
        <v>90230000</v>
      </c>
      <c r="D19" s="2" t="inlineStr">
        <is>
          <t>누계(추가공사 포함)</t>
        </is>
      </c>
      <c r="E19" s="4" t="n">
        <v>65263808</v>
      </c>
      <c r="F19" s="4">
        <f>C19-E19</f>
        <v/>
      </c>
      <c r="G19" s="9">
        <f>IF(C19&gt;0,F19/C19,"")</f>
        <v/>
      </c>
    </row>
    <row r="20">
      <c r="A20" s="2" t="inlineStr">
        <is>
          <t>2024년</t>
        </is>
      </c>
      <c r="B20" s="2" t="inlineStr">
        <is>
          <t>진해경화동 푸르지오교습소</t>
        </is>
      </c>
      <c r="C20" s="4" t="n">
        <v>19109090</v>
      </c>
      <c r="D20" s="2" t="inlineStr">
        <is>
          <t>누계(추가공사 포함)</t>
        </is>
      </c>
      <c r="E20" s="4" t="n">
        <v>12250503</v>
      </c>
      <c r="F20" s="4">
        <f>C20-E20</f>
        <v/>
      </c>
      <c r="G20" s="9">
        <f>IF(C20&gt;0,F20/C20,"")</f>
        <v/>
      </c>
    </row>
    <row r="21">
      <c r="A21" s="2" t="inlineStr">
        <is>
          <t>2024년</t>
        </is>
      </c>
      <c r="B21" s="2" t="inlineStr">
        <is>
          <t>진해교습소</t>
        </is>
      </c>
      <c r="C21" s="4" t="n">
        <v>24640000</v>
      </c>
      <c r="D21" s="2" t="inlineStr">
        <is>
          <t>누계(추가공사 포함)</t>
        </is>
      </c>
      <c r="E21" s="4" t="n">
        <v>13721500</v>
      </c>
      <c r="F21" s="4">
        <f>C21-E21</f>
        <v/>
      </c>
      <c r="G21" s="9">
        <f>IF(C21&gt;0,F21/C21,"")</f>
        <v/>
      </c>
    </row>
    <row r="22">
      <c r="A22" s="2" t="inlineStr">
        <is>
          <t>2024년</t>
        </is>
      </c>
      <c r="B22" s="2" t="inlineStr">
        <is>
          <t>창원힐스테이트 미용실</t>
        </is>
      </c>
      <c r="C22" s="4" t="n">
        <v>20621818</v>
      </c>
      <c r="D22" s="2" t="inlineStr">
        <is>
          <t>누계(추가공사 포함)</t>
        </is>
      </c>
      <c r="E22" s="4" t="n">
        <v>16549880</v>
      </c>
      <c r="F22" s="4">
        <f>C22-E22</f>
        <v/>
      </c>
      <c r="G22" s="9">
        <f>IF(C22&gt;0,F22/C22,"")</f>
        <v/>
      </c>
    </row>
    <row r="23">
      <c r="A23" s="2" t="inlineStr">
        <is>
          <t>2024년</t>
        </is>
      </c>
      <c r="B23" s="2" t="inlineStr">
        <is>
          <t>태웅산전</t>
        </is>
      </c>
      <c r="C23" s="4" t="n">
        <v>41000000</v>
      </c>
      <c r="D23" s="2" t="inlineStr">
        <is>
          <t>갑지</t>
        </is>
      </c>
      <c r="E23" s="4" t="n">
        <v>36610821</v>
      </c>
      <c r="F23" s="4">
        <f>C23-E23</f>
        <v/>
      </c>
      <c r="G23" s="9">
        <f>IF(C23&gt;0,F23/C23,"")</f>
        <v/>
      </c>
    </row>
    <row r="24">
      <c r="A24" s="2" t="inlineStr">
        <is>
          <t>2024년</t>
        </is>
      </c>
      <c r="B24" s="2" t="inlineStr">
        <is>
          <t>터보링크</t>
        </is>
      </c>
      <c r="C24" s="4" t="n">
        <v>30200000</v>
      </c>
      <c r="D24" s="2" t="inlineStr">
        <is>
          <t>누계(추가공사 포함)</t>
        </is>
      </c>
      <c r="E24" s="4" t="n">
        <v>20003674</v>
      </c>
      <c r="F24" s="4">
        <f>C24-E24</f>
        <v/>
      </c>
      <c r="G24" s="9">
        <f>IF(C24&gt;0,F24/C24,"")</f>
        <v/>
      </c>
    </row>
    <row r="25">
      <c r="A25" s="2" t="inlineStr">
        <is>
          <t>2024년</t>
        </is>
      </c>
      <c r="B25" s="2" t="inlineStr">
        <is>
          <t>현대크랭크 계단,왁스,안내판</t>
        </is>
      </c>
      <c r="C25" s="4" t="n">
        <v>19330000</v>
      </c>
      <c r="D25" s="2" t="inlineStr">
        <is>
          <t>갑지</t>
        </is>
      </c>
      <c r="E25" s="4" t="n">
        <v>6730000</v>
      </c>
      <c r="F25" s="4">
        <f>C25-E25</f>
        <v/>
      </c>
      <c r="G25" s="9">
        <f>IF(C25&gt;0,F25/C25,"")</f>
        <v/>
      </c>
    </row>
    <row r="26">
      <c r="A26" s="2" t="inlineStr">
        <is>
          <t>2024년</t>
        </is>
      </c>
      <c r="B26" s="2" t="inlineStr">
        <is>
          <t>현대크랭크 탈의실 샤워실 보수공사</t>
        </is>
      </c>
      <c r="C26" s="4" t="n">
        <v>35590000</v>
      </c>
      <c r="D26" s="2" t="inlineStr">
        <is>
          <t>누계(추가공사 포함)</t>
        </is>
      </c>
      <c r="E26" s="4" t="n">
        <v>22058801</v>
      </c>
      <c r="F26" s="4">
        <f>C26-E26</f>
        <v/>
      </c>
      <c r="G26" s="9">
        <f>IF(C26&gt;0,F26/C26,"")</f>
        <v/>
      </c>
    </row>
    <row r="27">
      <c r="A27" s="2" t="inlineStr">
        <is>
          <t>2025년</t>
        </is>
      </c>
      <c r="B27" s="2" t="inlineStr">
        <is>
          <t xml:space="preserve"> PNU 펜토미노 교육과정 원예생명과학과 강의실 환경개선 공사</t>
        </is>
      </c>
      <c r="C27" s="4" t="n">
        <v>30480000</v>
      </c>
      <c r="D27" s="2" t="inlineStr">
        <is>
          <t>갑지</t>
        </is>
      </c>
      <c r="E27" s="4" t="n">
        <v>14490359</v>
      </c>
      <c r="F27" s="4">
        <f>C27-E27</f>
        <v/>
      </c>
      <c r="G27" s="9">
        <f>IF(C27&gt;0,F27/C27,"")</f>
        <v/>
      </c>
    </row>
    <row r="28">
      <c r="A28" s="2" t="inlineStr">
        <is>
          <t>2025년</t>
        </is>
      </c>
      <c r="B28" s="2" t="inlineStr">
        <is>
          <t>HD현대마린엔진</t>
        </is>
      </c>
      <c r="C28" s="4" t="n">
        <v>85500000</v>
      </c>
      <c r="D28" s="2" t="inlineStr">
        <is>
          <t>누계(추가공사 포함)</t>
        </is>
      </c>
      <c r="E28" s="4" t="n">
        <v>59675015</v>
      </c>
      <c r="F28" s="4">
        <f>C28-E28</f>
        <v/>
      </c>
      <c r="G28" s="9">
        <f>IF(C28&gt;0,F28/C28,"")</f>
        <v/>
      </c>
    </row>
    <row r="29">
      <c r="A29" s="2" t="inlineStr">
        <is>
          <t>2025년</t>
        </is>
      </c>
      <c r="B29" s="2" t="inlineStr">
        <is>
          <t>MH에탄올</t>
        </is>
      </c>
      <c r="C29" s="4" t="n">
        <v>82760000</v>
      </c>
      <c r="D29" s="2" t="inlineStr">
        <is>
          <t>누계(추가공사 포함)</t>
        </is>
      </c>
      <c r="E29" s="4" t="n">
        <v>57372918</v>
      </c>
      <c r="F29" s="4">
        <f>C29-E29</f>
        <v/>
      </c>
      <c r="G29" s="9">
        <f>IF(C29&gt;0,F29/C29,"")</f>
        <v/>
      </c>
    </row>
    <row r="30">
      <c r="A30" s="2" t="inlineStr">
        <is>
          <t>2025년</t>
        </is>
      </c>
      <c r="B30" s="2" t="inlineStr">
        <is>
          <t>MH에탄올 사무실 2,3층 인테리어</t>
        </is>
      </c>
      <c r="C30" s="4" t="n">
        <v>153590000</v>
      </c>
      <c r="D30" s="2" t="inlineStr">
        <is>
          <t>누계(추가공사 포함)</t>
        </is>
      </c>
      <c r="E30" s="4" t="n">
        <v>101635848</v>
      </c>
      <c r="F30" s="4">
        <f>C30-E30</f>
        <v/>
      </c>
      <c r="G30" s="9">
        <f>IF(C30&gt;0,F30/C30,"")</f>
        <v/>
      </c>
    </row>
    <row r="31">
      <c r="A31" s="2" t="inlineStr">
        <is>
          <t>2025년</t>
        </is>
      </c>
      <c r="B31" s="2" t="inlineStr">
        <is>
          <t>경남산소</t>
        </is>
      </c>
      <c r="C31" s="4" t="n">
        <v>65640000</v>
      </c>
      <c r="D31" s="2" t="inlineStr">
        <is>
          <t>갑지</t>
        </is>
      </c>
      <c r="E31" s="4" t="n">
        <v>48199673</v>
      </c>
      <c r="F31" s="4">
        <f>C31-E31</f>
        <v/>
      </c>
      <c r="G31" s="9">
        <f>IF(C31&gt;0,F31/C31,"")</f>
        <v/>
      </c>
    </row>
    <row r="32">
      <c r="A32" s="2" t="inlineStr">
        <is>
          <t>2025년</t>
        </is>
      </c>
      <c r="B32" s="2" t="inlineStr">
        <is>
          <t>구산면 도만카페</t>
        </is>
      </c>
      <c r="C32" s="4" t="n">
        <v>162370000</v>
      </c>
      <c r="D32" s="2" t="inlineStr">
        <is>
          <t>갑지</t>
        </is>
      </c>
      <c r="E32" s="4" t="n">
        <v>106355111</v>
      </c>
      <c r="F32" s="4">
        <f>C32-E32</f>
        <v/>
      </c>
      <c r="G32" s="9">
        <f>IF(C32&gt;0,F32/C32,"")</f>
        <v/>
      </c>
    </row>
    <row r="33">
      <c r="A33" s="2" t="inlineStr">
        <is>
          <t>2025년</t>
        </is>
      </c>
      <c r="B33" s="2" t="inlineStr">
        <is>
          <t>내동교습소</t>
        </is>
      </c>
      <c r="C33" s="4" t="n">
        <v>16620000</v>
      </c>
      <c r="D33" s="2" t="inlineStr">
        <is>
          <t>누계(추가공사 포함)</t>
        </is>
      </c>
      <c r="E33" s="4" t="n">
        <v>8458747</v>
      </c>
      <c r="F33" s="4">
        <f>C33-E33</f>
        <v/>
      </c>
      <c r="G33" s="9">
        <f>IF(C33&gt;0,F33/C33,"")</f>
        <v/>
      </c>
    </row>
    <row r="34">
      <c r="A34" s="2" t="inlineStr">
        <is>
          <t>2025년</t>
        </is>
      </c>
      <c r="B34" s="2" t="inlineStr">
        <is>
          <t>동전산단 사무실 부분인테리어</t>
        </is>
      </c>
      <c r="C34" s="4" t="n">
        <v>11600000</v>
      </c>
      <c r="D34" s="2" t="inlineStr">
        <is>
          <t>누계(추가공사 포함)</t>
        </is>
      </c>
      <c r="E34" s="4" t="n">
        <v>8187878</v>
      </c>
      <c r="F34" s="4">
        <f>C34-E34</f>
        <v/>
      </c>
      <c r="G34" s="9">
        <f>IF(C34&gt;0,F34/C34,"")</f>
        <v/>
      </c>
    </row>
    <row r="35">
      <c r="A35" s="2" t="inlineStr">
        <is>
          <t>2025년</t>
        </is>
      </c>
      <c r="B35" s="2" t="inlineStr">
        <is>
          <t>라온메디칼 사무실</t>
        </is>
      </c>
      <c r="C35" s="4" t="n">
        <v>31390000</v>
      </c>
      <c r="D35" s="2" t="inlineStr">
        <is>
          <t>갑지</t>
        </is>
      </c>
      <c r="E35" s="4" t="n">
        <v>20216027</v>
      </c>
      <c r="F35" s="4">
        <f>C35-E35</f>
        <v/>
      </c>
      <c r="G35" s="9">
        <f>IF(C35&gt;0,F35/C35,"")</f>
        <v/>
      </c>
    </row>
    <row r="36">
      <c r="A36" s="2" t="inlineStr">
        <is>
          <t>2025년</t>
        </is>
      </c>
      <c r="B36" s="2" t="inlineStr">
        <is>
          <t>밀양 뷰티샵</t>
        </is>
      </c>
      <c r="C36" s="4" t="n">
        <v>14890000</v>
      </c>
      <c r="D36" s="2" t="inlineStr">
        <is>
          <t>갑지</t>
        </is>
      </c>
      <c r="E36" s="4" t="n">
        <v>10820839</v>
      </c>
      <c r="F36" s="4">
        <f>C36-E36</f>
        <v/>
      </c>
      <c r="G36" s="9">
        <f>IF(C36&gt;0,F36/C36,"")</f>
        <v/>
      </c>
    </row>
    <row r="37">
      <c r="A37" s="2" t="inlineStr">
        <is>
          <t>2025년</t>
        </is>
      </c>
      <c r="B37" s="2" t="inlineStr">
        <is>
          <t>법무법인DH</t>
        </is>
      </c>
      <c r="C37" s="4" t="n">
        <v>40910000</v>
      </c>
      <c r="D37" s="2" t="inlineStr">
        <is>
          <t>갑지</t>
        </is>
      </c>
      <c r="E37" s="4" t="n">
        <v>26822204</v>
      </c>
      <c r="F37" s="4">
        <f>C37-E37</f>
        <v/>
      </c>
      <c r="G37" s="9">
        <f>IF(C37&gt;0,F37/C37,"")</f>
        <v/>
      </c>
    </row>
    <row r="38">
      <c r="A38" s="2" t="inlineStr">
        <is>
          <t>2025년</t>
        </is>
      </c>
      <c r="B38" s="2" t="inlineStr">
        <is>
          <t>보루(어반브릭스)</t>
        </is>
      </c>
      <c r="C38" s="4" t="n">
        <v>2300000</v>
      </c>
      <c r="D38" s="2" t="inlineStr">
        <is>
          <t>누계(추가공사 포함)</t>
        </is>
      </c>
      <c r="E38" s="4" t="n">
        <v>1470000</v>
      </c>
      <c r="F38" s="4">
        <f>C38-E38</f>
        <v/>
      </c>
      <c r="G38" s="9">
        <f>IF(C38&gt;0,F38/C38,"")</f>
        <v/>
      </c>
    </row>
    <row r="39">
      <c r="A39" s="2" t="inlineStr">
        <is>
          <t>2025년</t>
        </is>
      </c>
      <c r="B39" s="2" t="inlineStr">
        <is>
          <t>세영테크놀리지</t>
        </is>
      </c>
      <c r="C39" s="4" t="n">
        <v>5570000</v>
      </c>
      <c r="D39" s="2" t="inlineStr">
        <is>
          <t>누계(추가공사 포함)</t>
        </is>
      </c>
      <c r="E39" s="4" t="n">
        <v>3340368</v>
      </c>
      <c r="F39" s="4">
        <f>C39-E39</f>
        <v/>
      </c>
      <c r="G39" s="9">
        <f>IF(C39&gt;0,F39/C39,"")</f>
        <v/>
      </c>
    </row>
    <row r="40">
      <c r="A40" s="2" t="inlineStr">
        <is>
          <t>2025년</t>
        </is>
      </c>
      <c r="B40" s="2" t="inlineStr">
        <is>
          <t>스포츠가치센터</t>
        </is>
      </c>
      <c r="C40" s="4" t="n">
        <v>33550000</v>
      </c>
      <c r="D40" s="2" t="inlineStr">
        <is>
          <t>갑지</t>
        </is>
      </c>
      <c r="E40" s="4" t="n">
        <v>16913289</v>
      </c>
      <c r="F40" s="4">
        <f>C40-E40</f>
        <v/>
      </c>
      <c r="G40" s="9">
        <f>IF(C40&gt;0,F40/C40,"")</f>
        <v/>
      </c>
    </row>
    <row r="41">
      <c r="A41" s="2" t="inlineStr">
        <is>
          <t>2025년</t>
        </is>
      </c>
      <c r="B41" s="2" t="inlineStr">
        <is>
          <t>양산타코야끼</t>
        </is>
      </c>
      <c r="C41" s="4" t="n">
        <v>26790000</v>
      </c>
      <c r="D41" s="2" t="inlineStr">
        <is>
          <t>누계(추가공사 포함)</t>
        </is>
      </c>
      <c r="E41" s="4" t="n">
        <v>18754207</v>
      </c>
      <c r="F41" s="4">
        <f>C41-E41</f>
        <v/>
      </c>
      <c r="G41" s="9">
        <f>IF(C41&gt;0,F41/C41,"")</f>
        <v/>
      </c>
    </row>
    <row r="42">
      <c r="A42" s="2" t="inlineStr">
        <is>
          <t>2025년</t>
        </is>
      </c>
      <c r="B42" s="2" t="inlineStr">
        <is>
          <t>이홍열법률사무소</t>
        </is>
      </c>
      <c r="C42" s="4" t="n">
        <v>62450000</v>
      </c>
      <c r="D42" s="2" t="inlineStr">
        <is>
          <t>누계(추가공사 포함)</t>
        </is>
      </c>
      <c r="E42" s="4" t="n">
        <v>46666890</v>
      </c>
      <c r="F42" s="4">
        <f>C42-E42</f>
        <v/>
      </c>
      <c r="G42" s="9">
        <f>IF(C42&gt;0,F42/C42,"")</f>
        <v/>
      </c>
    </row>
    <row r="43">
      <c r="A43" s="2" t="inlineStr">
        <is>
          <t>2025년</t>
        </is>
      </c>
      <c r="B43" s="2" t="inlineStr">
        <is>
          <t>정우상가(용호동)뷰티샵</t>
        </is>
      </c>
      <c r="C43" s="4" t="n">
        <v>36181818</v>
      </c>
      <c r="D43" s="2" t="inlineStr">
        <is>
          <t>누계(추가공사 포함)</t>
        </is>
      </c>
      <c r="E43" s="4" t="n">
        <v>25999544</v>
      </c>
      <c r="F43" s="4">
        <f>C43-E43</f>
        <v/>
      </c>
      <c r="G43" s="9">
        <f>IF(C43&gt;0,F43/C43,"")</f>
        <v/>
      </c>
    </row>
    <row r="44">
      <c r="A44" s="2" t="inlineStr">
        <is>
          <t>2025년</t>
        </is>
      </c>
      <c r="B44" s="2" t="inlineStr">
        <is>
          <t>중동미용실</t>
        </is>
      </c>
      <c r="C44" s="4" t="n">
        <v>16768181</v>
      </c>
      <c r="D44" s="2" t="inlineStr">
        <is>
          <t>누계(추가공사 포함)</t>
        </is>
      </c>
      <c r="E44" s="4" t="n">
        <v>9649539</v>
      </c>
      <c r="F44" s="4">
        <f>C44-E44</f>
        <v/>
      </c>
      <c r="G44" s="9">
        <f>IF(C44&gt;0,F44/C44,"")</f>
        <v/>
      </c>
    </row>
    <row r="45">
      <c r="A45" s="2" t="inlineStr">
        <is>
          <t>2025년</t>
        </is>
      </c>
      <c r="B45" s="2" t="inlineStr">
        <is>
          <t>진례제일전자공업</t>
        </is>
      </c>
      <c r="C45" s="4" t="n">
        <v>48000000</v>
      </c>
      <c r="D45" s="2" t="inlineStr">
        <is>
          <t>누계(추가공사 포함)</t>
        </is>
      </c>
      <c r="E45" s="4" t="n">
        <v>30129641</v>
      </c>
      <c r="F45" s="4">
        <f>C45-E45</f>
        <v/>
      </c>
      <c r="G45" s="9">
        <f>IF(C45&gt;0,F45/C45,"")</f>
        <v/>
      </c>
    </row>
    <row r="46">
      <c r="A46" s="2" t="inlineStr">
        <is>
          <t>2025년</t>
        </is>
      </c>
      <c r="B46" s="2" t="inlineStr">
        <is>
          <t>진영 HNS 휴게실,온수기</t>
        </is>
      </c>
      <c r="C46" s="4" t="n">
        <v>1380000</v>
      </c>
      <c r="D46" s="2" t="inlineStr">
        <is>
          <t>누계(추가공사 포함)</t>
        </is>
      </c>
      <c r="E46" s="4" t="n">
        <v>1200000</v>
      </c>
      <c r="F46" s="4">
        <f>C46-E46</f>
        <v/>
      </c>
      <c r="G46" s="9">
        <f>IF(C46&gt;0,F46/C46,"")</f>
        <v/>
      </c>
    </row>
    <row r="47">
      <c r="A47" s="2" t="inlineStr">
        <is>
          <t>2025년</t>
        </is>
      </c>
      <c r="B47" s="2" t="inlineStr">
        <is>
          <t>진영 HNS 휴게실,온수기</t>
        </is>
      </c>
      <c r="C47" s="4" t="n">
        <v>6890000</v>
      </c>
      <c r="D47" s="2" t="inlineStr">
        <is>
          <t>누계(추가공사 포함)</t>
        </is>
      </c>
      <c r="E47" s="4" t="n">
        <v>3331279</v>
      </c>
      <c r="F47" s="4">
        <f>C47-E47</f>
        <v/>
      </c>
      <c r="G47" s="9">
        <f>IF(C47&gt;0,F47/C47,"")</f>
        <v/>
      </c>
    </row>
    <row r="48">
      <c r="A48" s="2" t="inlineStr">
        <is>
          <t>2025년</t>
        </is>
      </c>
      <c r="B48" s="2" t="inlineStr">
        <is>
          <t>진주학원</t>
        </is>
      </c>
      <c r="C48" s="4" t="n">
        <v>30580000</v>
      </c>
      <c r="D48" s="2" t="inlineStr">
        <is>
          <t>누계(추가공사 포함)</t>
        </is>
      </c>
      <c r="E48" s="4" t="n">
        <v>19189266</v>
      </c>
      <c r="F48" s="4">
        <f>C48-E48</f>
        <v/>
      </c>
      <c r="G48" s="9">
        <f>IF(C48&gt;0,F48/C48,"")</f>
        <v/>
      </c>
    </row>
    <row r="49">
      <c r="A49" s="2" t="inlineStr">
        <is>
          <t>2025년</t>
        </is>
      </c>
      <c r="B49" s="2" t="inlineStr">
        <is>
          <t>진해 디아크마린</t>
        </is>
      </c>
      <c r="C49" s="4" t="n">
        <v>69840000</v>
      </c>
      <c r="D49" s="2" t="inlineStr">
        <is>
          <t>갑지</t>
        </is>
      </c>
      <c r="E49" s="4" t="n">
        <v>38409741</v>
      </c>
      <c r="F49" s="4">
        <f>C49-E49</f>
        <v/>
      </c>
      <c r="G49" s="9">
        <f>IF(C49&gt;0,F49/C49,"")</f>
        <v/>
      </c>
    </row>
    <row r="50">
      <c r="A50" s="2" t="inlineStr">
        <is>
          <t>2025년</t>
        </is>
      </c>
      <c r="B50" s="2" t="inlineStr">
        <is>
          <t>진해 이우철 삼계탕</t>
        </is>
      </c>
      <c r="C50" s="4" t="n">
        <v>101350000</v>
      </c>
      <c r="D50" s="2" t="inlineStr">
        <is>
          <t>누계(추가공사 포함)</t>
        </is>
      </c>
      <c r="E50" s="4" t="n">
        <v>71663206</v>
      </c>
      <c r="F50" s="4">
        <f>C50-E50</f>
        <v/>
      </c>
      <c r="G50" s="9">
        <f>IF(C50&gt;0,F50/C50,"")</f>
        <v/>
      </c>
    </row>
    <row r="51">
      <c r="A51" s="2" t="inlineStr">
        <is>
          <t>2025년</t>
        </is>
      </c>
      <c r="B51" s="2" t="inlineStr">
        <is>
          <t>키움에셋플래너</t>
        </is>
      </c>
      <c r="C51" s="4" t="n">
        <v>37210000</v>
      </c>
      <c r="D51" s="2" t="inlineStr">
        <is>
          <t>갑지</t>
        </is>
      </c>
      <c r="E51" s="4" t="n">
        <v>26191292</v>
      </c>
      <c r="F51" s="4">
        <f>C51-E51</f>
        <v/>
      </c>
      <c r="G51" s="9">
        <f>IF(C51&gt;0,F51/C51,"")</f>
        <v/>
      </c>
    </row>
    <row r="52">
      <c r="A52" s="2" t="inlineStr">
        <is>
          <t>2025년</t>
        </is>
      </c>
      <c r="B52" s="2" t="inlineStr">
        <is>
          <t>팔용동사진관</t>
        </is>
      </c>
      <c r="C52" s="4" t="n">
        <v>7350000</v>
      </c>
      <c r="D52" s="2" t="inlineStr">
        <is>
          <t>갑지</t>
        </is>
      </c>
      <c r="E52" s="4" t="n">
        <v>3469474</v>
      </c>
      <c r="F52" s="4">
        <f>C52-E52</f>
        <v/>
      </c>
      <c r="G52" s="9">
        <f>IF(C52&gt;0,F52/C52,"")</f>
        <v/>
      </c>
    </row>
    <row r="53">
      <c r="A53" s="2" t="inlineStr">
        <is>
          <t>2025년</t>
        </is>
      </c>
      <c r="B53" s="2" t="inlineStr">
        <is>
          <t>한국산업단지공단(인테리어)</t>
        </is>
      </c>
      <c r="C53" s="4" t="n">
        <v>19840000</v>
      </c>
      <c r="D53" s="2" t="inlineStr">
        <is>
          <t>누계(추가공사 포함)</t>
        </is>
      </c>
      <c r="E53" s="4" t="n">
        <v>10738217</v>
      </c>
      <c r="F53" s="4">
        <f>C53-E53</f>
        <v/>
      </c>
      <c r="G53" s="9">
        <f>IF(C53&gt;0,F53/C53,"")</f>
        <v/>
      </c>
    </row>
    <row r="54">
      <c r="A54" s="2" t="inlineStr">
        <is>
          <t>2025년</t>
        </is>
      </c>
      <c r="B54" s="2" t="inlineStr">
        <is>
          <t>함안뷰티샵</t>
        </is>
      </c>
      <c r="C54" s="4" t="n">
        <v>26550000</v>
      </c>
      <c r="D54" s="2" t="inlineStr">
        <is>
          <t>누계(추가공사 포함)</t>
        </is>
      </c>
      <c r="E54" s="4" t="n">
        <v>16357034</v>
      </c>
      <c r="F54" s="4">
        <f>C54-E54</f>
        <v/>
      </c>
      <c r="G54" s="9">
        <f>IF(C54&gt;0,F54/C54,"")</f>
        <v/>
      </c>
    </row>
    <row r="55">
      <c r="A55" s="2" t="inlineStr">
        <is>
          <t>2025년</t>
        </is>
      </c>
      <c r="B55" s="2" t="inlineStr">
        <is>
          <t>현대크랭크샤프트가구</t>
        </is>
      </c>
      <c r="C55" s="4" t="n">
        <v>7290000</v>
      </c>
      <c r="D55" s="2" t="inlineStr">
        <is>
          <t>누계(추가공사 포함)</t>
        </is>
      </c>
      <c r="E55" s="4" t="n">
        <v>5810000</v>
      </c>
      <c r="F55" s="4">
        <f>C55-E55</f>
        <v/>
      </c>
      <c r="G55" s="9">
        <f>IF(C55&gt;0,F55/C55,"")</f>
        <v/>
      </c>
    </row>
    <row r="56">
      <c r="A56" s="2" t="inlineStr">
        <is>
          <t>2025년</t>
        </is>
      </c>
      <c r="B56" s="2" t="inlineStr">
        <is>
          <t>현동네일샵</t>
        </is>
      </c>
      <c r="C56" s="4" t="n">
        <v>19440000</v>
      </c>
      <c r="D56" s="2" t="inlineStr">
        <is>
          <t>갑지</t>
        </is>
      </c>
      <c r="E56" s="4" t="n">
        <v>11325656</v>
      </c>
      <c r="F56" s="4">
        <f>C56-E56</f>
        <v/>
      </c>
      <c r="G56" s="9">
        <f>IF(C56&gt;0,F56/C56,"")</f>
        <v/>
      </c>
    </row>
    <row r="57">
      <c r="A57" s="2" t="inlineStr">
        <is>
          <t>2025년</t>
        </is>
      </c>
      <c r="B57" s="2" t="inlineStr">
        <is>
          <t>회원동교습소</t>
        </is>
      </c>
      <c r="C57" s="4" t="n">
        <v>27580000</v>
      </c>
      <c r="D57" s="2" t="inlineStr">
        <is>
          <t>갑지</t>
        </is>
      </c>
      <c r="E57" s="4" t="n">
        <v>19911516</v>
      </c>
      <c r="F57" s="4">
        <f>C57-E57</f>
        <v/>
      </c>
      <c r="G57" s="9">
        <f>IF(C57&gt;0,F57/C57,"")</f>
        <v/>
      </c>
    </row>
    <row r="58">
      <c r="A58" s="2" t="inlineStr">
        <is>
          <t>2026년</t>
        </is>
      </c>
      <c r="B58" s="2" t="inlineStr">
        <is>
          <t>JD6층힉원</t>
        </is>
      </c>
      <c r="C58" s="4" t="n">
        <v>12430000</v>
      </c>
      <c r="D58" s="2" t="inlineStr">
        <is>
          <t>누계(추가공사 포함)</t>
        </is>
      </c>
      <c r="E58" s="4" t="n">
        <v>7462680</v>
      </c>
      <c r="F58" s="4">
        <f>C58-E58</f>
        <v/>
      </c>
      <c r="G58" s="9">
        <f>IF(C58&gt;0,F58/C58,"")</f>
        <v/>
      </c>
    </row>
    <row r="59">
      <c r="A59" s="2" t="inlineStr">
        <is>
          <t>2026년</t>
        </is>
      </c>
      <c r="B59" s="2" t="inlineStr">
        <is>
          <t>RISE 기능성푸드평가 동물조직분석실 교육 환경 개선 공사</t>
        </is>
      </c>
      <c r="C59" s="4" t="n">
        <v>9110000</v>
      </c>
      <c r="D59" s="2" t="inlineStr">
        <is>
          <t>누계(추가공사 포함)</t>
        </is>
      </c>
      <c r="E59" s="4" t="n">
        <v>4709568</v>
      </c>
      <c r="F59" s="4">
        <f>C59-E59</f>
        <v/>
      </c>
      <c r="G59" s="9">
        <f>IF(C59&gt;0,F59/C59,"")</f>
        <v/>
      </c>
    </row>
    <row r="60">
      <c r="A60" s="2" t="inlineStr">
        <is>
          <t>2026년</t>
        </is>
      </c>
      <c r="B60" s="2" t="inlineStr">
        <is>
          <t>감계아내202동605호</t>
        </is>
      </c>
      <c r="C60" s="4" t="n">
        <v>12140000</v>
      </c>
      <c r="D60" s="2" t="inlineStr">
        <is>
          <t>누계(추가공사 포함)</t>
        </is>
      </c>
      <c r="E60" s="4" t="n">
        <v>6629289</v>
      </c>
      <c r="F60" s="4">
        <f>C60-E60</f>
        <v/>
      </c>
      <c r="G60" s="9">
        <f>IF(C60&gt;0,F60/C60,"")</f>
        <v/>
      </c>
    </row>
    <row r="61">
      <c r="A61" s="2" t="inlineStr">
        <is>
          <t>2026년</t>
        </is>
      </c>
      <c r="B61" s="2" t="inlineStr">
        <is>
          <t>경남 테크노파크</t>
        </is>
      </c>
      <c r="C61" s="4" t="n">
        <v>3880000</v>
      </c>
      <c r="D61" s="2" t="inlineStr">
        <is>
          <t>누계(추가공사 포함)</t>
        </is>
      </c>
      <c r="E61" s="4" t="n">
        <v>1550870</v>
      </c>
      <c r="F61" s="4">
        <f>C61-E61</f>
        <v/>
      </c>
      <c r="G61" s="9">
        <f>IF(C61&gt;0,F61/C61,"")</f>
        <v/>
      </c>
    </row>
    <row r="62">
      <c r="A62" s="2" t="inlineStr">
        <is>
          <t>2026년</t>
        </is>
      </c>
      <c r="B62" s="2" t="inlineStr">
        <is>
          <t>대상힐스 미용실</t>
        </is>
      </c>
      <c r="C62" s="4" t="n">
        <v>28000000</v>
      </c>
      <c r="D62" s="2" t="inlineStr">
        <is>
          <t>누계(추가공사 포함)</t>
        </is>
      </c>
      <c r="E62" s="4" t="n">
        <v>15061912</v>
      </c>
      <c r="F62" s="4">
        <f>C62-E62</f>
        <v/>
      </c>
      <c r="G62" s="9">
        <f>IF(C62&gt;0,F62/C62,"")</f>
        <v/>
      </c>
    </row>
    <row r="63">
      <c r="A63" s="2" t="inlineStr">
        <is>
          <t>2026년</t>
        </is>
      </c>
      <c r="B63" s="2" t="inlineStr">
        <is>
          <t>밀양미부닥트(주)</t>
        </is>
      </c>
      <c r="C63" s="4" t="n">
        <v>7740000</v>
      </c>
      <c r="D63" s="2" t="inlineStr">
        <is>
          <t>누계(추가공사 포함)</t>
        </is>
      </c>
      <c r="E63" s="4" t="n">
        <v>4075119</v>
      </c>
      <c r="F63" s="4">
        <f>C63-E63</f>
        <v/>
      </c>
      <c r="G63" s="9">
        <f>IF(C63&gt;0,F63/C63,"")</f>
        <v/>
      </c>
    </row>
    <row r="64">
      <c r="A64" s="2" t="inlineStr">
        <is>
          <t>2026년</t>
        </is>
      </c>
      <c r="B64" s="2" t="inlineStr">
        <is>
          <t>반도유보라 교습소</t>
        </is>
      </c>
      <c r="C64" s="4" t="n">
        <v>14360000</v>
      </c>
      <c r="D64" s="2" t="inlineStr">
        <is>
          <t>누계(추가공사 포함)</t>
        </is>
      </c>
      <c r="E64" s="4" t="n">
        <v>7841094</v>
      </c>
      <c r="F64" s="4">
        <f>C64-E64</f>
        <v/>
      </c>
      <c r="G64" s="9">
        <f>IF(C64&gt;0,F64/C64,"")</f>
        <v/>
      </c>
    </row>
    <row r="65">
      <c r="A65" s="2" t="inlineStr">
        <is>
          <t>2026년</t>
        </is>
      </c>
      <c r="B65" s="2" t="inlineStr">
        <is>
          <t>어반브릭스 국어교습소</t>
        </is>
      </c>
      <c r="C65" s="4" t="n">
        <v>1530000</v>
      </c>
      <c r="D65" s="2" t="inlineStr">
        <is>
          <t>누계(추가공사 포함)</t>
        </is>
      </c>
      <c r="E65" s="4" t="n">
        <v>988122</v>
      </c>
      <c r="F65" s="4">
        <f>C65-E65</f>
        <v/>
      </c>
      <c r="G65" s="9">
        <f>IF(C65&gt;0,F65/C65,"")</f>
        <v/>
      </c>
    </row>
    <row r="66">
      <c r="A66" s="2" t="inlineStr">
        <is>
          <t>2026년</t>
        </is>
      </c>
      <c r="B66" s="2" t="inlineStr">
        <is>
          <t>어반브릭스 기타 학원</t>
        </is>
      </c>
      <c r="C66" s="4" t="n">
        <v>10760000</v>
      </c>
      <c r="D66" s="2" t="inlineStr">
        <is>
          <t>누계(추가공사 포함)</t>
        </is>
      </c>
      <c r="E66" s="4" t="n">
        <v>4936089</v>
      </c>
      <c r="F66" s="4">
        <f>C66-E66</f>
        <v/>
      </c>
      <c r="G66" s="9">
        <f>IF(C66&gt;0,F66/C66,"")</f>
        <v/>
      </c>
    </row>
    <row r="67">
      <c r="A67" s="2" t="inlineStr">
        <is>
          <t>2026년</t>
        </is>
      </c>
      <c r="B67" s="2" t="inlineStr">
        <is>
          <t>어반브릭스 컴퓨터학원</t>
        </is>
      </c>
      <c r="C67" s="4" t="n">
        <v>14060000</v>
      </c>
      <c r="D67" s="2" t="inlineStr">
        <is>
          <t>누계(추가공사 포함)</t>
        </is>
      </c>
      <c r="E67" s="4" t="n">
        <v>8073840</v>
      </c>
      <c r="F67" s="4">
        <f>C67-E67</f>
        <v/>
      </c>
      <c r="G67" s="9">
        <f>IF(C67&gt;0,F67/C67,"")</f>
        <v/>
      </c>
    </row>
    <row r="68">
      <c r="A68" s="2" t="inlineStr">
        <is>
          <t>2026년</t>
        </is>
      </c>
      <c r="B68" s="2" t="inlineStr">
        <is>
          <t>장유사무실</t>
        </is>
      </c>
      <c r="C68" s="4" t="n">
        <v>24090000</v>
      </c>
      <c r="D68" s="2" t="inlineStr">
        <is>
          <t>누계(추가공사 포함)</t>
        </is>
      </c>
      <c r="E68" s="4" t="n">
        <v>11859389</v>
      </c>
      <c r="F68" s="4">
        <f>C68-E68</f>
        <v/>
      </c>
      <c r="G68" s="9">
        <f>IF(C68&gt;0,F68/C68,"")</f>
        <v/>
      </c>
    </row>
    <row r="69">
      <c r="A69" s="2" t="inlineStr">
        <is>
          <t>2026년</t>
        </is>
      </c>
      <c r="B69" s="2" t="inlineStr">
        <is>
          <t>토킹영어학원</t>
        </is>
      </c>
      <c r="C69" s="4" t="n">
        <v>4420000</v>
      </c>
      <c r="D69" s="2" t="inlineStr">
        <is>
          <t>누계(추가공사 포함)</t>
        </is>
      </c>
      <c r="E69" s="4" t="n">
        <v>2099303</v>
      </c>
      <c r="F69" s="4">
        <f>C69-E69</f>
        <v/>
      </c>
      <c r="G69" s="9">
        <f>IF(C69&gt;0,F69/C69,"")</f>
        <v/>
      </c>
    </row>
    <row r="70">
      <c r="A70" s="2" t="inlineStr">
        <is>
          <t>2026년</t>
        </is>
      </c>
      <c r="B70" s="2" t="inlineStr">
        <is>
          <t>현대마린엔진대표실(샷시)</t>
        </is>
      </c>
      <c r="C70" s="4" t="n">
        <v>10593000</v>
      </c>
      <c r="D70" s="2" t="inlineStr">
        <is>
          <t>누계(추가공사 포함)</t>
        </is>
      </c>
      <c r="E70" s="4" t="n">
        <v>4725247</v>
      </c>
      <c r="F70" s="4">
        <f>C70-E70</f>
        <v/>
      </c>
      <c r="G70" s="9">
        <f>IF(C70&gt;0,F70/C70,"")</f>
        <v/>
      </c>
    </row>
    <row r="71">
      <c r="A71" s="6" t="inlineStr">
        <is>
          <t>합계</t>
        </is>
      </c>
      <c r="B71" s="6" t="inlineStr"/>
      <c r="C71" s="7">
        <f>SUM(C2:C70)</f>
        <v/>
      </c>
      <c r="D71" s="6" t="inlineStr"/>
      <c r="E71" s="7">
        <f>SUM(E2:E70)</f>
        <v/>
      </c>
      <c r="F71" s="7">
        <f>SUM(F2:F70)</f>
        <v/>
      </c>
      <c r="G71" s="12">
        <f>F71/C71</f>
        <v/>
      </c>
    </row>
    <row r="73">
      <c r="A73" s="5" t="inlineStr">
        <is>
          <t>※ 수익 = 손익표 내역서 [누계](추가공사·가구 포함 총 계약금액, VAT 제외). 누계가 없거나 갑지 계약금액보다 작으면 갑지 기준. 실원가 = 내역서 실지출(부가세 제외) + 식음료/차량비. (2026-07-02 재검증 — 이전 버전은 갑지 본공사 금액만 수익으로 잡아 추가공사 있는 현장이 적자로 잘못 표시됐음)</t>
        </is>
      </c>
    </row>
  </sheetData>
  <autoFilter ref="A1:G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6" customWidth="1" min="4" max="4"/>
  </cols>
  <sheetData>
    <row r="1">
      <c r="A1" s="11" t="inlineStr">
        <is>
          <t>공종</t>
        </is>
      </c>
      <c r="B1" s="11" t="inlineStr">
        <is>
          <t>표본(현장수)</t>
        </is>
      </c>
      <c r="C1" s="11" t="inlineStr">
        <is>
          <t>실지출/견적 중앙값</t>
        </is>
      </c>
      <c r="D1" s="11" t="inlineStr">
        <is>
          <t>해석</t>
        </is>
      </c>
    </row>
    <row r="2">
      <c r="A2" s="2" t="inlineStr">
        <is>
          <t>목작업</t>
        </is>
      </c>
      <c r="B2" s="2" t="n">
        <v>58</v>
      </c>
      <c r="C2" s="13" t="n">
        <v>0.6580217357198295</v>
      </c>
      <c r="D2" s="2" t="inlineStr"/>
    </row>
    <row r="3">
      <c r="A3" s="2" t="inlineStr">
        <is>
          <t>가설</t>
        </is>
      </c>
      <c r="B3" s="2" t="n">
        <v>53</v>
      </c>
      <c r="C3" s="13" t="n">
        <v>0.4328883495145631</v>
      </c>
      <c r="D3" s="2" t="inlineStr">
        <is>
          <t>여유 큼</t>
        </is>
      </c>
    </row>
    <row r="4">
      <c r="A4" s="2" t="inlineStr">
        <is>
          <t>전기</t>
        </is>
      </c>
      <c r="B4" s="2" t="n">
        <v>52</v>
      </c>
      <c r="C4" s="13" t="n">
        <v>0.7453677431889113</v>
      </c>
      <c r="D4" s="2" t="inlineStr"/>
    </row>
    <row r="5">
      <c r="A5" s="2" t="inlineStr">
        <is>
          <t>가구</t>
        </is>
      </c>
      <c r="B5" s="2" t="n">
        <v>42</v>
      </c>
      <c r="C5" s="13" t="n">
        <v>0.8740573152337858</v>
      </c>
      <c r="D5" s="2" t="inlineStr"/>
    </row>
    <row r="6">
      <c r="A6" s="2" t="inlineStr">
        <is>
          <t>필름</t>
        </is>
      </c>
      <c r="B6" s="2" t="n">
        <v>24</v>
      </c>
      <c r="C6" s="13" t="n">
        <v>0.8286056363971266</v>
      </c>
      <c r="D6" s="2" t="inlineStr"/>
    </row>
    <row r="7">
      <c r="A7" s="2" t="inlineStr">
        <is>
          <t>철거</t>
        </is>
      </c>
      <c r="B7" s="2" t="n">
        <v>24</v>
      </c>
      <c r="C7" s="13" t="n">
        <v>0.5814601176470588</v>
      </c>
      <c r="D7" s="2" t="inlineStr">
        <is>
          <t>여유 큼</t>
        </is>
      </c>
    </row>
    <row r="8">
      <c r="A8" s="2" t="inlineStr">
        <is>
          <t>도배</t>
        </is>
      </c>
      <c r="B8" s="2" t="n">
        <v>23</v>
      </c>
      <c r="C8" s="13" t="n">
        <v>0.6165733333333333</v>
      </c>
      <c r="D8" s="2" t="inlineStr"/>
    </row>
    <row r="9">
      <c r="A9" s="2" t="inlineStr">
        <is>
          <t>설비</t>
        </is>
      </c>
      <c r="B9" s="2" t="n">
        <v>22</v>
      </c>
      <c r="C9" s="13" t="n">
        <v>0.4523075510820973</v>
      </c>
      <c r="D9" s="2" t="inlineStr">
        <is>
          <t>여유 큼</t>
        </is>
      </c>
    </row>
    <row r="10">
      <c r="A10" s="2" t="inlineStr">
        <is>
          <t>수장</t>
        </is>
      </c>
      <c r="B10" s="2" t="n">
        <v>22</v>
      </c>
      <c r="C10" s="13" t="n">
        <v>0.6454821924803139</v>
      </c>
      <c r="D10" s="2" t="inlineStr"/>
    </row>
    <row r="11">
      <c r="A11" s="2" t="inlineStr">
        <is>
          <t>금속</t>
        </is>
      </c>
      <c r="B11" s="2" t="n">
        <v>20</v>
      </c>
      <c r="C11" s="13" t="n">
        <v>0.8031838686165436</v>
      </c>
      <c r="D11" s="2" t="inlineStr"/>
    </row>
    <row r="12">
      <c r="A12" s="2" t="inlineStr">
        <is>
          <t>도장</t>
        </is>
      </c>
      <c r="B12" s="2" t="n">
        <v>19</v>
      </c>
      <c r="C12" s="13" t="n">
        <v>0.6915213469633193</v>
      </c>
      <c r="D12" s="2" t="inlineStr"/>
    </row>
    <row r="13">
      <c r="A13" s="2" t="inlineStr">
        <is>
          <t>바닥</t>
        </is>
      </c>
      <c r="B13" s="2" t="n">
        <v>18</v>
      </c>
      <c r="C13" s="13" t="n">
        <v>0.6341802003076509</v>
      </c>
      <c r="D13" s="2" t="inlineStr"/>
    </row>
    <row r="14">
      <c r="A14" s="2" t="inlineStr">
        <is>
          <t>타일</t>
        </is>
      </c>
      <c r="B14" s="2" t="n">
        <v>15</v>
      </c>
      <c r="C14" s="13" t="n">
        <v>0.6294937099454071</v>
      </c>
      <c r="D14" s="2" t="inlineStr"/>
    </row>
    <row r="15">
      <c r="A15" s="2" t="inlineStr">
        <is>
          <t>냉난방</t>
        </is>
      </c>
      <c r="B15" s="2" t="n">
        <v>13</v>
      </c>
      <c r="C15" s="13" t="n">
        <v>0.9689698927211905</v>
      </c>
      <c r="D15" s="2" t="inlineStr"/>
    </row>
    <row r="16">
      <c r="A16" s="2" t="inlineStr">
        <is>
          <t>샷시</t>
        </is>
      </c>
      <c r="B16" s="2" t="n">
        <v>9</v>
      </c>
      <c r="C16" s="13" t="n">
        <v>0.8505154639175257</v>
      </c>
      <c r="D16" s="2" t="inlineStr"/>
    </row>
    <row r="17">
      <c r="A17" s="2" t="inlineStr">
        <is>
          <t>소방</t>
        </is>
      </c>
      <c r="B17" s="2" t="n">
        <v>9</v>
      </c>
      <c r="C17" s="13" t="n">
        <v>1.31234995998933</v>
      </c>
      <c r="D17" s="2" t="inlineStr">
        <is>
          <t>견적 초과 주의</t>
        </is>
      </c>
    </row>
    <row r="18">
      <c r="A18" s="2" t="inlineStr">
        <is>
          <t>싸인</t>
        </is>
      </c>
      <c r="B18" s="2" t="n">
        <v>7</v>
      </c>
      <c r="C18" s="13" t="n">
        <v>0.8642384105960265</v>
      </c>
      <c r="D18" s="2" t="inlineStr"/>
    </row>
    <row r="19">
      <c r="A19" s="2" t="inlineStr">
        <is>
          <t>블라인드</t>
        </is>
      </c>
      <c r="B19" s="2" t="n">
        <v>6</v>
      </c>
      <c r="C19" s="13" t="n">
        <v>0.8073034000931533</v>
      </c>
      <c r="D19" s="2" t="inlineStr"/>
    </row>
    <row r="20">
      <c r="A20" s="2" t="inlineStr">
        <is>
          <t>기타작업</t>
        </is>
      </c>
      <c r="B20" s="2" t="n">
        <v>6</v>
      </c>
      <c r="C20" s="13" t="n">
        <v>0.6276624424452466</v>
      </c>
      <c r="D20" s="2" t="inlineStr"/>
    </row>
    <row r="22">
      <c r="A22" s="5" t="inlineStr">
        <is>
          <t>※ 견적금액 20만원 이상 공종만. 실지출 = 손익표 내역서 부가세 뺀 금액.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2026-07-03T05:39:42Z</dcterms:created>
  <dcterms:modified xmlns:dcterms="http://purl.org/dc/terms/" xmlns:xsi="http://www.w3.org/2001/XMLSchema-instance" xsi:type="dcterms:W3CDTF">2026-07-03T05:39:42Z</dcterms:modified>
</cp:coreProperties>
</file>