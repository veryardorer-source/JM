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defaultThemeVersion="166925"/>
  <mc:AlternateContent xmlns:mc="http://schemas.openxmlformats.org/markup-compatibility/2006">
    <mc:Choice Requires="x15">
      <x15ac:absPath xmlns:x15ac="http://schemas.microsoft.com/office/spreadsheetml/2010/11/ac" url="\\jm\002_JM회계\002_노무\01_정규직\02_급여대장\2026년\2026.03\"/>
    </mc:Choice>
  </mc:AlternateContent>
  <xr:revisionPtr revIDLastSave="0" documentId="13_ncr:1_{1E74FE9B-E7E0-4DB2-8C25-ADCA26958DCF}" xr6:coauthVersionLast="47" xr6:coauthVersionMax="47" xr10:uidLastSave="{00000000-0000-0000-0000-000000000000}"/>
  <bookViews>
    <workbookView xWindow="-120" yWindow="-120" windowWidth="29040" windowHeight="15720" activeTab="3" xr2:uid="{260CBDD0-E64A-49E3-BED5-2CEFC016E9CE}"/>
  </bookViews>
  <sheets>
    <sheet name="급여셋팅" sheetId="25" r:id="rId1"/>
    <sheet name="포괄 급여계산" sheetId="16" r:id="rId2"/>
    <sheet name="연장추가근로시" sheetId="30" r:id="rId3"/>
    <sheet name="급여대장" sheetId="10" r:id="rId4"/>
    <sheet name="근로계약서(계약직)" sheetId="27" state="hidden" r:id="rId5"/>
    <sheet name="임금명세서" sheetId="11" r:id="rId6"/>
    <sheet name="근로계약서(상용)" sheetId="24" state="hidden" r:id="rId7"/>
    <sheet name="근로계약서(현장)" sheetId="28" state="hidden" r:id="rId8"/>
    <sheet name="간이세액표" sheetId="29" state="hidden" r:id="rId9"/>
    <sheet name="임금명세서 (8~14)" sheetId="12" state="hidden" r:id="rId10"/>
    <sheet name="임금명세서 (15~18)" sheetId="14" state="hidden" r:id="rId11"/>
    <sheet name="임금명세서 (19~22)" sheetId="17" state="hidden" r:id="rId12"/>
    <sheet name="임금명세서 (23~26)" sheetId="20"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IntlFixup" hidden="1">TRUE</definedName>
    <definedName name="_Dist_Bin" localSheetId="1" hidden="1">#REF!</definedName>
    <definedName name="_Dist_Bin" hidden="1">#REF!</definedName>
    <definedName name="_Dist_Values" localSheetId="1" hidden="1">#REF!</definedName>
    <definedName name="_Dist_Values" hidden="1">#REF!</definedName>
    <definedName name="_Fill" hidden="1">[1]협가표!$C$336:$C$347</definedName>
    <definedName name="_xlnm._FilterDatabase" localSheetId="4" hidden="1">'근로계약서(계약직)'!$A$1:$J$1</definedName>
    <definedName name="_xlnm._FilterDatabase" localSheetId="6" hidden="1">'근로계약서(상용)'!$A$1:$J$1</definedName>
    <definedName name="_xlnm._FilterDatabase" localSheetId="7" hidden="1">'근로계약서(현장)'!$A$1:$J$1</definedName>
    <definedName name="_xlnm._FilterDatabase" localSheetId="0" hidden="1">급여셋팅!#REF!</definedName>
    <definedName name="_xlnm._FilterDatabase" localSheetId="1" hidden="1">'포괄 급여계산'!$A$2:$BL$12</definedName>
    <definedName name="_xlnm._FilterDatabase" hidden="1">#REF!</definedName>
    <definedName name="_Key1" localSheetId="1" hidden="1">[1]협가표!#REF!</definedName>
    <definedName name="_Key1" hidden="1">[1]협가표!#REF!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_Table1_In1" localSheetId="1" hidden="1">#REF!</definedName>
    <definedName name="_Table1_In1" hidden="1">#REF!</definedName>
    <definedName name="_Table1_Out" localSheetId="1" hidden="1">#REF!</definedName>
    <definedName name="_Table1_Out" hidden="1">#REF!</definedName>
    <definedName name="anscount" hidden="1">1</definedName>
    <definedName name="as" localSheetId="1" hidden="1">#REF!</definedName>
    <definedName name="as" hidden="1">#REF!</definedName>
    <definedName name="BM" localSheetId="1" hidden="1">#REF!</definedName>
    <definedName name="BM" hidden="1">#REF!</definedName>
    <definedName name="dddd" localSheetId="8" hidden="1">{#N/A,#N/A,FALSE,"CCTV"}</definedName>
    <definedName name="dddd" localSheetId="1" hidden="1">{#N/A,#N/A,FALSE,"CCTV"}</definedName>
    <definedName name="dddd" hidden="1">{#N/A,#N/A,FALSE,"CCTV"}</definedName>
    <definedName name="dn" localSheetId="8" hidden="1">{#N/A,#N/A,FALSE,"혼합골재"}</definedName>
    <definedName name="dn" localSheetId="1" hidden="1">{#N/A,#N/A,FALSE,"혼합골재"}</definedName>
    <definedName name="dn" hidden="1">{#N/A,#N/A,FALSE,"혼합골재"}</definedName>
    <definedName name="dsdsd" localSheetId="8" hidden="1">{#N/A,#N/A,FALSE,"운반시간"}</definedName>
    <definedName name="dsdsd" localSheetId="1" hidden="1">{#N/A,#N/A,FALSE,"운반시간"}</definedName>
    <definedName name="dsdsd" hidden="1">{#N/A,#N/A,FALSE,"운반시간"}</definedName>
    <definedName name="edssqq" localSheetId="8" hidden="1">{#N/A,#N/A,FALSE,"혼합골재"}</definedName>
    <definedName name="edssqq" localSheetId="1" hidden="1">{#N/A,#N/A,FALSE,"혼합골재"}</definedName>
    <definedName name="edssqq" hidden="1">{#N/A,#N/A,FALSE,"혼합골재"}</definedName>
    <definedName name="ee" localSheetId="8" hidden="1">{#N/A,#N/A,FALSE,"단가표지"}</definedName>
    <definedName name="ee" localSheetId="1" hidden="1">{#N/A,#N/A,FALSE,"단가표지"}</definedName>
    <definedName name="ee" hidden="1">{#N/A,#N/A,FALSE,"단가표지"}</definedName>
    <definedName name="grew" localSheetId="1" hidden="1">#REF!</definedName>
    <definedName name="grew" hidden="1">#REF!</definedName>
    <definedName name="GUSTLS" localSheetId="1" hidden="1">#REF!</definedName>
    <definedName name="GUSTLS" hidden="1">#REF!</definedName>
    <definedName name="han" localSheetId="1" hidden="1">#REF!</definedName>
    <definedName name="han" hidden="1">#REF!</definedName>
    <definedName name="HTML_CodePage" hidden="1">949</definedName>
    <definedName name="HTML_Control" localSheetId="8" hidden="1">{"'단계별시설공사비'!$A$3:$K$51"}</definedName>
    <definedName name="HTML_Control" localSheetId="4">{"'단계별시설공사비'!$A$3:$K$51"}</definedName>
    <definedName name="HTML_Control" localSheetId="6">{"'단계별시설공사비'!$A$3:$K$51"}</definedName>
    <definedName name="HTML_Control" localSheetId="7">{"'단계별시설공사비'!$A$3:$K$51"}</definedName>
    <definedName name="HTML_Control" localSheetId="1" hidden="1">{"'단계별시설공사비'!$A$3:$K$51"}</definedName>
    <definedName name="HTML_Control" hidden="1">{"'단계별시설공사비'!$A$3:$K$51"}</definedName>
    <definedName name="HTML_Description" hidden="1">""</definedName>
    <definedName name="HTML_Email" hidden="1">""</definedName>
    <definedName name="HTML_Header" hidden="1">"사업비총괄"</definedName>
    <definedName name="HTML_LastUpdate" hidden="1">"01-06-17"</definedName>
    <definedName name="HTML_LineAfter" hidden="1">FALSE</definedName>
    <definedName name="HTML_LineBefore" hidden="1">FALSE</definedName>
    <definedName name="HTML_Name" hidden="1">"김정호"</definedName>
    <definedName name="HTML_OBDlg2" hidden="1">TRUE</definedName>
    <definedName name="HTML_OBDlg4" hidden="1">TRUE</definedName>
    <definedName name="HTML_OS" hidden="1">0</definedName>
    <definedName name="HTML_PathFile" hidden="1">"C:\My Documents\6.htm"</definedName>
    <definedName name="HTML_Title" hidden="1">"비용산출"</definedName>
    <definedName name="mm" localSheetId="8" hidden="1">{#N/A,#N/A,TRUE,"토적및재료집계";#N/A,#N/A,TRUE,"토적및재료집계";#N/A,#N/A,TRUE,"단위량"}</definedName>
    <definedName name="mm" localSheetId="1" hidden="1">{#N/A,#N/A,TRUE,"토적및재료집계";#N/A,#N/A,TRUE,"토적및재료집계";#N/A,#N/A,TRUE,"단위량"}</definedName>
    <definedName name="mm" hidden="1">{#N/A,#N/A,TRUE,"토적및재료집계";#N/A,#N/A,TRUE,"토적및재료집계";#N/A,#N/A,TRUE,"단위량"}</definedName>
    <definedName name="NEWNAME" localSheetId="8" hidden="1">{#N/A,#N/A,FALSE,"CCTV"}</definedName>
    <definedName name="NEWNAME" localSheetId="1" hidden="1">{#N/A,#N/A,FALSE,"CCTV"}</definedName>
    <definedName name="NEWNAME" hidden="1">{#N/A,#N/A,FALSE,"CCTV"}</definedName>
    <definedName name="_xlnm.Print_Area" localSheetId="4">'근로계약서(계약직)'!$A$1:$J$168</definedName>
    <definedName name="_xlnm.Print_Area" localSheetId="6">'근로계약서(상용)'!$A$1:$J$168</definedName>
    <definedName name="_xlnm.Print_Area" localSheetId="7">'근로계약서(현장)'!$A$1:$J$168</definedName>
    <definedName name="_xlnm.Print_Area" localSheetId="3">급여대장!$A$1:$AD$16</definedName>
    <definedName name="_xlnm.Print_Area" localSheetId="5">임금명세서!$A$3:$BD$33</definedName>
    <definedName name="_xlnm.Print_Area" localSheetId="10">'임금명세서 (15~18)'!$A$3:$BD$34</definedName>
    <definedName name="_xlnm.Print_Area" localSheetId="11">'임금명세서 (19~22)'!$A$3:$BD$34</definedName>
    <definedName name="_xlnm.Print_Area" localSheetId="12">'임금명세서 (23~26)'!$A$3:$H$34</definedName>
    <definedName name="_xlnm.Print_Area" localSheetId="9">'임금명세서 (8~14)'!$A$3:$BD$33</definedName>
    <definedName name="qw" localSheetId="8" hidden="1">{#N/A,#N/A,FALSE,"단가표지"}</definedName>
    <definedName name="qw" localSheetId="1" hidden="1">{#N/A,#N/A,FALSE,"단가표지"}</definedName>
    <definedName name="qw" hidden="1">{#N/A,#N/A,FALSE,"단가표지"}</definedName>
    <definedName name="rkdkd" localSheetId="8" hidden="1">{#N/A,#N/A,FALSE,"2~8번"}</definedName>
    <definedName name="rkdkd" localSheetId="1" hidden="1">{#N/A,#N/A,FALSE,"2~8번"}</definedName>
    <definedName name="rkdkd" hidden="1">{#N/A,#N/A,FALSE,"2~8번"}</definedName>
    <definedName name="tr" localSheetId="1" hidden="1">#REF!</definedName>
    <definedName name="tr" hidden="1">#REF!</definedName>
    <definedName name="ujdffdf" localSheetId="8" hidden="1">{#N/A,#N/A,FALSE,"단가표지"}</definedName>
    <definedName name="ujdffdf" localSheetId="1" hidden="1">{#N/A,#N/A,FALSE,"단가표지"}</definedName>
    <definedName name="ujdffdf" hidden="1">{#N/A,#N/A,FALSE,"단가표지"}</definedName>
    <definedName name="wererr" localSheetId="8" hidden="1">{#N/A,#N/A,FALSE,"운반시간"}</definedName>
    <definedName name="wererr" localSheetId="1" hidden="1">{#N/A,#N/A,FALSE,"운반시간"}</definedName>
    <definedName name="wererr" hidden="1">{#N/A,#N/A,FALSE,"운반시간"}</definedName>
    <definedName name="werewr" localSheetId="8" hidden="1">{#N/A,#N/A,FALSE,"골재소요량";#N/A,#N/A,FALSE,"골재소요량"}</definedName>
    <definedName name="werewr" localSheetId="1" hidden="1">{#N/A,#N/A,FALSE,"골재소요량";#N/A,#N/A,FALSE,"골재소요량"}</definedName>
    <definedName name="werewr" hidden="1">{#N/A,#N/A,FALSE,"골재소요량";#N/A,#N/A,FALSE,"골재소요량"}</definedName>
    <definedName name="wm.조골재1" localSheetId="8" hidden="1">{#N/A,#N/A,FALSE,"조골재"}</definedName>
    <definedName name="wm.조골재1" localSheetId="1" hidden="1">{#N/A,#N/A,FALSE,"조골재"}</definedName>
    <definedName name="wm.조골재1" hidden="1">{#N/A,#N/A,FALSE,"조골재"}</definedName>
    <definedName name="WRITE" localSheetId="8" hidden="1">{#N/A,#N/A,FALSE,"CCTV"}</definedName>
    <definedName name="WRITE" localSheetId="1" hidden="1">{#N/A,#N/A,FALSE,"CCTV"}</definedName>
    <definedName name="WRITE" hidden="1">{#N/A,#N/A,FALSE,"CCTV"}</definedName>
    <definedName name="wrn.2번." localSheetId="8" hidden="1">{#N/A,#N/A,FALSE,"2~8번"}</definedName>
    <definedName name="wrn.2번." localSheetId="1" hidden="1">{#N/A,#N/A,FALSE,"2~8번"}</definedName>
    <definedName name="wrn.2번." hidden="1">{#N/A,#N/A,FALSE,"2~8번"}</definedName>
    <definedName name="wrn.97년._.사업계획._.및._.예산지침." localSheetId="8" hidden="1">{#N/A,#N/A,TRUE,"1";#N/A,#N/A,TRUE,"2";#N/A,#N/A,TRUE,"3";#N/A,#N/A,TRUE,"4";#N/A,#N/A,TRUE,"5";#N/A,#N/A,TRUE,"6";#N/A,#N/A,TRUE,"7"}</definedName>
    <definedName name="wrn.97년._.사업계획._.및._.예산지침." localSheetId="1" hidden="1">{#N/A,#N/A,TRUE,"1";#N/A,#N/A,TRUE,"2";#N/A,#N/A,TRUE,"3";#N/A,#N/A,TRUE,"4";#N/A,#N/A,TRUE,"5";#N/A,#N/A,TRUE,"6";#N/A,#N/A,TRUE,"7"}</definedName>
    <definedName name="wrn.97년._.사업계획._.및._.예산지침." hidden="1">{#N/A,#N/A,TRUE,"1";#N/A,#N/A,TRUE,"2";#N/A,#N/A,TRUE,"3";#N/A,#N/A,TRUE,"4";#N/A,#N/A,TRUE,"5";#N/A,#N/A,TRUE,"6";#N/A,#N/A,TRUE,"7"}</definedName>
    <definedName name="wrn.BM." localSheetId="8" hidden="1">{#N/A,#N/A,FALSE,"CCTV"}</definedName>
    <definedName name="wrn.BM." localSheetId="1" hidden="1">{#N/A,#N/A,FALSE,"CCTV"}</definedName>
    <definedName name="wrn.BM." hidden="1">{#N/A,#N/A,FALSE,"CCTV"}</definedName>
    <definedName name="wrn.건물기초."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8"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교육청." localSheetId="8" hidden="1">{#N/A,#N/A,FALSE,"전력간선"}</definedName>
    <definedName name="wrn.교육청." localSheetId="1" hidden="1">{#N/A,#N/A,FALSE,"전력간선"}</definedName>
    <definedName name="wrn.교육청." hidden="1">{#N/A,#N/A,FALSE,"전력간선"}</definedName>
    <definedName name="wrn.구조2." localSheetId="8" hidden="1">{#N/A,#N/A,FALSE,"구조2"}</definedName>
    <definedName name="wrn.구조2." localSheetId="1" hidden="1">{#N/A,#N/A,FALSE,"구조2"}</definedName>
    <definedName name="wrn.구조2." hidden="1">{#N/A,#N/A,FALSE,"구조2"}</definedName>
    <definedName name="wrn.단가표지." localSheetId="8" hidden="1">{#N/A,#N/A,FALSE,"단가표지"}</definedName>
    <definedName name="wrn.단가표지." localSheetId="1" hidden="1">{#N/A,#N/A,FALSE,"단가표지"}</definedName>
    <definedName name="wrn.단가표지." hidden="1">{#N/A,#N/A,FALSE,"단가표지"}</definedName>
    <definedName name="wrn.배수1." localSheetId="8" hidden="1">{#N/A,#N/A,FALSE,"배수1"}</definedName>
    <definedName name="wrn.배수1." localSheetId="1" hidden="1">{#N/A,#N/A,FALSE,"배수1"}</definedName>
    <definedName name="wrn.배수1." hidden="1">{#N/A,#N/A,FALSE,"배수1"}</definedName>
    <definedName name="wrn.배수2." localSheetId="8" hidden="1">{#N/A,#N/A,FALSE,"배수2"}</definedName>
    <definedName name="wrn.배수2." localSheetId="1" hidden="1">{#N/A,#N/A,FALSE,"배수2"}</definedName>
    <definedName name="wrn.배수2." hidden="1">{#N/A,#N/A,FALSE,"배수2"}</definedName>
    <definedName name="wrn.부대1." localSheetId="8" hidden="1">{#N/A,#N/A,FALSE,"부대1"}</definedName>
    <definedName name="wrn.부대1." localSheetId="1" hidden="1">{#N/A,#N/A,FALSE,"부대1"}</definedName>
    <definedName name="wrn.부대1." hidden="1">{#N/A,#N/A,FALSE,"부대1"}</definedName>
    <definedName name="wrn.부대2." localSheetId="8" hidden="1">{#N/A,#N/A,FALSE,"부대2"}</definedName>
    <definedName name="wrn.부대2." localSheetId="1" hidden="1">{#N/A,#N/A,FALSE,"부대2"}</definedName>
    <definedName name="wrn.부대2." hidden="1">{#N/A,#N/A,FALSE,"부대2"}</definedName>
    <definedName name="wrn.속도." localSheetId="8" hidden="1">{#N/A,#N/A,FALSE,"속도"}</definedName>
    <definedName name="wrn.속도." localSheetId="1" hidden="1">{#N/A,#N/A,FALSE,"속도"}</definedName>
    <definedName name="wrn.속도." hidden="1">{#N/A,#N/A,FALSE,"속도"}</definedName>
    <definedName name="wrn.신용찬." localSheetId="8" hidden="1">{#N/A,#N/A,TRUE,"토적및재료집계";#N/A,#N/A,TRUE,"토적및재료집계";#N/A,#N/A,TRUE,"단위량"}</definedName>
    <definedName name="wrn.신용찬." localSheetId="1" hidden="1">{#N/A,#N/A,TRUE,"토적및재료집계";#N/A,#N/A,TRUE,"토적및재료집계";#N/A,#N/A,TRUE,"단위량"}</definedName>
    <definedName name="wrn.신용찬." hidden="1">{#N/A,#N/A,TRUE,"토적및재료집계";#N/A,#N/A,TRUE,"토적및재료집계";#N/A,#N/A,TRUE,"단위량"}</definedName>
    <definedName name="wrn.운반시간." localSheetId="8" hidden="1">{#N/A,#N/A,FALSE,"운반시간"}</definedName>
    <definedName name="wrn.운반시간." localSheetId="1" hidden="1">{#N/A,#N/A,FALSE,"운반시간"}</definedName>
    <definedName name="wrn.운반시간." hidden="1">{#N/A,#N/A,FALSE,"운반시간"}</definedName>
    <definedName name="wrn.이정표." localSheetId="8" hidden="1">{#N/A,#N/A,FALSE,"이정표"}</definedName>
    <definedName name="wrn.이정표." localSheetId="1" hidden="1">{#N/A,#N/A,FALSE,"이정표"}</definedName>
    <definedName name="wrn.이정표." hidden="1">{#N/A,#N/A,FALSE,"이정표"}</definedName>
    <definedName name="wrn.조골재." localSheetId="8" hidden="1">{#N/A,#N/A,FALSE,"조골재"}</definedName>
    <definedName name="wrn.조골재." localSheetId="1" hidden="1">{#N/A,#N/A,FALSE,"조골재"}</definedName>
    <definedName name="wrn.조골재." hidden="1">{#N/A,#N/A,FALSE,"조골재"}</definedName>
    <definedName name="wrn.토공1." localSheetId="8" hidden="1">{#N/A,#N/A,FALSE,"구조1"}</definedName>
    <definedName name="wrn.토공1." localSheetId="1" hidden="1">{#N/A,#N/A,FALSE,"구조1"}</definedName>
    <definedName name="wrn.토공1." hidden="1">{#N/A,#N/A,FALSE,"구조1"}</definedName>
    <definedName name="wrn.토공2." localSheetId="8" hidden="1">{#N/A,#N/A,FALSE,"토공2"}</definedName>
    <definedName name="wrn.토공2." localSheetId="1" hidden="1">{#N/A,#N/A,FALSE,"토공2"}</definedName>
    <definedName name="wrn.토공2." hidden="1">{#N/A,#N/A,FALSE,"토공2"}</definedName>
    <definedName name="wrn.포장1." localSheetId="8" hidden="1">{#N/A,#N/A,FALSE,"포장1";#N/A,#N/A,FALSE,"포장1"}</definedName>
    <definedName name="wrn.포장1." localSheetId="1" hidden="1">{#N/A,#N/A,FALSE,"포장1";#N/A,#N/A,FALSE,"포장1"}</definedName>
    <definedName name="wrn.포장1." hidden="1">{#N/A,#N/A,FALSE,"포장1";#N/A,#N/A,FALSE,"포장1"}</definedName>
    <definedName name="wrn.포장2." localSheetId="8" hidden="1">{#N/A,#N/A,FALSE,"포장2"}</definedName>
    <definedName name="wrn.포장2." localSheetId="1" hidden="1">{#N/A,#N/A,FALSE,"포장2"}</definedName>
    <definedName name="wrn.포장2." hidden="1">{#N/A,#N/A,FALSE,"포장2"}</definedName>
    <definedName name="wrn.표지." localSheetId="8" hidden="1">{#N/A,#N/A,FALSE,"표지"}</definedName>
    <definedName name="wrn.표지." localSheetId="1" hidden="1">{#N/A,#N/A,FALSE,"표지"}</definedName>
    <definedName name="wrn.표지." hidden="1">{#N/A,#N/A,FALSE,"표지"}</definedName>
    <definedName name="wrn.표지목차." localSheetId="8" hidden="1">{#N/A,#N/A,FALSE,"표지목차"}</definedName>
    <definedName name="wrn.표지목차." localSheetId="1" hidden="1">{#N/A,#N/A,FALSE,"표지목차"}</definedName>
    <definedName name="wrn.표지목차." hidden="1">{#N/A,#N/A,FALSE,"표지목차"}</definedName>
    <definedName name="wrn.혼합골재." localSheetId="8" hidden="1">{#N/A,#N/A,FALSE,"혼합골재"}</definedName>
    <definedName name="wrn.혼합골재." localSheetId="1" hidden="1">{#N/A,#N/A,FALSE,"혼합골재"}</definedName>
    <definedName name="wrn.혼합골재." hidden="1">{#N/A,#N/A,FALSE,"혼합골재"}</definedName>
    <definedName name="xx" localSheetId="1" hidden="1">#REF!</definedName>
    <definedName name="xx" hidden="1">#REF!</definedName>
    <definedName name="ㄱㅈㅎ" localSheetId="1" hidden="1">#REF!</definedName>
    <definedName name="ㄱㅈㅎ" hidden="1">#REF!</definedName>
    <definedName name="가실행1" localSheetId="8" hidden="1">{#N/A,#N/A,FALSE,"배수1"}</definedName>
    <definedName name="가실행1" localSheetId="1" hidden="1">{#N/A,#N/A,FALSE,"배수1"}</definedName>
    <definedName name="가실행1" hidden="1">{#N/A,#N/A,FALSE,"배수1"}</definedName>
    <definedName name="간이세액표" localSheetId="8">간이세액표!$C$6:$N$652</definedName>
    <definedName name="간이세액표" localSheetId="1">#REF!</definedName>
    <definedName name="간이세액표">[2]간이세액표!$C$6:$N$652</definedName>
    <definedName name="강교" localSheetId="8" hidden="1">{#N/A,#N/A,FALSE,"포장2"}</definedName>
    <definedName name="강교" localSheetId="1" hidden="1">{#N/A,#N/A,FALSE,"포장2"}</definedName>
    <definedName name="강교" hidden="1">{#N/A,#N/A,FALSE,"포장2"}</definedName>
    <definedName name="강구조물" localSheetId="8" hidden="1">{#N/A,#N/A,FALSE,"포장1";#N/A,#N/A,FALSE,"포장1"}</definedName>
    <definedName name="강구조물" localSheetId="1" hidden="1">{#N/A,#N/A,FALSE,"포장1";#N/A,#N/A,FALSE,"포장1"}</definedName>
    <definedName name="강구조물" hidden="1">{#N/A,#N/A,FALSE,"포장1";#N/A,#N/A,FALSE,"포장1"}</definedName>
    <definedName name="건강보험" localSheetId="3">급여대장!$O$6:$O$10</definedName>
    <definedName name="건강보험" localSheetId="1">[3]급여기준!$AO$5:$AO$91</definedName>
    <definedName name="건강보험">#REF!</definedName>
    <definedName name="건강정산" localSheetId="3">급여대장!$U$6:$U$10</definedName>
    <definedName name="건강정산">#REF!</definedName>
    <definedName name="건축" localSheetId="8" hidden="1">{#N/A,#N/A,TRUE,"토적및재료집계";#N/A,#N/A,TRUE,"토적및재료집계";#N/A,#N/A,TRUE,"단위량"}</definedName>
    <definedName name="건축" localSheetId="1" hidden="1">{#N/A,#N/A,TRUE,"토적및재료집계";#N/A,#N/A,TRUE,"토적및재료집계";#N/A,#N/A,TRUE,"단위량"}</definedName>
    <definedName name="건축" hidden="1">{#N/A,#N/A,TRUE,"토적및재료집계";#N/A,#N/A,TRUE,"토적및재료집계";#N/A,#N/A,TRUE,"단위량"}</definedName>
    <definedName name="견적대비" localSheetId="8" hidden="1">{#N/A,#N/A,FALSE,"포장2"}</definedName>
    <definedName name="견적대비" localSheetId="1" hidden="1">{#N/A,#N/A,FALSE,"포장2"}</definedName>
    <definedName name="견적대비" hidden="1">{#N/A,#N/A,FALSE,"포장2"}</definedName>
    <definedName name="견적조건" localSheetId="8" hidden="1">{#N/A,#N/A,FALSE,"CCTV"}</definedName>
    <definedName name="견적조건" localSheetId="1" hidden="1">{#N/A,#N/A,FALSE,"CCTV"}</definedName>
    <definedName name="견적조건" hidden="1">{#N/A,#N/A,FALSE,"CCTV"}</definedName>
    <definedName name="견적조건8" localSheetId="8" hidden="1">{#N/A,#N/A,FALSE,"CCTV"}</definedName>
    <definedName name="견적조건8" localSheetId="1" hidden="1">{#N/A,#N/A,FALSE,"CCTV"}</definedName>
    <definedName name="견적조건8" hidden="1">{#N/A,#N/A,FALSE,"CCTV"}</definedName>
    <definedName name="결" localSheetId="8" hidden="1">{#N/A,#N/A,FALSE,"포장2"}</definedName>
    <definedName name="결" localSheetId="1" hidden="1">{#N/A,#N/A,FALSE,"포장2"}</definedName>
    <definedName name="결" hidden="1">{#N/A,#N/A,FALSE,"포장2"}</definedName>
    <definedName name="결과" localSheetId="8" hidden="1">{#N/A,#N/A,FALSE,"포장2"}</definedName>
    <definedName name="결과" localSheetId="1" hidden="1">{#N/A,#N/A,FALSE,"포장2"}</definedName>
    <definedName name="결과" hidden="1">{#N/A,#N/A,FALSE,"포장2"}</definedName>
    <definedName name="결근" localSheetId="1">[3]급여기준!$AQ$5:$AQ$91</definedName>
    <definedName name="결근">[4]급여기준!$AQ$5:$AQ$108</definedName>
    <definedName name="경영성과급" localSheetId="1">[3]급여기준!$AE$5:$AE$89</definedName>
    <definedName name="경영성과급">[4]급여기준!$AE$5:$AE$106</definedName>
    <definedName name="고용보험" localSheetId="3">급여대장!$R$6:$R$10</definedName>
    <definedName name="고용보험" localSheetId="1">[3]급여기준!$AM$5:$AM$91</definedName>
    <definedName name="고용보험">#REF!</definedName>
    <definedName name="고정연장근로수당" localSheetId="3">급여대장!$I$6:$I$10</definedName>
    <definedName name="고정연장근로수당">#REF!</definedName>
    <definedName name="공사원가계산서" localSheetId="8" hidden="1">{#N/A,#N/A,TRUE,"토적및재료집계";#N/A,#N/A,TRUE,"토적및재료집계";#N/A,#N/A,TRUE,"단위량"}</definedName>
    <definedName name="공사원가계산서" localSheetId="1" hidden="1">{#N/A,#N/A,TRUE,"토적및재료집계";#N/A,#N/A,TRUE,"토적및재료집계";#N/A,#N/A,TRUE,"단위량"}</definedName>
    <definedName name="공사원가계산서" hidden="1">{#N/A,#N/A,TRUE,"토적및재료집계";#N/A,#N/A,TRUE,"토적및재료집계";#N/A,#N/A,TRUE,"단위량"}</definedName>
    <definedName name="공제내역">[5]공제내역!$B$10:$N$49</definedName>
    <definedName name="공제총액" localSheetId="1">[3]급여기준!$AS$5:$AS$91</definedName>
    <definedName name="공제총액">[4]급여기준!$AS$5:$AS$108</definedName>
    <definedName name="공제합계" localSheetId="3">급여대장!$AB$6:$AB$10</definedName>
    <definedName name="공제합계">#REF!</definedName>
    <definedName name="과세_합계" localSheetId="3">급여대장!$N$6:$N$10</definedName>
    <definedName name="과세_합계">#REF!</definedName>
    <definedName name="과표">SUM(#REF!)+MAX(0,#REF!-100000)+MAX(0,#REF!-200000)+MAX(0,#REF!-100000)</definedName>
    <definedName name="관리" localSheetId="8" hidden="1">{#N/A,#N/A,FALSE,"포장2"}</definedName>
    <definedName name="관리" localSheetId="1" hidden="1">{#N/A,#N/A,FALSE,"포장2"}</definedName>
    <definedName name="관리" hidden="1">{#N/A,#N/A,FALSE,"포장2"}</definedName>
    <definedName name="교좌" localSheetId="8" hidden="1">{#N/A,#N/A,FALSE,"포장2"}</definedName>
    <definedName name="교좌" localSheetId="1" hidden="1">{#N/A,#N/A,FALSE,"포장2"}</definedName>
    <definedName name="교좌" hidden="1">{#N/A,#N/A,FALSE,"포장2"}</definedName>
    <definedName name="국민연금" localSheetId="3">급여대장!$Q$6:$Q$10</definedName>
    <definedName name="국민연금" localSheetId="1">[3]급여기준!$AN$5:$AN$91</definedName>
    <definedName name="국민연금">#REF!</definedName>
    <definedName name="권대협" localSheetId="8" hidden="1">{#N/A,#N/A,FALSE,"CCTV"}</definedName>
    <definedName name="권대협" localSheetId="1" hidden="1">{#N/A,#N/A,FALSE,"CCTV"}</definedName>
    <definedName name="권대협" hidden="1">{#N/A,#N/A,FALSE,"CCTV"}</definedName>
    <definedName name="근로시간">#REF!</definedName>
    <definedName name="금광추정" localSheetId="8" hidden="1">{#N/A,#N/A,FALSE,"포장2"}</definedName>
    <definedName name="금광추정" localSheetId="1" hidden="1">{#N/A,#N/A,FALSE,"포장2"}</definedName>
    <definedName name="금광추정" hidden="1">{#N/A,#N/A,FALSE,"포장2"}</definedName>
    <definedName name="급여_합계" localSheetId="3">급여대장!$K$6:$K$10</definedName>
    <definedName name="급여_합계">#REF!</definedName>
    <definedName name="급여대장">[5]급여대장!$D$5:$AC$44</definedName>
    <definedName name="기_본_급" localSheetId="3">급여대장!$G$6:$G$10</definedName>
    <definedName name="기_본_급">#REF!</definedName>
    <definedName name="기본급" localSheetId="1">[3]급여기준!$U$5:$U$91</definedName>
    <definedName name="기본급">[4]급여기준!$U$5:$U$108</definedName>
    <definedName name="기성3" localSheetId="8" hidden="1">{#N/A,#N/A,FALSE,"CCTV"}</definedName>
    <definedName name="기성3" localSheetId="1" hidden="1">{#N/A,#N/A,FALSE,"CCTV"}</definedName>
    <definedName name="기성3" hidden="1">{#N/A,#N/A,FALSE,"CCTV"}</definedName>
    <definedName name="기성갑" localSheetId="1" hidden="1">#REF!</definedName>
    <definedName name="기성갑" hidden="1">#REF!</definedName>
    <definedName name="기술" localSheetId="8" hidden="1">{#N/A,#N/A,FALSE,"부대1"}</definedName>
    <definedName name="기술" localSheetId="1" hidden="1">{#N/A,#N/A,FALSE,"부대1"}</definedName>
    <definedName name="기술" hidden="1">{#N/A,#N/A,FALSE,"부대1"}</definedName>
    <definedName name="ㄴㄱㄹ" localSheetId="1" hidden="1">#REF!</definedName>
    <definedName name="ㄴㄱㄹ" hidden="1">#REF!</definedName>
    <definedName name="ㄴㄴ" localSheetId="8" hidden="1">{#N/A,#N/A,FALSE,"CCTV"}</definedName>
    <definedName name="ㄴㄴ" localSheetId="1" hidden="1">{#N/A,#N/A,FALSE,"CCTV"}</definedName>
    <definedName name="ㄴㄴ" hidden="1">{#N/A,#N/A,FALSE,"CCTV"}</definedName>
    <definedName name="ㄷ" localSheetId="8" hidden="1">{#N/A,#N/A,TRUE,"토적및재료집계";#N/A,#N/A,TRUE,"토적및재료집계";#N/A,#N/A,TRUE,"단위량"}</definedName>
    <definedName name="ㄷ" localSheetId="1" hidden="1">{#N/A,#N/A,TRUE,"토적및재료집계";#N/A,#N/A,TRUE,"토적및재료집계";#N/A,#N/A,TRUE,"단위량"}</definedName>
    <definedName name="ㄷ" hidden="1">{#N/A,#N/A,TRUE,"토적및재료집계";#N/A,#N/A,TRUE,"토적및재료집계";#N/A,#N/A,TRUE,"단위량"}</definedName>
    <definedName name="단ㄱ" localSheetId="8" hidden="1">{#N/A,#N/A,FALSE,"전력간선"}</definedName>
    <definedName name="단ㄱ" localSheetId="1" hidden="1">{#N/A,#N/A,FALSE,"전력간선"}</definedName>
    <definedName name="단ㄱ" hidden="1">{#N/A,#N/A,FALSE,"전력간선"}</definedName>
    <definedName name="당직비" localSheetId="1">[3]급여기준!$W$5:$W$91</definedName>
    <definedName name="당직비">[4]급여기준!$W$5:$W$108</definedName>
    <definedName name="대덕" localSheetId="8" hidden="1">{#N/A,#N/A,FALSE,"CCTV"}</definedName>
    <definedName name="대덕" localSheetId="1" hidden="1">{#N/A,#N/A,FALSE,"CCTV"}</definedName>
    <definedName name="대덕" hidden="1">{#N/A,#N/A,FALSE,"CCTV"}</definedName>
    <definedName name="덕" localSheetId="8" hidden="1">{#N/A,#N/A,FALSE,"포장2"}</definedName>
    <definedName name="덕" localSheetId="1" hidden="1">{#N/A,#N/A,FALSE,"포장2"}</definedName>
    <definedName name="덕" hidden="1">{#N/A,#N/A,FALSE,"포장2"}</definedName>
    <definedName name="덕진" localSheetId="8" hidden="1">{#N/A,#N/A,FALSE,"포장2"}</definedName>
    <definedName name="덕진" localSheetId="1" hidden="1">{#N/A,#N/A,FALSE,"포장2"}</definedName>
    <definedName name="덕진" hidden="1">{#N/A,#N/A,FALSE,"포장2"}</definedName>
    <definedName name="디비">[6]DB!$A:$N</definedName>
    <definedName name="ㄹ" localSheetId="8" hidden="1">{#N/A,#N/A,TRUE,"토적및재료집계";#N/A,#N/A,TRUE,"토적및재료집계";#N/A,#N/A,TRUE,"단위량"}</definedName>
    <definedName name="ㄹ" localSheetId="1" hidden="1">{#N/A,#N/A,TRUE,"토적및재료집계";#N/A,#N/A,TRUE,"토적및재료집계";#N/A,#N/A,TRUE,"단위량"}</definedName>
    <definedName name="ㄹ" hidden="1">{#N/A,#N/A,TRUE,"토적및재료집계";#N/A,#N/A,TRUE,"토적및재료집계";#N/A,#N/A,TRUE,"단위량"}</definedName>
    <definedName name="ㄹㄹㄹ" localSheetId="1" hidden="1">#REF!</definedName>
    <definedName name="ㄹㄹㄹ" hidden="1">#REF!</definedName>
    <definedName name="ㄹ호" localSheetId="1" hidden="1">#REF!</definedName>
    <definedName name="ㄹ호" hidden="1">#REF!</definedName>
    <definedName name="ㅀ허" localSheetId="8" hidden="1">{#N/A,#N/A,FALSE,"CCTV"}</definedName>
    <definedName name="ㅀ허" localSheetId="1" hidden="1">{#N/A,#N/A,FALSE,"CCTV"}</definedName>
    <definedName name="ㅀ허" hidden="1">{#N/A,#N/A,FALSE,"CCTV"}</definedName>
    <definedName name="ㅀ허ㅏㅏ">[7]기초데이타!$A$2:$A$763</definedName>
    <definedName name="ㅁㅁㅁ" localSheetId="1" hidden="1">#REF!</definedName>
    <definedName name="ㅁㅁㅁ" hidden="1">#REF!</definedName>
    <definedName name="ㅁㅁㅁㅁㅁㅁ" localSheetId="1" hidden="1">#REF!</definedName>
    <definedName name="ㅁㅁㅁㅁㅁㅁ" hidden="1">#REF!</definedName>
    <definedName name="명일" localSheetId="8" hidden="1">{#N/A,#N/A,FALSE,"속도"}</definedName>
    <definedName name="명일" localSheetId="1" hidden="1">{#N/A,#N/A,FALSE,"속도"}</definedName>
    <definedName name="명일" hidden="1">{#N/A,#N/A,FALSE,"속도"}</definedName>
    <definedName name="ㅂ" localSheetId="8" hidden="1">{#N/A,#N/A,TRUE,"토적및재료집계";#N/A,#N/A,TRUE,"토적및재료집계";#N/A,#N/A,TRUE,"단위량"}</definedName>
    <definedName name="ㅂ" localSheetId="1" hidden="1">{#N/A,#N/A,TRUE,"토적및재료집계";#N/A,#N/A,TRUE,"토적및재료집계";#N/A,#N/A,TRUE,"단위량"}</definedName>
    <definedName name="ㅂ" hidden="1">{#N/A,#N/A,TRUE,"토적및재료집계";#N/A,#N/A,TRUE,"토적및재료집계";#N/A,#N/A,TRUE,"단위량"}</definedName>
    <definedName name="ㅂㅂ" localSheetId="8" hidden="1">{#N/A,#N/A,FALSE,"표지"}</definedName>
    <definedName name="ㅂㅂ" localSheetId="1" hidden="1">{#N/A,#N/A,FALSE,"표지"}</definedName>
    <definedName name="ㅂㅂ" hidden="1">{#N/A,#N/A,FALSE,"표지"}</definedName>
    <definedName name="ㅂㅈ" localSheetId="8" hidden="1">{#N/A,#N/A,TRUE,"1";#N/A,#N/A,TRUE,"2";#N/A,#N/A,TRUE,"3";#N/A,#N/A,TRUE,"4";#N/A,#N/A,TRUE,"5";#N/A,#N/A,TRUE,"6";#N/A,#N/A,TRUE,"7"}</definedName>
    <definedName name="ㅂㅈ" localSheetId="1" hidden="1">{#N/A,#N/A,TRUE,"1";#N/A,#N/A,TRUE,"2";#N/A,#N/A,TRUE,"3";#N/A,#N/A,TRUE,"4";#N/A,#N/A,TRUE,"5";#N/A,#N/A,TRUE,"6";#N/A,#N/A,TRUE,"7"}</definedName>
    <definedName name="ㅂㅈ" hidden="1">{#N/A,#N/A,TRUE,"1";#N/A,#N/A,TRUE,"2";#N/A,#N/A,TRUE,"3";#N/A,#N/A,TRUE,"4";#N/A,#N/A,TRUE,"5";#N/A,#N/A,TRUE,"6";#N/A,#N/A,TRUE,"7"}</definedName>
    <definedName name="바붕" localSheetId="8" hidden="1">{#N/A,#N/A,FALSE,"전력간선"}</definedName>
    <definedName name="바붕" localSheetId="1" hidden="1">{#N/A,#N/A,FALSE,"전력간선"}</definedName>
    <definedName name="바붕" hidden="1">{#N/A,#N/A,FALSE,"전력간선"}</definedName>
    <definedName name="보링" localSheetId="8" hidden="1">{#N/A,#N/A,FALSE,"포장2"}</definedName>
    <definedName name="보링" localSheetId="1" hidden="1">{#N/A,#N/A,FALSE,"포장2"}</definedName>
    <definedName name="보링" hidden="1">{#N/A,#N/A,FALSE,"포장2"}</definedName>
    <definedName name="보험료범위">OFFSET(#REF!,,,COUNTA(#REF!)-2,7)</definedName>
    <definedName name="보험요율" localSheetId="8">MAX((INDEX(보험료범위,,2)=#REF!)*(INDEX(보험료범위,,1)&lt;=#REF!)*ROW(INDEX(보험료범위,,1)))</definedName>
    <definedName name="보험요율">MAX((INDEX(보험료범위,,2)=#REF!)*(INDEX(보험료범위,,1)&lt;=#REF!)*ROW(INDEX(보험료범위,,1)))</definedName>
    <definedName name="보험적용">[8]기초데이타!#REF!</definedName>
    <definedName name="보험정산" localSheetId="1">[3]급여기준!$AR$5:$AR$91</definedName>
    <definedName name="보험정산">[4]급여기준!$AR$5:$AR$108</definedName>
    <definedName name="봉등비교" localSheetId="8" hidden="1">{#N/A,#N/A,FALSE,"CCTV"}</definedName>
    <definedName name="봉등비교" localSheetId="1" hidden="1">{#N/A,#N/A,FALSE,"CCTV"}</definedName>
    <definedName name="봉등비교" hidden="1">{#N/A,#N/A,FALSE,"CCTV"}</definedName>
    <definedName name="부대원가" localSheetId="8" hidden="1">{#N/A,#N/A,FALSE,"배수2"}</definedName>
    <definedName name="부대원가" localSheetId="1" hidden="1">{#N/A,#N/A,FALSE,"배수2"}</definedName>
    <definedName name="부대원가" hidden="1">{#N/A,#N/A,FALSE,"배수2"}</definedName>
    <definedName name="사원명부">OFFSET(#REF!,,,MAX(#REF!))</definedName>
    <definedName name="삼호" localSheetId="8" hidden="1">{#N/A,#N/A,FALSE,"배수2"}</definedName>
    <definedName name="삼호" localSheetId="1" hidden="1">{#N/A,#N/A,FALSE,"배수2"}</definedName>
    <definedName name="삼호" hidden="1">{#N/A,#N/A,FALSE,"배수2"}</definedName>
    <definedName name="상여금" localSheetId="1">[3]급여기준!$AD$5:$AD$87</definedName>
    <definedName name="상여금">[4]급여기준!$AD$5:$AD$105</definedName>
    <definedName name="설명" localSheetId="8" hidden="1">{#N/A,#N/A,FALSE,"부대1"}</definedName>
    <definedName name="설명" localSheetId="1" hidden="1">{#N/A,#N/A,FALSE,"부대1"}</definedName>
    <definedName name="설명" hidden="1">{#N/A,#N/A,FALSE,"부대1"}</definedName>
    <definedName name="설명서" localSheetId="8" hidden="1">{#N/A,#N/A,FALSE,"포장1";#N/A,#N/A,FALSE,"포장1"}</definedName>
    <definedName name="설명서" localSheetId="1" hidden="1">{#N/A,#N/A,FALSE,"포장1";#N/A,#N/A,FALSE,"포장1"}</definedName>
    <definedName name="설명서" hidden="1">{#N/A,#N/A,FALSE,"포장1";#N/A,#N/A,FALSE,"포장1"}</definedName>
    <definedName name="성명" localSheetId="3">급여대장!$B$6:$B$10</definedName>
    <definedName name="성명" localSheetId="1">[3]급여기준!$B$5:$B$91</definedName>
    <definedName name="성명">#REF!</definedName>
    <definedName name="성별" localSheetId="1">[3]급여기준!$F$5:$F$87</definedName>
    <definedName name="성별">[4]급여기준!$F$5:$F$105</definedName>
    <definedName name="소득세" localSheetId="3">급여대장!$S$6:$S$10</definedName>
    <definedName name="소득세" localSheetId="1">[3]급여기준!$AJ$5:$AJ$91</definedName>
    <definedName name="소득세">#REF!</definedName>
    <definedName name="소득세정산" localSheetId="3">급여대장!$X$6:$X$10</definedName>
    <definedName name="소득세정산">#REF!</definedName>
    <definedName name="시급">ROUNDUP(SUM(#REF!)/209,0)</definedName>
    <definedName name="식대" localSheetId="3">급여대장!$H$6:$H$10</definedName>
    <definedName name="식대" localSheetId="1">[3]급여기준!$AG$5:$AG$91</definedName>
    <definedName name="식대">#REF!</definedName>
    <definedName name="ㅇㄹ" localSheetId="1" hidden="1">#REF!</definedName>
    <definedName name="ㅇㄹ" hidden="1">#REF!</definedName>
    <definedName name="ㅇㄹㄹ" localSheetId="1" hidden="1">#REF!</definedName>
    <definedName name="ㅇㄹㄹ" hidden="1">#REF!</definedName>
    <definedName name="아무" localSheetId="8" hidden="1">{#N/A,#N/A,FALSE,"배수2"}</definedName>
    <definedName name="아무" localSheetId="1" hidden="1">{#N/A,#N/A,FALSE,"배수2"}</definedName>
    <definedName name="아무" hidden="1">{#N/A,#N/A,FALSE,"배수2"}</definedName>
    <definedName name="아무거나" localSheetId="8" hidden="1">{#N/A,#N/A,FALSE,"배수2"}</definedName>
    <definedName name="아무거나" localSheetId="1" hidden="1">{#N/A,#N/A,FALSE,"배수2"}</definedName>
    <definedName name="아무거나" hidden="1">{#N/A,#N/A,FALSE,"배수2"}</definedName>
    <definedName name="아이원만남1" localSheetId="8" hidden="1">{#N/A,#N/A,TRUE,"토적및재료집계";#N/A,#N/A,TRUE,"토적및재료집계";#N/A,#N/A,TRUE,"단위량"}</definedName>
    <definedName name="아이원만남1" localSheetId="1" hidden="1">{#N/A,#N/A,TRUE,"토적및재료집계";#N/A,#N/A,TRUE,"토적및재료집계";#N/A,#N/A,TRUE,"단위량"}</definedName>
    <definedName name="아이원만남1" hidden="1">{#N/A,#N/A,TRUE,"토적및재료집계";#N/A,#N/A,TRUE,"토적및재료집계";#N/A,#N/A,TRUE,"단위량"}</definedName>
    <definedName name="아ㅓ림" localSheetId="8" hidden="1">{#N/A,#N/A,FALSE,"포장1";#N/A,#N/A,FALSE,"포장1"}</definedName>
    <definedName name="아ㅓ림" localSheetId="1" hidden="1">{#N/A,#N/A,FALSE,"포장1";#N/A,#N/A,FALSE,"포장1"}</definedName>
    <definedName name="아ㅓ림" hidden="1">{#N/A,#N/A,FALSE,"포장1";#N/A,#N/A,FALSE,"포장1"}</definedName>
    <definedName name="야간수당" localSheetId="1">[3]급여기준!$Z$5:$Z$91</definedName>
    <definedName name="야간수당">[4]급여기준!$Z$5:$Z$108</definedName>
    <definedName name="억이상" localSheetId="8" hidden="1">{#N/A,#N/A,FALSE,"2~8번"}</definedName>
    <definedName name="억이상" localSheetId="1" hidden="1">{#N/A,#N/A,FALSE,"2~8번"}</definedName>
    <definedName name="억이상" hidden="1">{#N/A,#N/A,FALSE,"2~8번"}</definedName>
    <definedName name="업" localSheetId="8" hidden="1">{#N/A,#N/A,FALSE,"포장2"}</definedName>
    <definedName name="업" localSheetId="1" hidden="1">{#N/A,#N/A,FALSE,"포장2"}</definedName>
    <definedName name="업" hidden="1">{#N/A,#N/A,FALSE,"포장2"}</definedName>
    <definedName name="업무추진비" localSheetId="1">[3]급여기준!$V$5:$V$91</definedName>
    <definedName name="업무추진비">[4]급여기준!$V$5:$V$108</definedName>
    <definedName name="업종" localSheetId="8" hidden="1">{#N/A,#N/A,FALSE,"포장2"}</definedName>
    <definedName name="업종" localSheetId="1" hidden="1">{#N/A,#N/A,FALSE,"포장2"}</definedName>
    <definedName name="업종" hidden="1">{#N/A,#N/A,FALSE,"포장2"}</definedName>
    <definedName name="업체" localSheetId="8" hidden="1">{#N/A,#N/A,FALSE,"구조2"}</definedName>
    <definedName name="업체" localSheetId="1" hidden="1">{#N/A,#N/A,FALSE,"구조2"}</definedName>
    <definedName name="업체" hidden="1">{#N/A,#N/A,FALSE,"구조2"}</definedName>
    <definedName name="업체순위" localSheetId="8" hidden="1">{#N/A,#N/A,FALSE,"배수2"}</definedName>
    <definedName name="업체순위" localSheetId="1" hidden="1">{#N/A,#N/A,FALSE,"배수2"}</definedName>
    <definedName name="업체순위" hidden="1">{#N/A,#N/A,FALSE,"배수2"}</definedName>
    <definedName name="연금정산" localSheetId="3">급여대장!$W$6:$W$10</definedName>
    <definedName name="연금정산">#REF!</definedName>
    <definedName name="연말정산" localSheetId="1">[3]급여기준!$AL$5:$AL$88</definedName>
    <definedName name="연말정산">[4]급여기준!$AL$5:$AL$105</definedName>
    <definedName name="연번" localSheetId="3">급여대장!$A$6:$A$10</definedName>
    <definedName name="연번">#REF!</definedName>
    <definedName name="연봉계약기간">[9]입력폼!#REF!</definedName>
    <definedName name="연봉총액">[9]입력폼!#REF!</definedName>
    <definedName name="연장수당" localSheetId="1">[3]급여기준!$Y$5:$Y$91</definedName>
    <definedName name="연장수당">[4]급여기준!$Y$5:$Y$108</definedName>
    <definedName name="연차수당" localSheetId="1">[3]급여기준!$AB$5:$AB$87</definedName>
    <definedName name="연차수당">[4]급여기준!$AB$5:$AB$105</definedName>
    <definedName name="예정가" localSheetId="8" hidden="1">{#N/A,#N/A,FALSE,"포장2"}</definedName>
    <definedName name="예정가" localSheetId="1" hidden="1">{#N/A,#N/A,FALSE,"포장2"}</definedName>
    <definedName name="예정가" hidden="1">{#N/A,#N/A,FALSE,"포장2"}</definedName>
    <definedName name="완도" localSheetId="8" hidden="1">{#N/A,#N/A,FALSE,"포장2"}</definedName>
    <definedName name="완도" localSheetId="1" hidden="1">{#N/A,#N/A,FALSE,"포장2"}</definedName>
    <definedName name="완도" hidden="1">{#N/A,#N/A,FALSE,"포장2"}</definedName>
    <definedName name="요양보험" localSheetId="1">[3]급여기준!$AP$5:$AP$91</definedName>
    <definedName name="요양보험">[4]급여기준!$AP$5:$AP$108</definedName>
    <definedName name="용용" localSheetId="8" hidden="1">{#N/A,#N/A,FALSE,"포장2"}</definedName>
    <definedName name="용용" localSheetId="1" hidden="1">{#N/A,#N/A,FALSE,"포장2"}</definedName>
    <definedName name="용용" hidden="1">{#N/A,#N/A,FALSE,"포장2"}</definedName>
    <definedName name="원가" localSheetId="8" hidden="1">{#N/A,#N/A,FALSE,"운반시간"}</definedName>
    <definedName name="원가" localSheetId="1" hidden="1">{#N/A,#N/A,FALSE,"운반시간"}</definedName>
    <definedName name="원가" hidden="1">{#N/A,#N/A,FALSE,"운반시간"}</definedName>
    <definedName name="위치" localSheetId="1">[3]개인명세서!$E$2</definedName>
    <definedName name="위치">[4]개인명세서!$E$2</definedName>
    <definedName name="육아수당" localSheetId="1">[3]급여기준!$AI$5:$AI$91</definedName>
    <definedName name="육아수당">[4]급여기준!$AI$5:$AI$108</definedName>
    <definedName name="이름" localSheetId="8" hidden="1">{#N/A,#N/A,FALSE,"구조1"}</definedName>
    <definedName name="이름" localSheetId="1" hidden="1">{#N/A,#N/A,FALSE,"구조1"}</definedName>
    <definedName name="이름" hidden="1">{#N/A,#N/A,FALSE,"구조1"}</definedName>
    <definedName name="이종열">[10]기초데이타!$A$2:$A$763</definedName>
    <definedName name="일수">DAY(#REF!)</definedName>
    <definedName name="임금테이블">[5]임금테이블!$F$32:$AB$71</definedName>
    <definedName name="입사일" localSheetId="3">급여대장!$E$6:$E$10</definedName>
    <definedName name="입사일" localSheetId="1">[3]급여기준!$C$5:$C$91</definedName>
    <definedName name="입사일">#REF!</definedName>
    <definedName name="자재2" localSheetId="8" hidden="1">{#N/A,#N/A,FALSE,"구조2"}</definedName>
    <definedName name="자재2" localSheetId="1" hidden="1">{#N/A,#N/A,FALSE,"구조2"}</definedName>
    <definedName name="자재2" hidden="1">{#N/A,#N/A,FALSE,"구조2"}</definedName>
    <definedName name="장기요양" localSheetId="3">급여대장!$P$6:$P$10</definedName>
    <definedName name="장기요양">#REF!</definedName>
    <definedName name="장기요양정산" localSheetId="3">급여대장!$V$6:$V$10</definedName>
    <definedName name="장기요양정산">#REF!</definedName>
    <definedName name="전기내역" localSheetId="8" hidden="1">{#N/A,#N/A,FALSE,"CCTV"}</definedName>
    <definedName name="전기내역" localSheetId="1" hidden="1">{#N/A,#N/A,FALSE,"CCTV"}</definedName>
    <definedName name="전기내역" hidden="1">{#N/A,#N/A,FALSE,"CCTV"}</definedName>
    <definedName name="주민번호" localSheetId="3">급여대장!$C$6:$C$10</definedName>
    <definedName name="주민번호">#REF!</definedName>
    <definedName name="주민세" localSheetId="3">급여대장!$T$6:$T$10</definedName>
    <definedName name="주민세" localSheetId="1">[3]급여기준!$AK$5:$AK$91</definedName>
    <definedName name="주민세">#REF!</definedName>
    <definedName name="주민세정산" localSheetId="3">급여대장!$Y$6:$Y$10</definedName>
    <definedName name="주민세정산">#REF!</definedName>
    <definedName name="지급총액" localSheetId="3">급여대장!$AA$6:$AA$10</definedName>
    <definedName name="지급총액" localSheetId="1">[3]급여기준!$L$5:$L$91</definedName>
    <definedName name="지급총액">#REF!</definedName>
    <definedName name="지역업체" localSheetId="8" hidden="1">{#N/A,#N/A,FALSE,"배수2"}</definedName>
    <definedName name="지역업체" localSheetId="1" hidden="1">{#N/A,#N/A,FALSE,"배수2"}</definedName>
    <definedName name="지역업체" hidden="1">{#N/A,#N/A,FALSE,"배수2"}</definedName>
    <definedName name="지철" localSheetId="8" hidden="1">{#N/A,#N/A,FALSE,"포장2"}</definedName>
    <definedName name="지철" localSheetId="1" hidden="1">{#N/A,#N/A,FALSE,"포장2"}</definedName>
    <definedName name="지철" hidden="1">{#N/A,#N/A,FALSE,"포장2"}</definedName>
    <definedName name="지철자재" localSheetId="8" hidden="1">{#N/A,#N/A,FALSE,"포장2"}</definedName>
    <definedName name="지철자재" localSheetId="1" hidden="1">{#N/A,#N/A,FALSE,"포장2"}</definedName>
    <definedName name="지철자재" hidden="1">{#N/A,#N/A,FALSE,"포장2"}</definedName>
    <definedName name="지토" localSheetId="8" hidden="1">{#N/A,#N/A,FALSE,"포장1";#N/A,#N/A,FALSE,"포장1"}</definedName>
    <definedName name="지토" localSheetId="1" hidden="1">{#N/A,#N/A,FALSE,"포장1";#N/A,#N/A,FALSE,"포장1"}</definedName>
    <definedName name="지토" hidden="1">{#N/A,#N/A,FALSE,"포장1";#N/A,#N/A,FALSE,"포장1"}</definedName>
    <definedName name="지토자재" localSheetId="8" hidden="1">{#N/A,#N/A,FALSE,"포장2"}</definedName>
    <definedName name="지토자재" localSheetId="1" hidden="1">{#N/A,#N/A,FALSE,"포장2"}</definedName>
    <definedName name="지토자재" hidden="1">{#N/A,#N/A,FALSE,"포장2"}</definedName>
    <definedName name="직매54P" localSheetId="8" hidden="1">{#N/A,#N/A,TRUE,"토적및재료집계";#N/A,#N/A,TRUE,"토적및재료집계";#N/A,#N/A,TRUE,"단위량"}</definedName>
    <definedName name="직매54P" localSheetId="1" hidden="1">{#N/A,#N/A,TRUE,"토적및재료집계";#N/A,#N/A,TRUE,"토적및재료집계";#N/A,#N/A,TRUE,"단위량"}</definedName>
    <definedName name="직매54P" hidden="1">{#N/A,#N/A,TRUE,"토적및재료집계";#N/A,#N/A,TRUE,"토적및재료집계";#N/A,#N/A,TRUE,"단위량"}</definedName>
    <definedName name="직위" localSheetId="1">[3]급여기준!$E$5:$E$87</definedName>
    <definedName name="직위">[4]급여기준!$E$5:$E$105</definedName>
    <definedName name="차감지급액" localSheetId="3">급여대장!$AD$6:$AD$10</definedName>
    <definedName name="차감지급액" localSheetId="1">[3]급여기준!$AT$5:$AT$91</definedName>
    <definedName name="차감지급액">#REF!</definedName>
    <definedName name="차량유지비" localSheetId="1">[3]급여기준!$AH$5:$AH$91</definedName>
    <definedName name="차량유지비">[4]급여기준!$AH$5:$AH$108</definedName>
    <definedName name="총" localSheetId="8" hidden="1">{#N/A,#N/A,FALSE,"부대1"}</definedName>
    <definedName name="총" localSheetId="1" hidden="1">{#N/A,#N/A,FALSE,"부대1"}</definedName>
    <definedName name="총" hidden="1">{#N/A,#N/A,FALSE,"부대1"}</definedName>
    <definedName name="최영만">[11]기초데이타!$A$2:$A$444</definedName>
    <definedName name="추정" localSheetId="8" hidden="1">{#N/A,#N/A,FALSE,"포장2"}</definedName>
    <definedName name="추정" localSheetId="1" hidden="1">{#N/A,#N/A,FALSE,"포장2"}</definedName>
    <definedName name="추정" hidden="1">{#N/A,#N/A,FALSE,"포장2"}</definedName>
    <definedName name="케이블간지" localSheetId="8" hidden="1">{#N/A,#N/A,TRUE,"토적및재료집계";#N/A,#N/A,TRUE,"토적및재료집계";#N/A,#N/A,TRUE,"단위량"}</definedName>
    <definedName name="케이블간지" localSheetId="1" hidden="1">{#N/A,#N/A,TRUE,"토적및재료집계";#N/A,#N/A,TRUE,"토적및재료집계";#N/A,#N/A,TRUE,"단위량"}</definedName>
    <definedName name="케이블간지" hidden="1">{#N/A,#N/A,TRUE,"토적및재료집계";#N/A,#N/A,TRUE,"토적및재료집계";#N/A,#N/A,TRUE,"단위량"}</definedName>
    <definedName name="태영지급" localSheetId="8" hidden="1">{#N/A,#N/A,FALSE,"부대1"}</definedName>
    <definedName name="태영지급" localSheetId="1" hidden="1">{#N/A,#N/A,FALSE,"부대1"}</definedName>
    <definedName name="태영지급" hidden="1">{#N/A,#N/A,FALSE,"부대1"}</definedName>
    <definedName name="토" localSheetId="1" hidden="1">#REF!</definedName>
    <definedName name="토" hidden="1">#REF!</definedName>
    <definedName name="토공" localSheetId="8" hidden="1">{#N/A,#N/A,FALSE,"포장2"}</definedName>
    <definedName name="토공" localSheetId="1" hidden="1">{#N/A,#N/A,FALSE,"포장2"}</definedName>
    <definedName name="토공" hidden="1">{#N/A,#N/A,FALSE,"포장2"}</definedName>
    <definedName name="토공11" localSheetId="8" hidden="1">{#N/A,#N/A,FALSE,"포장2"}</definedName>
    <definedName name="토공11" localSheetId="1" hidden="1">{#N/A,#N/A,FALSE,"포장2"}</definedName>
    <definedName name="토공11" hidden="1">{#N/A,#N/A,FALSE,"포장2"}</definedName>
    <definedName name="토목설계" localSheetId="8"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퇴사일" localSheetId="3">급여대장!$F$6:$F$10</definedName>
    <definedName name="퇴사일">#REF!</definedName>
    <definedName name="퇴직금" localSheetId="1">[3]급여기준!$AF$5:$AF$87</definedName>
    <definedName name="퇴직금">[4]급여기준!$AF$5:$AF$105</definedName>
    <definedName name="퇴직정산" localSheetId="1">[3]급여기준!$AU$5:$AU$87</definedName>
    <definedName name="퇴직정산">[4]급여기준!$AU$5:$AU$105</definedName>
    <definedName name="투3" localSheetId="8" hidden="1">{#N/A,#N/A,FALSE,"배수2"}</definedName>
    <definedName name="투3" localSheetId="1" hidden="1">{#N/A,#N/A,FALSE,"배수2"}</definedName>
    <definedName name="투3" hidden="1">{#N/A,#N/A,FALSE,"배수2"}</definedName>
    <definedName name="투찰표" localSheetId="8" hidden="1">{#N/A,#N/A,FALSE,"부대1"}</definedName>
    <definedName name="투찰표" localSheetId="1" hidden="1">{#N/A,#N/A,FALSE,"부대1"}</definedName>
    <definedName name="투찰표" hidden="1">{#N/A,#N/A,FALSE,"부대1"}</definedName>
    <definedName name="특근수당" localSheetId="1">[3]급여기준!$AC$5:$AC$87</definedName>
    <definedName name="특근수당">[4]급여기준!$AC$5:$AC$105</definedName>
    <definedName name="ㅍㅍ" localSheetId="8" hidden="1">{#N/A,#N/A,TRUE,"토적및재료집계";#N/A,#N/A,TRUE,"토적및재료집계";#N/A,#N/A,TRUE,"단위량"}</definedName>
    <definedName name="ㅍㅍ" localSheetId="1" hidden="1">{#N/A,#N/A,TRUE,"토적및재료집계";#N/A,#N/A,TRUE,"토적및재료집계";#N/A,#N/A,TRUE,"단위량"}</definedName>
    <definedName name="ㅍㅍ" hidden="1">{#N/A,#N/A,TRUE,"토적및재료집계";#N/A,#N/A,TRUE,"토적및재료집계";#N/A,#N/A,TRUE,"단위량"}</definedName>
    <definedName name="팔" localSheetId="1" hidden="1">#REF!</definedName>
    <definedName name="팔" hidden="1">#REF!</definedName>
    <definedName name="피부양자" localSheetId="3">급여대장!$D$6:$D$10</definedName>
    <definedName name="피부양자">#REF!</definedName>
    <definedName name="ㅎ5">#REF!</definedName>
    <definedName name="하한선" localSheetId="8" hidden="1">{#N/A,#N/A,FALSE,"배수2"}</definedName>
    <definedName name="하한선" localSheetId="1" hidden="1">{#N/A,#N/A,FALSE,"배수2"}</definedName>
    <definedName name="하한선" hidden="1">{#N/A,#N/A,FALSE,"배수2"}</definedName>
    <definedName name="한" localSheetId="1" hidden="1">#REF!</definedName>
    <definedName name="한" hidden="1">#REF!</definedName>
    <definedName name="합" localSheetId="8" hidden="1">{#N/A,#N/A,FALSE,"포장2"}</definedName>
    <definedName name="합" localSheetId="1" hidden="1">{#N/A,#N/A,FALSE,"포장2"}</definedName>
    <definedName name="합" hidden="1">{#N/A,#N/A,FALSE,"포장2"}</definedName>
    <definedName name="현조" localSheetId="1" hidden="1">#REF!</definedName>
    <definedName name="현조" hidden="1">#REF!</definedName>
    <definedName name="협" localSheetId="8" hidden="1">{#N/A,#N/A,FALSE,"배수2"}</definedName>
    <definedName name="협" localSheetId="1" hidden="1">{#N/A,#N/A,FALSE,"배수2"}</definedName>
    <definedName name="협" hidden="1">{#N/A,#N/A,FALSE,"배수2"}</definedName>
    <definedName name="협력" localSheetId="8" hidden="1">{#N/A,#N/A,FALSE,"포장2"}</definedName>
    <definedName name="협력" localSheetId="1" hidden="1">{#N/A,#N/A,FALSE,"포장2"}</definedName>
    <definedName name="협력" hidden="1">{#N/A,#N/A,FALSE,"포장2"}</definedName>
    <definedName name="협력업체" localSheetId="8" hidden="1">{#N/A,#N/A,FALSE,"포장2"}</definedName>
    <definedName name="협력업체" localSheetId="1" hidden="1">{#N/A,#N/A,FALSE,"포장2"}</definedName>
    <definedName name="협력업체" hidden="1">{#N/A,#N/A,FALSE,"포장2"}</definedName>
    <definedName name="협철" localSheetId="8" hidden="1">{#N/A,#N/A,FALSE,"포장2"}</definedName>
    <definedName name="협철" localSheetId="1" hidden="1">{#N/A,#N/A,FALSE,"포장2"}</definedName>
    <definedName name="협철" hidden="1">{#N/A,#N/A,FALSE,"포장2"}</definedName>
    <definedName name="협토" localSheetId="8" hidden="1">{#N/A,#N/A,FALSE,"포장1";#N/A,#N/A,FALSE,"포장1"}</definedName>
    <definedName name="협토" localSheetId="1" hidden="1">{#N/A,#N/A,FALSE,"포장1";#N/A,#N/A,FALSE,"포장1"}</definedName>
    <definedName name="협토" hidden="1">{#N/A,#N/A,FALSE,"포장1";#N/A,#N/A,FALSE,"포장1"}</definedName>
    <definedName name="협토1" localSheetId="8" hidden="1">{#N/A,#N/A,FALSE,"포장2"}</definedName>
    <definedName name="협토1" localSheetId="1" hidden="1">{#N/A,#N/A,FALSE,"포장2"}</definedName>
    <definedName name="협토1" hidden="1">{#N/A,#N/A,FALSE,"포장2"}</definedName>
    <definedName name="협토자재" localSheetId="8" hidden="1">{#N/A,#N/A,FALSE,"포장2"}</definedName>
    <definedName name="협토자재" localSheetId="1" hidden="1">{#N/A,#N/A,FALSE,"포장2"}</definedName>
    <definedName name="협토자재" hidden="1">{#N/A,#N/A,FALSE,"포장2"}</definedName>
    <definedName name="형제" localSheetId="8" hidden="1">{#N/A,#N/A,FALSE,"포장2"}</definedName>
    <definedName name="형제" localSheetId="1" hidden="1">{#N/A,#N/A,FALSE,"포장2"}</definedName>
    <definedName name="형제" hidden="1">{#N/A,#N/A,FALSE,"포장2"}</definedName>
    <definedName name="호봉표" localSheetId="1">[12]호봉표!#REF!</definedName>
    <definedName name="호봉표">[12]호봉표!#REF!</definedName>
    <definedName name="호호" localSheetId="8" hidden="1">{#N/A,#N/A,FALSE,"부대1"}</definedName>
    <definedName name="호호" localSheetId="1" hidden="1">{#N/A,#N/A,FALSE,"부대1"}</definedName>
    <definedName name="호호" hidden="1">{#N/A,#N/A,FALSE,"부대1"}</definedName>
    <definedName name="확인용">[13]기초데이타!#REF!</definedName>
    <definedName name="휴일수당" localSheetId="1">[3]급여기준!$AA$5:$AA$91</definedName>
    <definedName name="휴일수당">[4]급여기준!$AA$5:$AA$108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8" i="10" l="1" a="1"/>
  <c r="T8" i="10" s="1"/>
  <c r="X14" i="16"/>
  <c r="U22" i="11"/>
  <c r="W19" i="11"/>
  <c r="W18" i="11"/>
  <c r="O19" i="11"/>
  <c r="O18" i="11"/>
  <c r="D7" i="16"/>
  <c r="M7" i="16"/>
  <c r="L7" i="16" s="1"/>
  <c r="N7" i="16"/>
  <c r="O7" i="16"/>
  <c r="P7" i="16"/>
  <c r="Q7" i="16"/>
  <c r="R7" i="16"/>
  <c r="S7" i="16"/>
  <c r="AB7" i="16"/>
  <c r="Z14" i="16"/>
  <c r="D3" i="16"/>
  <c r="D6" i="16"/>
  <c r="F5" i="30"/>
  <c r="AB5" i="16"/>
  <c r="S5" i="16"/>
  <c r="R5" i="16"/>
  <c r="Q5" i="16"/>
  <c r="P5" i="16"/>
  <c r="O5" i="16"/>
  <c r="N5" i="16"/>
  <c r="M5" i="16"/>
  <c r="L5" i="16" s="1"/>
  <c r="K5" i="16"/>
  <c r="D5" i="16"/>
  <c r="D4" i="16"/>
  <c r="D8" i="16"/>
  <c r="S8" i="16"/>
  <c r="S9" i="16"/>
  <c r="S10" i="16"/>
  <c r="S11" i="16"/>
  <c r="S12" i="16"/>
  <c r="AA7" i="16" l="1"/>
  <c r="Z7" i="16"/>
  <c r="U7" i="16" s="1"/>
  <c r="Z5" i="16"/>
  <c r="U5" i="16" s="1"/>
  <c r="AA5" i="16"/>
  <c r="G16" i="30"/>
  <c r="G17" i="30"/>
  <c r="G18" i="30"/>
  <c r="G19" i="30"/>
  <c r="G20" i="30"/>
  <c r="H20" i="30" s="1"/>
  <c r="G15" i="30"/>
  <c r="E16" i="30"/>
  <c r="H16" i="30" s="1"/>
  <c r="E17" i="30"/>
  <c r="H17" i="30" s="1"/>
  <c r="E18" i="30"/>
  <c r="H18" i="30" s="1"/>
  <c r="E19" i="30"/>
  <c r="H19" i="30" s="1"/>
  <c r="E15" i="30"/>
  <c r="J13" i="10"/>
  <c r="L13" i="10"/>
  <c r="M13" i="10"/>
  <c r="J14" i="10"/>
  <c r="L14" i="10"/>
  <c r="M14" i="10"/>
  <c r="J15" i="10"/>
  <c r="L15" i="10"/>
  <c r="M15" i="10"/>
  <c r="M12" i="10"/>
  <c r="L12" i="10"/>
  <c r="H13" i="10"/>
  <c r="H14" i="10"/>
  <c r="H15" i="10"/>
  <c r="H12" i="10"/>
  <c r="G13" i="10"/>
  <c r="G14" i="10"/>
  <c r="G15" i="10"/>
  <c r="B12" i="10"/>
  <c r="C12" i="10"/>
  <c r="M11" i="10"/>
  <c r="L11" i="10"/>
  <c r="A1" i="10"/>
  <c r="H15" i="30" l="1"/>
  <c r="D9" i="16"/>
  <c r="K9" i="16"/>
  <c r="M9" i="16"/>
  <c r="L9" i="16" s="1"/>
  <c r="N9" i="16"/>
  <c r="O9" i="16"/>
  <c r="P9" i="16"/>
  <c r="Q9" i="16"/>
  <c r="R9" i="16"/>
  <c r="AB9" i="16"/>
  <c r="AE9" i="16"/>
  <c r="D10" i="16"/>
  <c r="K10" i="16"/>
  <c r="M10" i="16"/>
  <c r="L10" i="16" s="1"/>
  <c r="N10" i="16"/>
  <c r="O10" i="16"/>
  <c r="P10" i="16"/>
  <c r="Q10" i="16"/>
  <c r="R10" i="16"/>
  <c r="AB10" i="16"/>
  <c r="AE10" i="16"/>
  <c r="D11" i="16"/>
  <c r="K11" i="16"/>
  <c r="M11" i="16"/>
  <c r="L11" i="16" s="1"/>
  <c r="Z11" i="16" s="1"/>
  <c r="U11" i="16" s="1"/>
  <c r="AG11" i="16" s="1"/>
  <c r="N11" i="16"/>
  <c r="O11" i="16"/>
  <c r="P11" i="16"/>
  <c r="Q11" i="16"/>
  <c r="R11" i="16"/>
  <c r="AB11" i="16"/>
  <c r="AE11" i="16"/>
  <c r="D12" i="16"/>
  <c r="K12" i="16"/>
  <c r="M12" i="16"/>
  <c r="L12" i="16" s="1"/>
  <c r="AA12" i="16" s="1"/>
  <c r="N12" i="16"/>
  <c r="O12" i="16"/>
  <c r="P12" i="16"/>
  <c r="Q12" i="16"/>
  <c r="R12" i="16"/>
  <c r="AB12" i="16"/>
  <c r="AE12" i="16"/>
  <c r="M8" i="16"/>
  <c r="H4" i="30"/>
  <c r="H5" i="30"/>
  <c r="H6" i="30"/>
  <c r="H7" i="30"/>
  <c r="H3" i="30"/>
  <c r="S3" i="16" s="1"/>
  <c r="AA3" i="16" s="1"/>
  <c r="K6" i="10" s="1"/>
  <c r="J4" i="30" l="1"/>
  <c r="S4" i="16"/>
  <c r="AA4" i="16" s="1"/>
  <c r="K7" i="10" s="1"/>
  <c r="J5" i="30"/>
  <c r="J6" i="30"/>
  <c r="S6" i="16"/>
  <c r="J7" i="30"/>
  <c r="K15" i="10"/>
  <c r="O15" i="10" s="1"/>
  <c r="P15" i="10" s="1"/>
  <c r="Q15" i="10" s="1"/>
  <c r="J3" i="30"/>
  <c r="AA9" i="16"/>
  <c r="Z9" i="16"/>
  <c r="AA10" i="16"/>
  <c r="Z10" i="16"/>
  <c r="U10" i="16" s="1"/>
  <c r="AA11" i="16"/>
  <c r="Z12" i="16"/>
  <c r="U12" i="16" s="1"/>
  <c r="AG12" i="16" s="1"/>
  <c r="F4" i="30"/>
  <c r="F3" i="30"/>
  <c r="T15" i="10" a="1"/>
  <c r="T15" i="10" s="1"/>
  <c r="U15" i="10" s="1"/>
  <c r="U9" i="16" l="1"/>
  <c r="J12" i="10"/>
  <c r="AG9" i="16"/>
  <c r="G12" i="10"/>
  <c r="K14" i="10"/>
  <c r="O14" i="10" s="1"/>
  <c r="K13" i="10"/>
  <c r="O13" i="10" s="1"/>
  <c r="K12" i="10"/>
  <c r="O12" i="10" s="1"/>
  <c r="AG10" i="16"/>
  <c r="AF10" i="16"/>
  <c r="AF12" i="16"/>
  <c r="AF11" i="16"/>
  <c r="AF9" i="16"/>
  <c r="O6" i="29"/>
  <c r="P14" i="10" l="1"/>
  <c r="Q14" i="10" s="1"/>
  <c r="T14" i="10" a="1"/>
  <c r="T14" i="10" s="1"/>
  <c r="U14" i="10" s="1"/>
  <c r="P13" i="10"/>
  <c r="Q13" i="10" s="1"/>
  <c r="T13" i="10" a="1"/>
  <c r="T13" i="10" s="1"/>
  <c r="U13" i="10" s="1"/>
  <c r="X16" i="10"/>
  <c r="W16" i="10"/>
  <c r="E31" i="11"/>
  <c r="E30" i="11"/>
  <c r="E105" i="28" l="1"/>
  <c r="E104" i="28"/>
  <c r="D104" i="28"/>
  <c r="F76" i="28"/>
  <c r="F75" i="28"/>
  <c r="F74" i="28"/>
  <c r="F73" i="28"/>
  <c r="A63" i="28"/>
  <c r="E56" i="28"/>
  <c r="F125" i="28" s="1"/>
  <c r="E54" i="28"/>
  <c r="E53" i="28"/>
  <c r="D53" i="28"/>
  <c r="C10" i="28"/>
  <c r="C9" i="28"/>
  <c r="F124" i="28" s="1"/>
  <c r="C4" i="28"/>
  <c r="E3" i="28"/>
  <c r="H168" i="28" s="1"/>
  <c r="A3" i="28"/>
  <c r="B104" i="28" s="1"/>
  <c r="F73" i="24"/>
  <c r="F74" i="24"/>
  <c r="F75" i="24"/>
  <c r="M6" i="16"/>
  <c r="L6" i="16" s="1"/>
  <c r="AA6" i="16" s="1"/>
  <c r="K9" i="10" s="1"/>
  <c r="K10" i="10"/>
  <c r="L8" i="16"/>
  <c r="AA8" i="16" s="1"/>
  <c r="R6" i="16"/>
  <c r="AE4" i="16"/>
  <c r="AE5" i="16"/>
  <c r="AE6" i="16"/>
  <c r="AE7" i="16"/>
  <c r="AE8" i="16"/>
  <c r="AE3" i="16"/>
  <c r="H6" i="10"/>
  <c r="I12" i="10"/>
  <c r="I13" i="10"/>
  <c r="I14" i="10"/>
  <c r="I15" i="10"/>
  <c r="H71" i="28"/>
  <c r="R8" i="16"/>
  <c r="BA30" i="11"/>
  <c r="F7" i="10"/>
  <c r="F8" i="10"/>
  <c r="F9" i="10"/>
  <c r="F10" i="10"/>
  <c r="F12" i="10"/>
  <c r="F13" i="10"/>
  <c r="R13" i="10" s="1"/>
  <c r="F14" i="10"/>
  <c r="R14" i="10" s="1"/>
  <c r="F15" i="10"/>
  <c r="R15" i="10" s="1"/>
  <c r="F6" i="10"/>
  <c r="L4" i="16"/>
  <c r="L3" i="16"/>
  <c r="K8" i="10"/>
  <c r="J4" i="16"/>
  <c r="J6" i="16"/>
  <c r="C15" i="28"/>
  <c r="J3" i="16"/>
  <c r="L7" i="10"/>
  <c r="O5" i="25"/>
  <c r="F76" i="27"/>
  <c r="F76" i="24"/>
  <c r="C10" i="24"/>
  <c r="C9" i="24"/>
  <c r="F124" i="24" s="1"/>
  <c r="C10" i="27"/>
  <c r="C9" i="27"/>
  <c r="F124" i="27" s="1"/>
  <c r="M7" i="10"/>
  <c r="M8" i="10"/>
  <c r="M9" i="10"/>
  <c r="M10" i="10"/>
  <c r="M6" i="10"/>
  <c r="E105" i="27"/>
  <c r="D104" i="27"/>
  <c r="F75" i="27"/>
  <c r="F74" i="27"/>
  <c r="E56" i="27"/>
  <c r="F125" i="27" s="1"/>
  <c r="E54" i="27"/>
  <c r="E53" i="27"/>
  <c r="E104" i="27" s="1"/>
  <c r="D53" i="27"/>
  <c r="C15" i="27"/>
  <c r="C4" i="27"/>
  <c r="E3" i="27"/>
  <c r="H168" i="27" s="1"/>
  <c r="A3" i="27"/>
  <c r="A162" i="27" s="1"/>
  <c r="C4" i="24"/>
  <c r="C7" i="10"/>
  <c r="C11" i="10"/>
  <c r="K11" i="10" l="1"/>
  <c r="F11" i="10"/>
  <c r="M16" i="10"/>
  <c r="I68" i="28"/>
  <c r="E63" i="28"/>
  <c r="E107" i="28"/>
  <c r="E106" i="28"/>
  <c r="I51" i="28"/>
  <c r="F123" i="28"/>
  <c r="B53" i="28"/>
  <c r="A136" i="28"/>
  <c r="A156" i="28"/>
  <c r="E55" i="28"/>
  <c r="A162" i="28"/>
  <c r="B53" i="27"/>
  <c r="E55" i="27"/>
  <c r="I68" i="27"/>
  <c r="E107" i="27"/>
  <c r="F123" i="27"/>
  <c r="B104" i="27"/>
  <c r="A136" i="27"/>
  <c r="A156" i="27"/>
  <c r="A63" i="27"/>
  <c r="I51" i="27"/>
  <c r="E63" i="27"/>
  <c r="E106" i="27"/>
  <c r="E105" i="24"/>
  <c r="E54" i="24"/>
  <c r="E53" i="24"/>
  <c r="E104" i="24" s="1"/>
  <c r="N11" i="10" l="1"/>
  <c r="O11" i="10"/>
  <c r="A3" i="24"/>
  <c r="E56" i="24" l="1"/>
  <c r="F125" i="24" s="1"/>
  <c r="E3" i="24"/>
  <c r="AJ3" i="16"/>
  <c r="E31" i="14" l="1"/>
  <c r="G7" i="14"/>
  <c r="C7" i="14"/>
  <c r="G6" i="14"/>
  <c r="C6" i="14"/>
  <c r="C5" i="14"/>
  <c r="AB4" i="16"/>
  <c r="AB6" i="16"/>
  <c r="AB8" i="16"/>
  <c r="AB3" i="16"/>
  <c r="C15" i="24"/>
  <c r="P5" i="25" l="1"/>
  <c r="BA31" i="11" s="1"/>
  <c r="P3" i="25"/>
  <c r="B6" i="10"/>
  <c r="K4" i="16" l="1"/>
  <c r="K6" i="16"/>
  <c r="K7" i="16"/>
  <c r="K8" i="16"/>
  <c r="K3" i="16"/>
  <c r="O4" i="16"/>
  <c r="O6" i="16"/>
  <c r="E12" i="28"/>
  <c r="O8" i="16"/>
  <c r="O3" i="16"/>
  <c r="N4" i="16"/>
  <c r="N6" i="16"/>
  <c r="C12" i="28"/>
  <c r="N8" i="16"/>
  <c r="N3" i="16"/>
  <c r="Q4" i="16"/>
  <c r="Q6" i="16"/>
  <c r="F13" i="28"/>
  <c r="Q8" i="16"/>
  <c r="Q3" i="16"/>
  <c r="P4" i="16"/>
  <c r="P6" i="16"/>
  <c r="D13" i="28"/>
  <c r="P8" i="16"/>
  <c r="P3" i="16"/>
  <c r="F13" i="24" l="1"/>
  <c r="F13" i="27"/>
  <c r="D13" i="24"/>
  <c r="D13" i="27"/>
  <c r="E12" i="24"/>
  <c r="E12" i="27"/>
  <c r="C12" i="24"/>
  <c r="C12" i="27"/>
  <c r="AK31" i="12"/>
  <c r="AK32" i="12" l="1"/>
  <c r="P4" i="25" l="1"/>
  <c r="P6" i="25"/>
  <c r="P7" i="25"/>
  <c r="O4" i="25"/>
  <c r="O6" i="25"/>
  <c r="O7" i="25"/>
  <c r="O3" i="25"/>
  <c r="N4" i="25"/>
  <c r="Q4" i="25"/>
  <c r="N7" i="25"/>
  <c r="N6" i="25"/>
  <c r="N5" i="25"/>
  <c r="N3" i="25"/>
  <c r="AK6" i="10"/>
  <c r="AK5" i="10"/>
  <c r="E6" i="10"/>
  <c r="AM7" i="12"/>
  <c r="AI7" i="12"/>
  <c r="C8" i="10"/>
  <c r="C9" i="10"/>
  <c r="C10" i="10"/>
  <c r="C13" i="10"/>
  <c r="C14" i="10"/>
  <c r="C15" i="10"/>
  <c r="C6" i="10"/>
  <c r="AC31" i="12" l="1"/>
  <c r="M30" i="11"/>
  <c r="AK30" i="11"/>
  <c r="U31" i="11"/>
  <c r="AC31" i="11"/>
  <c r="M31" i="11"/>
  <c r="AS31" i="11"/>
  <c r="AK31" i="11"/>
  <c r="U30" i="11"/>
  <c r="R7" i="25"/>
  <c r="R4" i="25"/>
  <c r="R6" i="25"/>
  <c r="R3" i="25"/>
  <c r="R5" i="25"/>
  <c r="E31" i="12" l="1"/>
  <c r="H71" i="27"/>
  <c r="H71" i="24"/>
  <c r="H72" i="27"/>
  <c r="M31" i="12"/>
  <c r="U31" i="12"/>
  <c r="Z4" i="16"/>
  <c r="U4" i="16" s="1"/>
  <c r="F71" i="24"/>
  <c r="Z8" i="16"/>
  <c r="U8" i="16" s="1"/>
  <c r="D104" i="24"/>
  <c r="D53" i="24"/>
  <c r="A162" i="24"/>
  <c r="F70" i="28" l="1"/>
  <c r="F71" i="28"/>
  <c r="AC32" i="12"/>
  <c r="L9" i="10"/>
  <c r="Z6" i="16"/>
  <c r="U6" i="16" s="1"/>
  <c r="U14" i="16" s="1"/>
  <c r="L8" i="10"/>
  <c r="B104" i="24"/>
  <c r="A63" i="24"/>
  <c r="A136" i="24"/>
  <c r="B53" i="24"/>
  <c r="A156" i="24"/>
  <c r="F86" i="28" l="1"/>
  <c r="AF4" i="16"/>
  <c r="AG4" i="16"/>
  <c r="AG7" i="16"/>
  <c r="AF7" i="16"/>
  <c r="AG8" i="16"/>
  <c r="AF8" i="16"/>
  <c r="AG5" i="16"/>
  <c r="AF5" i="16"/>
  <c r="H73" i="27"/>
  <c r="M32" i="12"/>
  <c r="U32" i="12"/>
  <c r="L10" i="10"/>
  <c r="Z3" i="16"/>
  <c r="B7" i="10"/>
  <c r="AE7" i="12"/>
  <c r="W7" i="12"/>
  <c r="O7" i="12"/>
  <c r="G7" i="11"/>
  <c r="E8" i="10"/>
  <c r="W7" i="11" s="1"/>
  <c r="E9" i="10"/>
  <c r="AE7" i="11" s="1"/>
  <c r="E10" i="10"/>
  <c r="AM7" i="11" s="1"/>
  <c r="E11" i="10"/>
  <c r="AU7" i="11" s="1"/>
  <c r="E12" i="10"/>
  <c r="BC7" i="11" s="1"/>
  <c r="E13" i="10"/>
  <c r="E14" i="10"/>
  <c r="E15" i="10"/>
  <c r="E7" i="10"/>
  <c r="U3" i="16" l="1"/>
  <c r="AG6" i="16"/>
  <c r="AF6" i="16"/>
  <c r="E32" i="12"/>
  <c r="F72" i="27"/>
  <c r="F73" i="27"/>
  <c r="F71" i="27"/>
  <c r="L6" i="10"/>
  <c r="L16" i="10" s="1"/>
  <c r="O7" i="11"/>
  <c r="AA7" i="12"/>
  <c r="B15" i="10"/>
  <c r="S7" i="12" s="1"/>
  <c r="B14" i="10"/>
  <c r="K7" i="12" s="1"/>
  <c r="B13" i="10"/>
  <c r="B11" i="10"/>
  <c r="B10" i="10"/>
  <c r="B9" i="10"/>
  <c r="AI3" i="16"/>
  <c r="AC16" i="10"/>
  <c r="AF3" i="16" l="1"/>
  <c r="AG3" i="16"/>
  <c r="B8" i="10"/>
  <c r="I8" i="10"/>
  <c r="H8" i="10"/>
  <c r="G18" i="20" l="1"/>
  <c r="S25" i="20"/>
  <c r="G7" i="20"/>
  <c r="C7" i="20"/>
  <c r="K22" i="20"/>
  <c r="C22" i="20"/>
  <c r="G19" i="20"/>
  <c r="BC6" i="20"/>
  <c r="AY6" i="20"/>
  <c r="AU6" i="20"/>
  <c r="AQ6" i="20"/>
  <c r="AM6" i="20"/>
  <c r="AI6" i="20"/>
  <c r="G6" i="20"/>
  <c r="C6" i="20"/>
  <c r="AY5" i="20"/>
  <c r="AQ5" i="20"/>
  <c r="AI5" i="20"/>
  <c r="AA5" i="20"/>
  <c r="S5" i="20"/>
  <c r="K5" i="20"/>
  <c r="C5" i="20"/>
  <c r="I1" i="20"/>
  <c r="Q1" i="20" s="1"/>
  <c r="Y1" i="20" s="1"/>
  <c r="K7" i="17"/>
  <c r="AA7" i="17"/>
  <c r="AG1" i="20" l="1"/>
  <c r="AO1" i="20" l="1"/>
  <c r="AW1" i="20" l="1"/>
  <c r="C14" i="20" l="1"/>
  <c r="C13" i="20"/>
  <c r="C6" i="11" l="1"/>
  <c r="AE7" i="14"/>
  <c r="W7" i="14"/>
  <c r="O7" i="14"/>
  <c r="BC7" i="12"/>
  <c r="AU7" i="12"/>
  <c r="G7" i="12"/>
  <c r="G6" i="11"/>
  <c r="AA14" i="17" l="1"/>
  <c r="AA13" i="17"/>
  <c r="A14" i="10"/>
  <c r="A15" i="10"/>
  <c r="O19" i="17" l="1"/>
  <c r="G19" i="17"/>
  <c r="O18" i="17"/>
  <c r="G18" i="17"/>
  <c r="W19" i="17"/>
  <c r="W18" i="17"/>
  <c r="S22" i="17"/>
  <c r="S7" i="17"/>
  <c r="K22" i="17"/>
  <c r="C22" i="17"/>
  <c r="C7" i="17"/>
  <c r="BC6" i="17"/>
  <c r="AY6" i="17"/>
  <c r="AU6" i="17"/>
  <c r="AQ6" i="17"/>
  <c r="AM6" i="17"/>
  <c r="AI6" i="17"/>
  <c r="AE6" i="17"/>
  <c r="AA6" i="17"/>
  <c r="W6" i="17"/>
  <c r="S6" i="17"/>
  <c r="O6" i="17"/>
  <c r="K6" i="17"/>
  <c r="G6" i="17"/>
  <c r="C6" i="17"/>
  <c r="AY5" i="17"/>
  <c r="AQ5" i="17"/>
  <c r="AI5" i="17"/>
  <c r="AA5" i="17"/>
  <c r="S5" i="17"/>
  <c r="K5" i="17"/>
  <c r="C5" i="17"/>
  <c r="I1" i="17"/>
  <c r="Q1" i="17" l="1"/>
  <c r="Y1" i="17" l="1"/>
  <c r="AE31" i="17" l="1"/>
  <c r="AG1" i="17"/>
  <c r="AO1" i="17" l="1"/>
  <c r="AW1" i="17" l="1"/>
  <c r="S14" i="17" l="1"/>
  <c r="S13" i="17"/>
  <c r="K14" i="17"/>
  <c r="K13" i="17"/>
  <c r="C14" i="17"/>
  <c r="C13" i="17" l="1"/>
  <c r="I10" i="10" l="1"/>
  <c r="I9" i="10"/>
  <c r="I7" i="10"/>
  <c r="I6" i="10"/>
  <c r="I16" i="10" s="1"/>
  <c r="H10" i="10"/>
  <c r="H7" i="10"/>
  <c r="H16" i="10" s="1"/>
  <c r="A10" i="10"/>
  <c r="BC6" i="14"/>
  <c r="AY6" i="14"/>
  <c r="AU6" i="14"/>
  <c r="AQ6" i="14"/>
  <c r="AM6" i="14"/>
  <c r="AI6" i="14"/>
  <c r="AE6" i="14"/>
  <c r="AA6" i="14"/>
  <c r="W6" i="14"/>
  <c r="S6" i="14"/>
  <c r="O6" i="14"/>
  <c r="K6" i="14"/>
  <c r="AY5" i="14"/>
  <c r="AQ5" i="14"/>
  <c r="AI5" i="14"/>
  <c r="AA5" i="14"/>
  <c r="S5" i="14"/>
  <c r="K5" i="14"/>
  <c r="I1" i="14"/>
  <c r="BC6" i="12"/>
  <c r="AY6" i="12"/>
  <c r="AU6" i="12"/>
  <c r="AQ6" i="12"/>
  <c r="AM6" i="12"/>
  <c r="AI6" i="12"/>
  <c r="AE6" i="12"/>
  <c r="AA6" i="12"/>
  <c r="W6" i="12"/>
  <c r="S6" i="12"/>
  <c r="O6" i="12"/>
  <c r="K6" i="12"/>
  <c r="G6" i="12"/>
  <c r="C6" i="12"/>
  <c r="AY5" i="12"/>
  <c r="AQ5" i="12"/>
  <c r="AI5" i="12"/>
  <c r="AA5" i="12"/>
  <c r="S5" i="12"/>
  <c r="K5" i="12"/>
  <c r="C5" i="12"/>
  <c r="AY6" i="11"/>
  <c r="AQ6" i="11"/>
  <c r="AI6" i="11"/>
  <c r="AA6" i="11"/>
  <c r="S6" i="11"/>
  <c r="K6" i="11"/>
  <c r="A12" i="10"/>
  <c r="A13" i="10"/>
  <c r="Q1" i="14" l="1"/>
  <c r="BC6" i="11"/>
  <c r="AY5" i="11"/>
  <c r="Y1" i="14" l="1"/>
  <c r="Y16" i="10"/>
  <c r="V16" i="10"/>
  <c r="AG1" i="14" l="1"/>
  <c r="AU6" i="11"/>
  <c r="AQ5" i="11"/>
  <c r="AM6" i="11"/>
  <c r="AI5" i="11"/>
  <c r="AE6" i="11"/>
  <c r="AA5" i="11"/>
  <c r="W6" i="11"/>
  <c r="S5" i="11"/>
  <c r="O6" i="11"/>
  <c r="K5" i="11"/>
  <c r="I1" i="11"/>
  <c r="Q1" i="11" l="1"/>
  <c r="AO1" i="14"/>
  <c r="C5" i="11"/>
  <c r="A9" i="10"/>
  <c r="A8" i="10"/>
  <c r="A7" i="10"/>
  <c r="A6" i="10"/>
  <c r="AE18" i="11" l="1"/>
  <c r="G14" i="14"/>
  <c r="K17" i="11"/>
  <c r="G15" i="14"/>
  <c r="C16" i="14"/>
  <c r="G31" i="14" s="1"/>
  <c r="G12" i="14"/>
  <c r="G25" i="14" s="1"/>
  <c r="C13" i="14"/>
  <c r="G13" i="14"/>
  <c r="C14" i="14"/>
  <c r="E30" i="12"/>
  <c r="C12" i="14"/>
  <c r="AC30" i="12"/>
  <c r="C17" i="14"/>
  <c r="E30" i="14"/>
  <c r="AK30" i="12"/>
  <c r="C22" i="14"/>
  <c r="C15" i="14"/>
  <c r="G30" i="14" s="1"/>
  <c r="G16" i="14"/>
  <c r="G17" i="14"/>
  <c r="K7" i="11"/>
  <c r="S7" i="11"/>
  <c r="AI15" i="20"/>
  <c r="AM30" i="20" s="1"/>
  <c r="AM13" i="20"/>
  <c r="AI7" i="20"/>
  <c r="AM7" i="20"/>
  <c r="AI12" i="20"/>
  <c r="AI25" i="20" s="1"/>
  <c r="AM14" i="20"/>
  <c r="AM17" i="20"/>
  <c r="AM19" i="20"/>
  <c r="AI13" i="20"/>
  <c r="AI16" i="20"/>
  <c r="AM12" i="20"/>
  <c r="AM25" i="20" s="1"/>
  <c r="AM15" i="20"/>
  <c r="AI14" i="20"/>
  <c r="AM18" i="20"/>
  <c r="AM16" i="20"/>
  <c r="AU7" i="20"/>
  <c r="AQ13" i="20"/>
  <c r="AU12" i="20"/>
  <c r="AU25" i="20" s="1"/>
  <c r="AU17" i="20"/>
  <c r="AU14" i="20"/>
  <c r="AQ7" i="20"/>
  <c r="AQ14" i="20"/>
  <c r="AQ15" i="20"/>
  <c r="AU16" i="20"/>
  <c r="AQ16" i="20"/>
  <c r="AQ12" i="20"/>
  <c r="AQ25" i="20" s="1"/>
  <c r="AU15" i="20"/>
  <c r="AU13" i="20"/>
  <c r="BC16" i="20"/>
  <c r="AY14" i="20"/>
  <c r="AY13" i="20"/>
  <c r="BC14" i="20"/>
  <c r="BC13" i="20"/>
  <c r="BC12" i="20"/>
  <c r="BC25" i="20" s="1"/>
  <c r="BC15" i="20"/>
  <c r="AY15" i="20"/>
  <c r="BC30" i="20" s="1"/>
  <c r="AU30" i="20" s="1"/>
  <c r="BC7" i="20"/>
  <c r="AY12" i="20"/>
  <c r="AY25" i="20" s="1"/>
  <c r="AY7" i="20"/>
  <c r="BC17" i="20"/>
  <c r="AY16" i="20"/>
  <c r="AA22" i="17"/>
  <c r="AM15" i="17"/>
  <c r="AM16" i="17"/>
  <c r="AI13" i="17"/>
  <c r="AI12" i="17"/>
  <c r="AI25" i="17" s="1"/>
  <c r="AI16" i="17"/>
  <c r="AM18" i="17"/>
  <c r="AI14" i="17"/>
  <c r="AM13" i="17"/>
  <c r="AM14" i="17"/>
  <c r="AI7" i="17"/>
  <c r="AM12" i="17"/>
  <c r="AM25" i="17" s="1"/>
  <c r="AM19" i="17"/>
  <c r="AM17" i="17"/>
  <c r="AI15" i="17"/>
  <c r="AM30" i="17" s="1"/>
  <c r="AM7" i="17"/>
  <c r="AU17" i="17"/>
  <c r="AU15" i="17"/>
  <c r="AQ14" i="17"/>
  <c r="AU13" i="17"/>
  <c r="AQ15" i="17"/>
  <c r="AQ12" i="17"/>
  <c r="AQ25" i="17" s="1"/>
  <c r="AQ13" i="17"/>
  <c r="AU12" i="17"/>
  <c r="AU25" i="17" s="1"/>
  <c r="AQ16" i="17"/>
  <c r="AQ7" i="17"/>
  <c r="AU16" i="17"/>
  <c r="AU7" i="17"/>
  <c r="AU14" i="17"/>
  <c r="BC16" i="17"/>
  <c r="BC17" i="17"/>
  <c r="AY15" i="17"/>
  <c r="BC30" i="17" s="1"/>
  <c r="AU30" i="17" s="1"/>
  <c r="BC7" i="17"/>
  <c r="BC15" i="17"/>
  <c r="BC14" i="17"/>
  <c r="AY16" i="17"/>
  <c r="AY7" i="17"/>
  <c r="AY12" i="17"/>
  <c r="AY25" i="17" s="1"/>
  <c r="BC13" i="17"/>
  <c r="BC12" i="17"/>
  <c r="BC25" i="17" s="1"/>
  <c r="AY14" i="17"/>
  <c r="AY13" i="17"/>
  <c r="O18" i="14"/>
  <c r="W18" i="14"/>
  <c r="AE18" i="14"/>
  <c r="AA16" i="14"/>
  <c r="AA22" i="14"/>
  <c r="K22" i="14"/>
  <c r="S16" i="14"/>
  <c r="S22" i="14"/>
  <c r="C14" i="12"/>
  <c r="C7" i="12"/>
  <c r="K13" i="14"/>
  <c r="K14" i="14"/>
  <c r="K7" i="14"/>
  <c r="S7" i="14"/>
  <c r="S13" i="14"/>
  <c r="S14" i="14"/>
  <c r="AA14" i="14"/>
  <c r="AA7" i="14"/>
  <c r="AA13" i="14"/>
  <c r="AE14" i="14"/>
  <c r="AM7" i="14"/>
  <c r="AM16" i="14"/>
  <c r="AI13" i="14"/>
  <c r="AM13" i="14"/>
  <c r="AM18" i="14"/>
  <c r="AI12" i="14"/>
  <c r="AI25" i="14" s="1"/>
  <c r="AM12" i="14"/>
  <c r="AM25" i="14" s="1"/>
  <c r="AM17" i="14"/>
  <c r="AI14" i="14"/>
  <c r="AM14" i="14"/>
  <c r="AI7" i="14"/>
  <c r="AM19" i="14"/>
  <c r="AI16" i="14"/>
  <c r="AM15" i="14"/>
  <c r="AI15" i="14"/>
  <c r="AM30" i="14" s="1"/>
  <c r="AQ16" i="14"/>
  <c r="AQ14" i="14"/>
  <c r="AQ12" i="14"/>
  <c r="AU15" i="14"/>
  <c r="AU13" i="14"/>
  <c r="AU7" i="14"/>
  <c r="AU17" i="14"/>
  <c r="AU12" i="14"/>
  <c r="AQ15" i="14"/>
  <c r="AQ13" i="14"/>
  <c r="AQ7" i="14"/>
  <c r="AW1" i="14"/>
  <c r="AU16" i="14"/>
  <c r="AU14" i="14"/>
  <c r="S14" i="11"/>
  <c r="C7" i="11"/>
  <c r="K14" i="11"/>
  <c r="C14" i="11"/>
  <c r="Y1" i="11"/>
  <c r="G29" i="14" l="1"/>
  <c r="C25" i="14"/>
  <c r="G26" i="14" s="1"/>
  <c r="E107" i="24"/>
  <c r="AU26" i="20"/>
  <c r="BC26" i="20"/>
  <c r="AM26" i="20"/>
  <c r="BC26" i="17"/>
  <c r="AU26" i="17"/>
  <c r="AM26" i="17"/>
  <c r="AA7" i="11"/>
  <c r="AG1" i="11"/>
  <c r="AA14" i="11"/>
  <c r="AM26" i="14"/>
  <c r="AY15" i="14"/>
  <c r="BC30" i="14" s="1"/>
  <c r="AU30" i="14" s="1"/>
  <c r="AY13" i="14"/>
  <c r="AY7" i="14"/>
  <c r="BC7" i="14"/>
  <c r="BC16" i="14"/>
  <c r="BC14" i="14"/>
  <c r="BC12" i="14"/>
  <c r="BC17" i="14"/>
  <c r="AY16" i="14"/>
  <c r="AY14" i="14"/>
  <c r="AY12" i="14"/>
  <c r="AY25" i="14" s="1"/>
  <c r="BC15" i="14"/>
  <c r="BC13" i="14"/>
  <c r="AU25" i="14"/>
  <c r="AQ25" i="14"/>
  <c r="AU26" i="14" l="1"/>
  <c r="AO1" i="11"/>
  <c r="AI14" i="11"/>
  <c r="AI7" i="11"/>
  <c r="BC25" i="14"/>
  <c r="BC26" i="14" s="1"/>
  <c r="AQ14" i="11" l="1"/>
  <c r="AQ7" i="11"/>
  <c r="AW1" i="11"/>
  <c r="AY14" i="11" l="1"/>
  <c r="I1" i="12" l="1"/>
  <c r="M30" i="12" l="1"/>
  <c r="K14" i="12"/>
  <c r="Q1" i="12"/>
  <c r="U30" i="12" l="1"/>
  <c r="S14" i="12"/>
  <c r="Y1" i="12"/>
  <c r="AY22" i="12" l="1"/>
  <c r="AQ22" i="12"/>
  <c r="AI22" i="12"/>
  <c r="AA14" i="12"/>
  <c r="AG1" i="12"/>
  <c r="AI13" i="12" l="1"/>
  <c r="AI14" i="12"/>
  <c r="AO1" i="12"/>
  <c r="AQ23" i="12" s="1"/>
  <c r="AQ16" i="12" l="1"/>
  <c r="AU15" i="12"/>
  <c r="AU14" i="12"/>
  <c r="AQ14" i="12"/>
  <c r="AQ7" i="12"/>
  <c r="AQ13" i="12"/>
  <c r="AW1" i="12"/>
  <c r="AY23" i="12" s="1"/>
  <c r="AY16" i="12" l="1"/>
  <c r="AY13" i="12"/>
  <c r="AY7" i="12"/>
  <c r="AY14" i="12"/>
  <c r="AY7" i="11" l="1"/>
  <c r="K25" i="20" l="1"/>
  <c r="O25" i="20"/>
  <c r="W25" i="20"/>
  <c r="W26" i="20"/>
  <c r="AA25" i="20"/>
  <c r="AE25" i="20"/>
  <c r="AE26" i="20"/>
  <c r="O26" i="20" l="1"/>
  <c r="BC14" i="12"/>
  <c r="O14" i="14"/>
  <c r="W14" i="14"/>
  <c r="K12" i="14" l="1"/>
  <c r="O30" i="14" s="1"/>
  <c r="O12" i="14"/>
  <c r="O25" i="14" s="1"/>
  <c r="S12" i="14"/>
  <c r="W30" i="14" s="1"/>
  <c r="W12" i="14"/>
  <c r="W25" i="14" s="1"/>
  <c r="AA12" i="14"/>
  <c r="AE30" i="14" s="1"/>
  <c r="AE12" i="14"/>
  <c r="AE25" i="14" s="1"/>
  <c r="O13" i="14"/>
  <c r="W13" i="14"/>
  <c r="AE13" i="14"/>
  <c r="K15" i="14"/>
  <c r="O31" i="14" s="1"/>
  <c r="O15" i="14"/>
  <c r="S15" i="14"/>
  <c r="W31" i="14" s="1"/>
  <c r="W15" i="14"/>
  <c r="AA15" i="14"/>
  <c r="AE31" i="14" s="1"/>
  <c r="AE15" i="14"/>
  <c r="K16" i="14"/>
  <c r="O32" i="14" s="1"/>
  <c r="O16" i="14"/>
  <c r="W16" i="14"/>
  <c r="AE16" i="14"/>
  <c r="O17" i="14"/>
  <c r="W17" i="14"/>
  <c r="AE17" i="14"/>
  <c r="AQ12" i="12"/>
  <c r="AU29" i="12" s="1"/>
  <c r="AU12" i="12"/>
  <c r="AU25" i="12" s="1"/>
  <c r="AY12" i="12"/>
  <c r="AY25" i="12" s="1"/>
  <c r="BC12" i="12"/>
  <c r="BC25" i="12" s="1"/>
  <c r="AU13" i="12"/>
  <c r="BC13" i="12"/>
  <c r="AQ15" i="12"/>
  <c r="AU30" i="12" s="1"/>
  <c r="AY15" i="12"/>
  <c r="BC30" i="12" s="1"/>
  <c r="BC15" i="12"/>
  <c r="AU16" i="12"/>
  <c r="AU17" i="12"/>
  <c r="BC17" i="12"/>
  <c r="K25" i="14" l="1"/>
  <c r="O26" i="14" s="1"/>
  <c r="S25" i="14"/>
  <c r="W26" i="14" s="1"/>
  <c r="AA25" i="14"/>
  <c r="AE26" i="14" s="1"/>
  <c r="BC29" i="12"/>
  <c r="BC26" i="12"/>
  <c r="AQ25" i="12"/>
  <c r="AU26" i="12" s="1"/>
  <c r="C22" i="12" l="1"/>
  <c r="K22" i="12"/>
  <c r="S22" i="12"/>
  <c r="AA22" i="12"/>
  <c r="K22" i="11"/>
  <c r="S22" i="11"/>
  <c r="AA22" i="11"/>
  <c r="AI22" i="11"/>
  <c r="AQ22" i="11"/>
  <c r="AY22" i="11"/>
  <c r="S13" i="11" l="1"/>
  <c r="I51" i="24" l="1"/>
  <c r="E55" i="24"/>
  <c r="E63" i="24"/>
  <c r="I68" i="24"/>
  <c r="E106" i="24"/>
  <c r="F123" i="24"/>
  <c r="H168" i="24"/>
  <c r="C13" i="12" l="1"/>
  <c r="K13" i="12"/>
  <c r="S13" i="12"/>
  <c r="AA13" i="12"/>
  <c r="C13" i="11"/>
  <c r="K13" i="11"/>
  <c r="AA13" i="11"/>
  <c r="AI13" i="11"/>
  <c r="AQ13" i="11"/>
  <c r="AY13" i="11"/>
  <c r="AI15" i="12" l="1"/>
  <c r="AM30" i="12" s="1"/>
  <c r="C15" i="17"/>
  <c r="G31" i="17" s="1"/>
  <c r="C16" i="17"/>
  <c r="G32" i="17" s="1"/>
  <c r="K15" i="17"/>
  <c r="O31" i="17" s="1"/>
  <c r="K16" i="17"/>
  <c r="O32" i="17" s="1"/>
  <c r="S15" i="17"/>
  <c r="S16" i="17"/>
  <c r="W32" i="17" s="1"/>
  <c r="AA12" i="12"/>
  <c r="AE29" i="12" s="1"/>
  <c r="AA15" i="12"/>
  <c r="AE30" i="12" s="1"/>
  <c r="AI16" i="12" l="1"/>
  <c r="AM31" i="12" s="1"/>
  <c r="AI17" i="12"/>
  <c r="AM32" i="12" s="1"/>
  <c r="AA16" i="12"/>
  <c r="AE31" i="12" s="1"/>
  <c r="AA17" i="12"/>
  <c r="AE32" i="12" s="1"/>
  <c r="S12" i="17"/>
  <c r="W30" i="17" s="1"/>
  <c r="C12" i="17"/>
  <c r="C25" i="17" s="1"/>
  <c r="K12" i="17"/>
  <c r="AI12" i="12"/>
  <c r="W31" i="17"/>
  <c r="AA25" i="12" l="1"/>
  <c r="AE14" i="17"/>
  <c r="BC16" i="12"/>
  <c r="AE15" i="17"/>
  <c r="G15" i="20"/>
  <c r="G14" i="20"/>
  <c r="G30" i="17"/>
  <c r="S25" i="17"/>
  <c r="W14" i="17"/>
  <c r="W15" i="17"/>
  <c r="O30" i="17"/>
  <c r="K25" i="17"/>
  <c r="O14" i="17"/>
  <c r="O15" i="17"/>
  <c r="AM15" i="12"/>
  <c r="AM29" i="12"/>
  <c r="AI25" i="12"/>
  <c r="AE15" i="12"/>
  <c r="G14" i="17"/>
  <c r="G15" i="17"/>
  <c r="W13" i="17" l="1"/>
  <c r="W12" i="17"/>
  <c r="W17" i="17"/>
  <c r="W16" i="17"/>
  <c r="O16" i="17"/>
  <c r="O17" i="17"/>
  <c r="O13" i="17"/>
  <c r="O12" i="17"/>
  <c r="AE17" i="12"/>
  <c r="AE16" i="12"/>
  <c r="AM16" i="12"/>
  <c r="AM17" i="12"/>
  <c r="AE12" i="12"/>
  <c r="AM12" i="12"/>
  <c r="G12" i="17"/>
  <c r="G13" i="17"/>
  <c r="G16" i="17"/>
  <c r="G17" i="17"/>
  <c r="AE13" i="12" l="1"/>
  <c r="AE14" i="12"/>
  <c r="AM13" i="12"/>
  <c r="AM14" i="12"/>
  <c r="W25" i="17"/>
  <c r="W26" i="17" s="1"/>
  <c r="G25" i="17"/>
  <c r="G26" i="17" s="1"/>
  <c r="O25" i="17"/>
  <c r="O26" i="17" s="1"/>
  <c r="AM25" i="12"/>
  <c r="AM26" i="12" s="1"/>
  <c r="AE25" i="12"/>
  <c r="AE26" i="12" s="1"/>
  <c r="J7" i="10" l="1"/>
  <c r="J8" i="10"/>
  <c r="J10" i="10"/>
  <c r="AI15" i="11" s="1"/>
  <c r="AM30" i="11" s="1"/>
  <c r="AQ15" i="11"/>
  <c r="AU30" i="11" s="1"/>
  <c r="T11" i="10" a="1"/>
  <c r="T11" i="10" s="1"/>
  <c r="U11" i="10" s="1"/>
  <c r="AY15" i="11"/>
  <c r="BC30" i="11" s="1"/>
  <c r="AY16" i="11"/>
  <c r="BC31" i="11" s="1"/>
  <c r="K15" i="12"/>
  <c r="O30" i="12" s="1"/>
  <c r="S15" i="12"/>
  <c r="W30" i="12" s="1"/>
  <c r="AA16" i="11" l="1"/>
  <c r="AE31" i="11" s="1"/>
  <c r="AA15" i="11"/>
  <c r="AE30" i="11" s="1"/>
  <c r="C17" i="12"/>
  <c r="G32" i="12" s="1"/>
  <c r="S16" i="12"/>
  <c r="W31" i="12" s="1"/>
  <c r="S17" i="12"/>
  <c r="W32" i="12" s="1"/>
  <c r="K16" i="12"/>
  <c r="O31" i="12" s="1"/>
  <c r="K17" i="12"/>
  <c r="O32" i="12" s="1"/>
  <c r="AQ16" i="11"/>
  <c r="AU31" i="11" s="1"/>
  <c r="C15" i="12"/>
  <c r="G30" i="12" s="1"/>
  <c r="K16" i="11"/>
  <c r="O31" i="11" s="1"/>
  <c r="S16" i="11"/>
  <c r="W31" i="11" s="1"/>
  <c r="G10" i="10"/>
  <c r="S15" i="11"/>
  <c r="W30" i="11" s="1"/>
  <c r="AI16" i="11"/>
  <c r="AM31" i="11" s="1"/>
  <c r="K15" i="11"/>
  <c r="O30" i="11" s="1"/>
  <c r="O10" i="10" l="1"/>
  <c r="T10" i="10" s="1" a="1"/>
  <c r="T10" i="10" s="1"/>
  <c r="U10" i="10" s="1"/>
  <c r="C16" i="12"/>
  <c r="G31" i="12" s="1"/>
  <c r="N10" i="10"/>
  <c r="G7" i="10"/>
  <c r="N13" i="10"/>
  <c r="G8" i="10"/>
  <c r="O8" i="10" s="1"/>
  <c r="U8" i="10" s="1"/>
  <c r="AA10" i="10"/>
  <c r="AI12" i="11"/>
  <c r="O9" i="10" l="1"/>
  <c r="T9" i="10" s="1" a="1"/>
  <c r="T9" i="10" s="1"/>
  <c r="U9" i="10" s="1"/>
  <c r="AY12" i="11"/>
  <c r="BC29" i="11" s="1"/>
  <c r="O7" i="10"/>
  <c r="S10" i="10"/>
  <c r="AB10" i="10" s="1"/>
  <c r="N7" i="10"/>
  <c r="AA7" i="10"/>
  <c r="K12" i="11"/>
  <c r="K25" i="11" s="1"/>
  <c r="C12" i="12"/>
  <c r="C25" i="12" s="1"/>
  <c r="AA13" i="10"/>
  <c r="S13" i="10"/>
  <c r="AB13" i="10" s="1"/>
  <c r="N12" i="10"/>
  <c r="AA12" i="10"/>
  <c r="AA9" i="10"/>
  <c r="N9" i="10"/>
  <c r="AA12" i="11"/>
  <c r="N14" i="10"/>
  <c r="AA14" i="10"/>
  <c r="K12" i="12"/>
  <c r="AQ12" i="11"/>
  <c r="AA11" i="10"/>
  <c r="AA15" i="10"/>
  <c r="N15" i="10"/>
  <c r="S12" i="12"/>
  <c r="N8" i="10"/>
  <c r="AA8" i="10"/>
  <c r="S12" i="11"/>
  <c r="AI25" i="11"/>
  <c r="AM29" i="11"/>
  <c r="T12" i="10" l="1" a="1"/>
  <c r="T12" i="10" s="1"/>
  <c r="U12" i="10" s="1"/>
  <c r="P12" i="10"/>
  <c r="Q12" i="10" s="1"/>
  <c r="R12" i="10"/>
  <c r="AM15" i="11"/>
  <c r="T7" i="10" a="1"/>
  <c r="T7" i="10" s="1"/>
  <c r="U7" i="10" s="1"/>
  <c r="AY25" i="11"/>
  <c r="S14" i="10"/>
  <c r="AB14" i="10" s="1"/>
  <c r="S8" i="10"/>
  <c r="AB8" i="10" s="1"/>
  <c r="S12" i="10"/>
  <c r="AB9" i="10"/>
  <c r="S15" i="10"/>
  <c r="AB15" i="10" s="1"/>
  <c r="S11" i="10"/>
  <c r="AB11" i="10" s="1"/>
  <c r="G17" i="12"/>
  <c r="G15" i="12"/>
  <c r="G13" i="12"/>
  <c r="O29" i="11"/>
  <c r="BC13" i="11"/>
  <c r="G29" i="12"/>
  <c r="AM12" i="11"/>
  <c r="AA25" i="11"/>
  <c r="AE29" i="11"/>
  <c r="S25" i="11"/>
  <c r="W29" i="11"/>
  <c r="AQ25" i="11"/>
  <c r="AU29" i="11"/>
  <c r="K25" i="12"/>
  <c r="O29" i="12"/>
  <c r="AM17" i="11"/>
  <c r="AM16" i="11"/>
  <c r="S25" i="12"/>
  <c r="W29" i="12"/>
  <c r="AB7" i="10" l="1"/>
  <c r="AB12" i="10"/>
  <c r="AD12" i="10" s="1"/>
  <c r="BC15" i="11"/>
  <c r="O15" i="12"/>
  <c r="W15" i="12"/>
  <c r="W15" i="11"/>
  <c r="AE15" i="11"/>
  <c r="AU15" i="11"/>
  <c r="P16" i="10"/>
  <c r="O13" i="11"/>
  <c r="AM13" i="11"/>
  <c r="AM14" i="11"/>
  <c r="BC14" i="11"/>
  <c r="G14" i="12"/>
  <c r="G12" i="12"/>
  <c r="G16" i="12"/>
  <c r="BC12" i="11"/>
  <c r="O12" i="11"/>
  <c r="O15" i="11"/>
  <c r="O16" i="11"/>
  <c r="BC16" i="11"/>
  <c r="AD13" i="10"/>
  <c r="AE16" i="11"/>
  <c r="AE17" i="11"/>
  <c r="O12" i="12"/>
  <c r="W12" i="11"/>
  <c r="W16" i="11"/>
  <c r="W17" i="11"/>
  <c r="W16" i="12"/>
  <c r="W17" i="12"/>
  <c r="O16" i="12"/>
  <c r="O17" i="12"/>
  <c r="AU12" i="11"/>
  <c r="AD10" i="10"/>
  <c r="W12" i="12"/>
  <c r="AE12" i="11"/>
  <c r="AU16" i="11"/>
  <c r="AU17" i="11"/>
  <c r="G25" i="12" l="1"/>
  <c r="G26" i="12" s="1"/>
  <c r="BC17" i="11"/>
  <c r="BC25" i="11" s="1"/>
  <c r="BC26" i="11" s="1"/>
  <c r="O17" i="11"/>
  <c r="O14" i="11"/>
  <c r="AM25" i="11"/>
  <c r="AM26" i="11" s="1"/>
  <c r="W13" i="11"/>
  <c r="W14" i="11"/>
  <c r="W13" i="12"/>
  <c r="W14" i="12"/>
  <c r="O13" i="12"/>
  <c r="O14" i="12"/>
  <c r="AE13" i="11"/>
  <c r="AE14" i="11"/>
  <c r="AU13" i="11"/>
  <c r="AU14" i="11"/>
  <c r="AD11" i="10"/>
  <c r="AD15" i="10"/>
  <c r="AD14" i="10"/>
  <c r="AD9" i="10"/>
  <c r="W25" i="12" l="1"/>
  <c r="W26" i="12" s="1"/>
  <c r="O25" i="12"/>
  <c r="O26" i="12" s="1"/>
  <c r="W25" i="11"/>
  <c r="W26" i="11" s="1"/>
  <c r="O25" i="11"/>
  <c r="O26" i="11" s="1"/>
  <c r="AU25" i="11"/>
  <c r="AU26" i="11" s="1"/>
  <c r="AE25" i="11"/>
  <c r="AE26" i="11" s="1"/>
  <c r="AD7" i="10"/>
  <c r="AD8" i="10"/>
  <c r="K16" i="10" l="1"/>
  <c r="J6" i="10"/>
  <c r="J16" i="10" s="1"/>
  <c r="C16" i="11" l="1"/>
  <c r="G31" i="11" s="1"/>
  <c r="C15" i="11"/>
  <c r="G30" i="11" s="1"/>
  <c r="F70" i="27" l="1"/>
  <c r="F70" i="24"/>
  <c r="F86" i="24" s="1"/>
  <c r="G6" i="10"/>
  <c r="G16" i="10" s="1"/>
  <c r="C22" i="11"/>
  <c r="F86" i="27" l="1"/>
  <c r="N6" i="10"/>
  <c r="N16" i="10" s="1"/>
  <c r="C12" i="11"/>
  <c r="G29" i="11" s="1"/>
  <c r="AA6" i="10"/>
  <c r="AA16" i="10" s="1"/>
  <c r="O6" i="10"/>
  <c r="T6" i="10" l="1" a="1"/>
  <c r="T6" i="10" s="1"/>
  <c r="U6" i="10" s="1"/>
  <c r="R16" i="10"/>
  <c r="O16" i="10"/>
  <c r="C25" i="11"/>
  <c r="S16" i="10" l="1"/>
  <c r="AB6" i="10"/>
  <c r="T16" i="10"/>
  <c r="U16" i="10"/>
  <c r="G16" i="11"/>
  <c r="G15" i="11"/>
  <c r="G12" i="11"/>
  <c r="G14" i="11" l="1"/>
  <c r="Q16" i="10"/>
  <c r="AB16" i="10"/>
  <c r="G13" i="11"/>
  <c r="G17" i="11"/>
  <c r="AD6" i="10" l="1"/>
  <c r="AD16" i="10" s="1"/>
  <c r="G25" i="11"/>
  <c r="G26" i="11" s="1"/>
  <c r="AE16" i="17"/>
  <c r="AA12" i="17"/>
  <c r="AA25" i="17" s="1"/>
  <c r="AE12" i="17"/>
  <c r="AE25" i="17" s="1"/>
  <c r="C12" i="20"/>
  <c r="C25" i="20" s="1"/>
  <c r="C15" i="20"/>
  <c r="G31" i="20" s="1"/>
  <c r="C16" i="20"/>
  <c r="G32" i="20" s="1"/>
  <c r="AE13" i="17" l="1"/>
  <c r="AE26" i="17"/>
  <c r="G17" i="20"/>
  <c r="G16" i="20"/>
  <c r="AE17" i="17"/>
  <c r="AE30" i="17"/>
  <c r="G30" i="20"/>
  <c r="G13" i="20" l="1"/>
  <c r="G12" i="20"/>
  <c r="G25" i="20" s="1"/>
  <c r="G26"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user-07</author>
  </authors>
  <commentList>
    <comment ref="AB2" authorId="0" shapeId="0" xr:uid="{D1E84E3B-CC9B-4A5C-9057-898108E51969}">
      <text>
        <r>
          <rPr>
            <b/>
            <sz val="9"/>
            <color indexed="81"/>
            <rFont val="돋움"/>
            <family val="3"/>
            <charset val="129"/>
          </rPr>
          <t>필요시</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통상시급</t>
        </r>
        <r>
          <rPr>
            <b/>
            <sz val="9"/>
            <color indexed="81"/>
            <rFont val="Tahoma"/>
            <family val="2"/>
          </rPr>
          <t xml:space="preserve"> x 8 x </t>
        </r>
        <r>
          <rPr>
            <b/>
            <sz val="9"/>
            <color indexed="81"/>
            <rFont val="돋움"/>
            <family val="3"/>
            <charset val="129"/>
          </rPr>
          <t>잔여연차개수</t>
        </r>
        <r>
          <rPr>
            <sz val="9"/>
            <color indexed="81"/>
            <rFont val="돋움"/>
            <family val="3"/>
            <charset val="129"/>
          </rPr>
          <t xml:space="preserve">
</t>
        </r>
        <r>
          <rPr>
            <sz val="9"/>
            <color indexed="81"/>
            <rFont val="Tahoma"/>
            <family val="2"/>
          </rPr>
          <t xml:space="preserve">
</t>
        </r>
      </text>
    </comment>
    <comment ref="AG2" authorId="0" shapeId="0" xr:uid="{641D7699-903F-4B3B-BEF8-51D747FE1025}">
      <text>
        <r>
          <rPr>
            <b/>
            <sz val="9"/>
            <color indexed="81"/>
            <rFont val="돋움"/>
            <family val="3"/>
            <charset val="129"/>
          </rPr>
          <t>최저임금이상이어야</t>
        </r>
        <r>
          <rPr>
            <b/>
            <sz val="9"/>
            <color indexed="81"/>
            <rFont val="Tahoma"/>
            <family val="2"/>
          </rPr>
          <t xml:space="preserve"> </t>
        </r>
        <r>
          <rPr>
            <b/>
            <sz val="9"/>
            <color indexed="81"/>
            <rFont val="돋움"/>
            <family val="3"/>
            <charset val="129"/>
          </rPr>
          <t>함
통상시급이</t>
        </r>
        <r>
          <rPr>
            <b/>
            <sz val="9"/>
            <color indexed="81"/>
            <rFont val="Tahoma"/>
            <family val="2"/>
          </rPr>
          <t xml:space="preserve"> </t>
        </r>
        <r>
          <rPr>
            <b/>
            <sz val="9"/>
            <color indexed="81"/>
            <rFont val="돋움"/>
            <family val="3"/>
            <charset val="129"/>
          </rPr>
          <t>최저임금</t>
        </r>
        <r>
          <rPr>
            <b/>
            <sz val="9"/>
            <color indexed="81"/>
            <rFont val="Tahoma"/>
            <family val="2"/>
          </rPr>
          <t xml:space="preserve"> </t>
        </r>
        <r>
          <rPr>
            <b/>
            <sz val="9"/>
            <color indexed="81"/>
            <rFont val="돋움"/>
            <family val="3"/>
            <charset val="129"/>
          </rPr>
          <t>미만인지</t>
        </r>
        <r>
          <rPr>
            <b/>
            <sz val="9"/>
            <color indexed="81"/>
            <rFont val="Tahoma"/>
            <family val="2"/>
          </rPr>
          <t xml:space="preserve">  </t>
        </r>
        <r>
          <rPr>
            <b/>
            <sz val="9"/>
            <color indexed="81"/>
            <rFont val="돋움"/>
            <family val="3"/>
            <charset val="129"/>
          </rPr>
          <t xml:space="preserve">확인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G2" authorId="0" shapeId="0" xr:uid="{4E11A4CD-5C4E-4C09-B92A-61935F92AD78}">
      <text>
        <r>
          <rPr>
            <sz val="9"/>
            <color indexed="81"/>
            <rFont val="Tahoma"/>
            <family val="2"/>
          </rPr>
          <t xml:space="preserve">
</t>
        </r>
        <r>
          <rPr>
            <sz val="9"/>
            <color indexed="81"/>
            <rFont val="돋움"/>
            <family val="3"/>
            <charset val="129"/>
          </rPr>
          <t>연장</t>
        </r>
        <r>
          <rPr>
            <sz val="9"/>
            <color indexed="81"/>
            <rFont val="Tahoma"/>
            <family val="2"/>
          </rPr>
          <t xml:space="preserve"> </t>
        </r>
        <r>
          <rPr>
            <sz val="9"/>
            <color indexed="81"/>
            <rFont val="돋움"/>
            <family val="3"/>
            <charset val="129"/>
          </rPr>
          <t>근로시간</t>
        </r>
        <r>
          <rPr>
            <sz val="9"/>
            <color indexed="81"/>
            <rFont val="Tahoma"/>
            <family val="2"/>
          </rPr>
          <t xml:space="preserve"> </t>
        </r>
        <r>
          <rPr>
            <sz val="9"/>
            <color indexed="81"/>
            <rFont val="돋움"/>
            <family val="3"/>
            <charset val="129"/>
          </rPr>
          <t xml:space="preserve">입력
</t>
        </r>
        <r>
          <rPr>
            <sz val="9"/>
            <color indexed="81"/>
            <rFont val="Tahoma"/>
            <family val="2"/>
          </rPr>
          <t xml:space="preserve">ex) </t>
        </r>
        <r>
          <rPr>
            <sz val="9"/>
            <color indexed="81"/>
            <rFont val="돋움"/>
            <family val="3"/>
            <charset val="129"/>
          </rPr>
          <t>연장</t>
        </r>
        <r>
          <rPr>
            <sz val="9"/>
            <color indexed="81"/>
            <rFont val="Tahoma"/>
            <family val="2"/>
          </rPr>
          <t xml:space="preserve"> 2</t>
        </r>
        <r>
          <rPr>
            <sz val="9"/>
            <color indexed="81"/>
            <rFont val="돋움"/>
            <family val="3"/>
            <charset val="129"/>
          </rPr>
          <t>시간이면</t>
        </r>
        <r>
          <rPr>
            <sz val="9"/>
            <color indexed="81"/>
            <rFont val="Tahoma"/>
            <family val="2"/>
          </rPr>
          <t xml:space="preserve"> 2</t>
        </r>
        <r>
          <rPr>
            <sz val="9"/>
            <color indexed="81"/>
            <rFont val="돋움"/>
            <family val="3"/>
            <charset val="129"/>
          </rPr>
          <t>시간</t>
        </r>
        <r>
          <rPr>
            <sz val="9"/>
            <color indexed="81"/>
            <rFont val="Tahoma"/>
            <family val="2"/>
          </rPr>
          <t xml:space="preserve"> </t>
        </r>
        <r>
          <rPr>
            <sz val="9"/>
            <color indexed="81"/>
            <rFont val="돋움"/>
            <family val="3"/>
            <charset val="129"/>
          </rPr>
          <t>입력</t>
        </r>
      </text>
    </comment>
    <comment ref="F14" authorId="0" shapeId="0" xr:uid="{44928940-347F-414A-8B05-0FE80C3E7F02}">
      <text>
        <r>
          <rPr>
            <b/>
            <sz val="9"/>
            <color indexed="81"/>
            <rFont val="돋움"/>
            <family val="3"/>
            <charset val="129"/>
          </rPr>
          <t>조퇴</t>
        </r>
        <r>
          <rPr>
            <b/>
            <sz val="9"/>
            <color indexed="81"/>
            <rFont val="Tahoma"/>
            <family val="2"/>
          </rPr>
          <t xml:space="preserve"> </t>
        </r>
        <r>
          <rPr>
            <b/>
            <sz val="9"/>
            <color indexed="81"/>
            <rFont val="돋움"/>
            <family val="3"/>
            <charset val="129"/>
          </rPr>
          <t>근로시간</t>
        </r>
        <r>
          <rPr>
            <b/>
            <sz val="9"/>
            <color indexed="81"/>
            <rFont val="Tahoma"/>
            <family val="2"/>
          </rPr>
          <t xml:space="preserve"> </t>
        </r>
        <r>
          <rPr>
            <b/>
            <sz val="9"/>
            <color indexed="81"/>
            <rFont val="돋움"/>
            <family val="3"/>
            <charset val="129"/>
          </rPr>
          <t xml:space="preserve">입력
</t>
        </r>
        <r>
          <rPr>
            <b/>
            <sz val="9"/>
            <color indexed="81"/>
            <rFont val="Tahoma"/>
            <family val="2"/>
          </rPr>
          <t xml:space="preserve">ex) </t>
        </r>
        <r>
          <rPr>
            <b/>
            <sz val="9"/>
            <color indexed="81"/>
            <rFont val="돋움"/>
            <family val="3"/>
            <charset val="129"/>
          </rPr>
          <t>조퇴</t>
        </r>
        <r>
          <rPr>
            <b/>
            <sz val="9"/>
            <color indexed="81"/>
            <rFont val="Tahoma"/>
            <family val="2"/>
          </rPr>
          <t xml:space="preserve"> 2</t>
        </r>
        <r>
          <rPr>
            <b/>
            <sz val="9"/>
            <color indexed="81"/>
            <rFont val="돋움"/>
            <family val="3"/>
            <charset val="129"/>
          </rPr>
          <t>시간이면</t>
        </r>
        <r>
          <rPr>
            <b/>
            <sz val="9"/>
            <color indexed="81"/>
            <rFont val="Tahoma"/>
            <family val="2"/>
          </rPr>
          <t xml:space="preserve"> 2</t>
        </r>
        <r>
          <rPr>
            <b/>
            <sz val="9"/>
            <color indexed="81"/>
            <rFont val="돋움"/>
            <family val="3"/>
            <charset val="129"/>
          </rPr>
          <t>시간</t>
        </r>
        <r>
          <rPr>
            <b/>
            <sz val="9"/>
            <color indexed="81"/>
            <rFont val="Tahoma"/>
            <family val="2"/>
          </rPr>
          <t xml:space="preserve"> </t>
        </r>
        <r>
          <rPr>
            <b/>
            <sz val="9"/>
            <color indexed="81"/>
            <rFont val="돋움"/>
            <family val="3"/>
            <charset val="129"/>
          </rPr>
          <t>입력</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M1" authorId="0" shapeId="0" xr:uid="{F9F54EA9-3653-491D-9020-CEC98602F71A}">
      <text>
        <r>
          <rPr>
            <b/>
            <sz val="9"/>
            <color indexed="81"/>
            <rFont val="돋움"/>
            <family val="3"/>
            <charset val="129"/>
          </rPr>
          <t>숫자</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근로자가</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됩니다</t>
        </r>
        <r>
          <rPr>
            <b/>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M1" authorId="0" shapeId="0" xr:uid="{1D0E69EC-4308-4D0C-8E9E-0B05FE69565C}">
      <text>
        <r>
          <rPr>
            <b/>
            <sz val="9"/>
            <color indexed="81"/>
            <rFont val="돋움"/>
            <family val="3"/>
            <charset val="129"/>
          </rPr>
          <t>숫자</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근로자가</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됩니다</t>
        </r>
        <r>
          <rPr>
            <b/>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M1" authorId="0" shapeId="0" xr:uid="{960E637E-B103-4AC7-9796-EB205A0BB0A0}">
      <text>
        <r>
          <rPr>
            <b/>
            <sz val="9"/>
            <color indexed="81"/>
            <rFont val="돋움"/>
            <family val="3"/>
            <charset val="129"/>
          </rPr>
          <t>숫자</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근로자가</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됩니다</t>
        </r>
        <r>
          <rPr>
            <b/>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<sst xmlns="http://schemas.openxmlformats.org/spreadsheetml/2006/main" count="2219" uniqueCount="391">
  <si>
    <t>성명</t>
    <phoneticPr fontId="0" type="noConversion"/>
  </si>
  <si>
    <t>입사일</t>
  </si>
  <si>
    <t>기 본 급</t>
    <phoneticPr fontId="0" type="noConversion"/>
  </si>
  <si>
    <t>식대</t>
    <phoneticPr fontId="0" type="noConversion"/>
  </si>
  <si>
    <t>급여 합계</t>
  </si>
  <si>
    <t>과세 합계</t>
  </si>
  <si>
    <t>건강보험</t>
    <phoneticPr fontId="0" type="noConversion"/>
  </si>
  <si>
    <t>소득세</t>
  </si>
  <si>
    <t>주민세</t>
  </si>
  <si>
    <t>고용보험</t>
  </si>
  <si>
    <t>지급총액</t>
  </si>
  <si>
    <t>공제합계</t>
  </si>
  <si>
    <t>차감지급액</t>
  </si>
  <si>
    <t>임  금  명  세  서</t>
    <phoneticPr fontId="6" type="noConversion"/>
  </si>
  <si>
    <t>급여귀속</t>
    <phoneticPr fontId="6" type="noConversion"/>
  </si>
  <si>
    <t>지급일</t>
    <phoneticPr fontId="6" type="noConversion"/>
  </si>
  <si>
    <t>성명</t>
    <phoneticPr fontId="6" type="noConversion"/>
  </si>
  <si>
    <t>생년월일</t>
    <phoneticPr fontId="6" type="noConversion"/>
  </si>
  <si>
    <t>세부 내역</t>
    <phoneticPr fontId="6" type="noConversion"/>
  </si>
  <si>
    <t>지          급</t>
    <phoneticPr fontId="6" type="noConversion"/>
  </si>
  <si>
    <t>공          제</t>
    <phoneticPr fontId="6" type="noConversion"/>
  </si>
  <si>
    <t>임금 항목</t>
    <phoneticPr fontId="6" type="noConversion"/>
  </si>
  <si>
    <t>지급 금액(원)</t>
    <phoneticPr fontId="6" type="noConversion"/>
  </si>
  <si>
    <t>공제 항목</t>
    <phoneticPr fontId="6" type="noConversion"/>
  </si>
  <si>
    <t>공제 금액(원)</t>
    <phoneticPr fontId="6" type="noConversion"/>
  </si>
  <si>
    <t>매월
지급</t>
    <phoneticPr fontId="6" type="noConversion"/>
  </si>
  <si>
    <t>기본급</t>
    <phoneticPr fontId="6" type="noConversion"/>
  </si>
  <si>
    <t>건강보험</t>
    <phoneticPr fontId="6" type="noConversion"/>
  </si>
  <si>
    <t>식대</t>
    <phoneticPr fontId="6" type="noConversion"/>
  </si>
  <si>
    <t>고용보험</t>
    <phoneticPr fontId="6" type="noConversion"/>
  </si>
  <si>
    <t>소득세</t>
    <phoneticPr fontId="6" type="noConversion"/>
  </si>
  <si>
    <t>주민세</t>
    <phoneticPr fontId="6" type="noConversion"/>
  </si>
  <si>
    <t>격월 또는부정기
지급</t>
    <phoneticPr fontId="6" type="noConversion"/>
  </si>
  <si>
    <t>지급액 계</t>
    <phoneticPr fontId="6" type="noConversion"/>
  </si>
  <si>
    <t>공제액 계</t>
    <phoneticPr fontId="6" type="noConversion"/>
  </si>
  <si>
    <t>실수령액(원)</t>
    <phoneticPr fontId="6" type="noConversion"/>
  </si>
  <si>
    <t>계산 방법</t>
    <phoneticPr fontId="6" type="noConversion"/>
  </si>
  <si>
    <t>구분</t>
    <phoneticPr fontId="6" type="noConversion"/>
  </si>
  <si>
    <t>산출식 또는 산출방법</t>
    <phoneticPr fontId="6" type="noConversion"/>
  </si>
  <si>
    <t>지급액(원)</t>
    <phoneticPr fontId="6" type="noConversion"/>
  </si>
  <si>
    <t>회사명</t>
    <phoneticPr fontId="6" type="noConversion"/>
  </si>
  <si>
    <t>국민연금</t>
    <phoneticPr fontId="6" type="noConversion"/>
  </si>
  <si>
    <t>요양보험</t>
    <phoneticPr fontId="6" type="noConversion"/>
  </si>
  <si>
    <t>피부양자</t>
    <phoneticPr fontId="4" type="noConversion"/>
  </si>
  <si>
    <t>장기요양</t>
    <phoneticPr fontId="4" type="noConversion"/>
  </si>
  <si>
    <t>소득세정산</t>
    <phoneticPr fontId="4" type="noConversion"/>
  </si>
  <si>
    <t>차량유지비</t>
    <phoneticPr fontId="4" type="noConversion"/>
  </si>
  <si>
    <t>고정연장근로수당</t>
    <phoneticPr fontId="4" type="noConversion"/>
  </si>
  <si>
    <t>주민세정산</t>
    <phoneticPr fontId="4" type="noConversion"/>
  </si>
  <si>
    <t>상여금</t>
    <phoneticPr fontId="4" type="noConversion"/>
  </si>
  <si>
    <t>국민연금</t>
    <phoneticPr fontId="4" type="noConversion"/>
  </si>
  <si>
    <t>고용보험</t>
    <phoneticPr fontId="32" type="noConversion"/>
  </si>
  <si>
    <t>건강보험</t>
    <phoneticPr fontId="32" type="noConversion"/>
  </si>
  <si>
    <t>장기요양</t>
    <phoneticPr fontId="32" type="noConversion"/>
  </si>
  <si>
    <t>연금보험</t>
    <phoneticPr fontId="32" type="noConversion"/>
  </si>
  <si>
    <t>연금상한</t>
    <phoneticPr fontId="32" type="noConversion"/>
  </si>
  <si>
    <t>연금상한공제액</t>
    <phoneticPr fontId="32" type="noConversion"/>
  </si>
  <si>
    <t>연장근로수당</t>
    <phoneticPr fontId="4" type="noConversion"/>
  </si>
  <si>
    <t>통상임금 x 시간x 1.5</t>
    <phoneticPr fontId="4" type="noConversion"/>
  </si>
  <si>
    <t>(공지) 회사 내 급여공유는 해고 사유에 해당합니다. 
개인 급여명세서 관리에 각별히 주의 부탁드립니다.</t>
    <phoneticPr fontId="4" type="noConversion"/>
  </si>
  <si>
    <t>총 합계</t>
    <phoneticPr fontId="4" type="noConversion"/>
  </si>
  <si>
    <t>차량 유지비</t>
    <phoneticPr fontId="0" type="noConversion"/>
  </si>
  <si>
    <t>성명</t>
    <phoneticPr fontId="4" type="noConversion"/>
  </si>
  <si>
    <t>통상시급</t>
    <phoneticPr fontId="4" type="noConversion"/>
  </si>
  <si>
    <t>기본시간</t>
    <phoneticPr fontId="4" type="noConversion"/>
  </si>
  <si>
    <t>기본급</t>
    <phoneticPr fontId="4" type="noConversion"/>
  </si>
  <si>
    <t>식대</t>
    <phoneticPr fontId="4" type="noConversion"/>
  </si>
  <si>
    <t>차량유지</t>
    <phoneticPr fontId="4" type="noConversion"/>
  </si>
  <si>
    <t>월지급액(12등분)</t>
    <phoneticPr fontId="4" type="noConversion"/>
  </si>
  <si>
    <t>연봉총액</t>
    <phoneticPr fontId="4" type="noConversion"/>
  </si>
  <si>
    <t>특근수당</t>
    <phoneticPr fontId="4" type="noConversion"/>
  </si>
  <si>
    <t>기숙사비</t>
    <phoneticPr fontId="4" type="noConversion"/>
  </si>
  <si>
    <t>기본급</t>
    <phoneticPr fontId="4" type="noConversion"/>
  </si>
  <si>
    <t>연번</t>
    <phoneticPr fontId="4" type="noConversion"/>
  </si>
  <si>
    <t>특근수당</t>
    <phoneticPr fontId="4" type="noConversion"/>
  </si>
  <si>
    <t>포괄연장시간</t>
    <phoneticPr fontId="4" type="noConversion"/>
  </si>
  <si>
    <t>기지급액</t>
    <phoneticPr fontId="4" type="noConversion"/>
  </si>
  <si>
    <t>귀하의 노고에 감사드립니다.</t>
    <phoneticPr fontId="4" type="noConversion"/>
  </si>
  <si>
    <t>공제금액(원)</t>
    <phoneticPr fontId="6" type="noConversion"/>
  </si>
  <si>
    <t>임금항목</t>
    <phoneticPr fontId="6" type="noConversion"/>
  </si>
  <si>
    <t>지 급 액 계</t>
    <phoneticPr fontId="6" type="noConversion"/>
  </si>
  <si>
    <t>공 제 액 계</t>
    <phoneticPr fontId="6" type="noConversion"/>
  </si>
  <si>
    <t>지급금액(원)</t>
    <phoneticPr fontId="6" type="noConversion"/>
  </si>
  <si>
    <t>계 산 방 법</t>
    <phoneticPr fontId="6" type="noConversion"/>
  </si>
  <si>
    <t>확인</t>
    <phoneticPr fontId="4" type="noConversion"/>
  </si>
  <si>
    <t>통상시급x209시간-(식대-차량유지비)</t>
    <phoneticPr fontId="4" type="noConversion"/>
  </si>
  <si>
    <t>통상시급 x 연장근로시간x1..5</t>
    <phoneticPr fontId="4" type="noConversion"/>
  </si>
  <si>
    <t>월 급여 /30일*13일</t>
    <phoneticPr fontId="4" type="noConversion"/>
  </si>
  <si>
    <t>연차수당</t>
    <phoneticPr fontId="4" type="noConversion"/>
  </si>
  <si>
    <t>두리누리</t>
    <phoneticPr fontId="4" type="noConversion"/>
  </si>
  <si>
    <t>귀하에 노고에 감사드립니다.</t>
    <phoneticPr fontId="4" type="noConversion"/>
  </si>
  <si>
    <t>근속 월</t>
    <phoneticPr fontId="4" type="noConversion"/>
  </si>
  <si>
    <t>지급일</t>
    <phoneticPr fontId="4" type="noConversion"/>
  </si>
  <si>
    <t>입사일</t>
    <phoneticPr fontId="4" type="noConversion"/>
  </si>
  <si>
    <t>입사일</t>
    <phoneticPr fontId="6" type="noConversion"/>
  </si>
  <si>
    <t>생년월일</t>
    <phoneticPr fontId="4" type="noConversion"/>
  </si>
  <si>
    <t>-</t>
    <phoneticPr fontId="4" type="noConversion"/>
  </si>
  <si>
    <t>부터</t>
    <phoneticPr fontId="6" type="noConversion"/>
  </si>
  <si>
    <t>연장근로시간</t>
    <phoneticPr fontId="4" type="noConversion"/>
  </si>
  <si>
    <t>최저임금 여부 확인</t>
    <phoneticPr fontId="4" type="noConversion"/>
  </si>
  <si>
    <t>연차 개수
(2025)</t>
    <phoneticPr fontId="4" type="noConversion"/>
  </si>
  <si>
    <t>미사용 연차
(2025)</t>
    <phoneticPr fontId="4" type="noConversion"/>
  </si>
  <si>
    <t>근 로 계 약 서</t>
    <phoneticPr fontId="6" type="noConversion"/>
  </si>
  <si>
    <t xml:space="preserve"> (이하 "갑"이라고 한다)와</t>
  </si>
  <si>
    <t>(이하 "을"이라고 한다)은/는 근로계약을 체결하고 상호 성실히 이행한다.</t>
    <phoneticPr fontId="6" type="noConversion"/>
  </si>
  <si>
    <t>근로계약기간          수습기간</t>
    <phoneticPr fontId="6" type="noConversion"/>
  </si>
  <si>
    <t>① 근로계약기간은</t>
    <phoneticPr fontId="6" type="noConversion"/>
  </si>
  <si>
    <t>부터 퇴직시까지로 한다.</t>
  </si>
  <si>
    <t xml:space="preserve">② 입사일로부터 </t>
    <phoneticPr fontId="6" type="noConversion"/>
  </si>
  <si>
    <t xml:space="preserve">까지 수습기간으로 하며 해당 기간 중 임금은 법률이 정하는 바에 의하여 </t>
    <phoneticPr fontId="6" type="noConversion"/>
  </si>
  <si>
    <t xml:space="preserve">   조절하여 지급할 수 있다. </t>
    <phoneticPr fontId="6" type="noConversion"/>
  </si>
  <si>
    <t>③ 수습기간 만료 후 채용여부를 결정하되 수습기간 중 본인근무실태, 성실성, 근면성 등을 평가하여 부적격하다고 판단될 때에는</t>
    <phoneticPr fontId="6" type="noConversion"/>
  </si>
  <si>
    <t xml:space="preserve">   수습기간 중이라도 본 계약을 취소할 수 있다.</t>
    <phoneticPr fontId="6" type="noConversion"/>
  </si>
  <si>
    <t>근무장소                          담당 업무</t>
    <phoneticPr fontId="6" type="noConversion"/>
  </si>
  <si>
    <t xml:space="preserve">① 근로장소: </t>
    <phoneticPr fontId="6" type="noConversion"/>
  </si>
  <si>
    <t>또는 "갑"이 지정한 장소.</t>
  </si>
  <si>
    <r>
      <t xml:space="preserve">② 담당업무: </t>
    </r>
    <r>
      <rPr>
        <u/>
        <sz val="12"/>
        <rFont val="맑은 고딕"/>
        <family val="3"/>
        <charset val="129"/>
      </rPr>
      <t xml:space="preserve">                   </t>
    </r>
    <phoneticPr fontId="6" type="noConversion"/>
  </si>
  <si>
    <t>및 그와 관련된 업무로 한다.</t>
  </si>
  <si>
    <t xml:space="preserve">③ "갑"은 필요한 경우 전 2항에서 정한 근로장소 및 업무의 내용을 변경할 수 있으며  "을"은  정당한 이유가 없는 한 이에 응해야한다. </t>
    <phoneticPr fontId="6" type="noConversion"/>
  </si>
  <si>
    <t>근로시간                                 휴게시간</t>
    <phoneticPr fontId="6" type="noConversion"/>
  </si>
  <si>
    <t>① 소정근로시간 :</t>
    <phoneticPr fontId="6" type="noConversion"/>
  </si>
  <si>
    <t>까지</t>
    <phoneticPr fontId="6" type="noConversion"/>
  </si>
  <si>
    <t xml:space="preserve">② 휴게시간 : </t>
    <phoneticPr fontId="6" type="noConversion"/>
  </si>
  <si>
    <t>시작</t>
    <phoneticPr fontId="6" type="noConversion"/>
  </si>
  <si>
    <t>종료</t>
    <phoneticPr fontId="6" type="noConversion"/>
  </si>
  <si>
    <t>③ 전 2항의 근로시간 및 휴게시간은 "갑"의 사정에 따라 필요한 경우 이를 변경하여 운영할 수 있다.</t>
    <phoneticPr fontId="6" type="noConversion"/>
  </si>
  <si>
    <t>근로일 및 휴일</t>
    <phoneticPr fontId="6" type="noConversion"/>
  </si>
  <si>
    <t>① 소정근로일은</t>
    <phoneticPr fontId="6" type="noConversion"/>
  </si>
  <si>
    <t>이며 토요일은 무급휴무일로 한다.</t>
    <phoneticPr fontId="6" type="noConversion"/>
  </si>
  <si>
    <t xml:space="preserve">② 다음 각 호의 1에 정하는 날은 유급휴일로 한다. 다만, "을"이 1주 동안에 소정근로일을 개근하지 아니한 경우 주휴일은 무급으로 하며 </t>
    <phoneticPr fontId="6" type="noConversion"/>
  </si>
  <si>
    <t xml:space="preserve">   각 호의 휴일이 중복되는 경우에는 하나의 휴일로 취급한다. </t>
    <phoneticPr fontId="6" type="noConversion"/>
  </si>
  <si>
    <t xml:space="preserve">    1. 주휴일(일요일) 2. 근로자의 날(매년 5월 1일) 3. 기타 회사에서 정한 날</t>
    <phoneticPr fontId="6" type="noConversion"/>
  </si>
  <si>
    <t xml:space="preserve">③ 전 2항의 근로일과 주휴일은 "갑"의 사정에 따라 필요한 경우 이를 변경할 수 있으며 각 사업장의 상황에 따라 일요일이 아닌 근로일에 </t>
    <phoneticPr fontId="6" type="noConversion"/>
  </si>
  <si>
    <t xml:space="preserve">    쉬는 경우에는 주휴일을 사용한 것으로 갈음한다. 또한 업무상 필요한 경우 휴일을 해당 직원에게 24시간 전에 미리 통보하여 다른 날로 </t>
    <phoneticPr fontId="6" type="noConversion"/>
  </si>
  <si>
    <t xml:space="preserve">    부여할 수 있다. 이 경우 “갑”은 휴일근로수당의 지급의무를 면한다.</t>
    <phoneticPr fontId="6" type="noConversion"/>
  </si>
  <si>
    <t>연장·휴일                 및 야간근로</t>
    <phoneticPr fontId="6" type="noConversion"/>
  </si>
  <si>
    <r>
      <t xml:space="preserve">① </t>
    </r>
    <r>
      <rPr>
        <sz val="12"/>
        <color rgb="FF000000"/>
        <rFont val="맑은 고딕"/>
        <family val="3"/>
        <charset val="129"/>
        <scheme val="minor"/>
      </rPr>
      <t xml:space="preserve">“갑”은 “을”의 동의를 받아 시간외(연장,야간,휴일)근로를 명할 수 있다. </t>
    </r>
    <phoneticPr fontId="6" type="noConversion"/>
  </si>
  <si>
    <t xml:space="preserve">② 시간외(연장,야간,휴일)근로는 원칙적으로 상사의 명령 또는 상사의 사전승인을 득한 경우에만 인정된다. </t>
    <phoneticPr fontId="6" type="noConversion"/>
  </si>
  <si>
    <t xml:space="preserve">③ "갑"은 근로자대표와의 서면합의에 따라 연장•야간•휴일근로에 대하여 임금을 지급하는 것을 갈음하여 휴가를 줄 수 있다. </t>
    <phoneticPr fontId="6" type="noConversion"/>
  </si>
  <si>
    <t>임금</t>
    <phoneticPr fontId="6" type="noConversion"/>
  </si>
  <si>
    <t xml:space="preserve">“을”의 급여내역은 연봉계약서에 의한다. </t>
  </si>
  <si>
    <t>연차휴가</t>
    <phoneticPr fontId="6" type="noConversion"/>
  </si>
  <si>
    <t xml:space="preserve">① 1년간 80퍼센트 이상 출근한 직원에게는 15일의 유급휴가를 주며 계속근로연수가 1년 미만인 직원 또는 1년간 80퍼센트 미만 </t>
    <phoneticPr fontId="6" type="noConversion"/>
  </si>
  <si>
    <t xml:space="preserve">   출근한 직원에 대하여는 1월간 개근 시 1일의 유급휴가를 준다.</t>
    <phoneticPr fontId="6" type="noConversion"/>
  </si>
  <si>
    <t>② 기타 연차 유급휴가에 관한 사항은 취업규칙 및 근로기준법에서 정하는 바에 따른다.</t>
    <phoneticPr fontId="6" type="noConversion"/>
  </si>
  <si>
    <t>비밀준수의무</t>
    <phoneticPr fontId="6" type="noConversion"/>
  </si>
  <si>
    <t xml:space="preserve">①"을"이 근무 중 고의 또는 과실로 "갑"에게 손해를 끼치거나 본인이나 타인의 임금내역을 고의∙과실로 공개 또는 누설하는 경우에는 </t>
    <phoneticPr fontId="6" type="noConversion"/>
  </si>
  <si>
    <t xml:space="preserve">   징계와 더불어 손해배상 등 민∙형사상의 책임을 물을 수 있다</t>
    <phoneticPr fontId="6" type="noConversion"/>
  </si>
  <si>
    <t xml:space="preserve">② "을"은 근로계약 기간 동안 근로자는 회사나 회사 고객의 비밀정보를 입수하여서는 아니 되며 근로계약 중이거나 계약이 종결된 </t>
    <phoneticPr fontId="6" type="noConversion"/>
  </si>
  <si>
    <t xml:space="preserve">   후에도 이러한 정보를 엄격하게 비밀로 취급한다는 것과 제3자에게 그러한 비밀정보를 공개하지 않겠다는 것을 서약한다. </t>
    <phoneticPr fontId="6" type="noConversion"/>
  </si>
  <si>
    <t>계약해지사유</t>
    <phoneticPr fontId="6" type="noConversion"/>
  </si>
  <si>
    <t>① “갑”의 취업규칙 또는 기타 사규 및 방침(안전보건 및 위생규칙 등)을 위반했을 경우</t>
    <phoneticPr fontId="6" type="noConversion"/>
  </si>
  <si>
    <t xml:space="preserve">② 무단지각, 조퇴, 외출 및 결근을 했을 경우 </t>
    <phoneticPr fontId="6" type="noConversion"/>
  </si>
  <si>
    <t>③ “갑”의 물품(식자재 등)을 “갑”의 승인 없이 반출 또는 반출하려고 했을 경우</t>
    <phoneticPr fontId="6" type="noConversion"/>
  </si>
  <si>
    <t>④ “갑”의 신뢰 및 명예를 훼손시킨 경우 (예: 고객과의 불필요한 마찰을 일으킨 경우)</t>
    <phoneticPr fontId="6" type="noConversion"/>
  </si>
  <si>
    <t>⑤ 사업장의 질서를 문란하거나 고객 및 협력업체 등으로부터 금품을 수수하거나 향응을 제공받은 경우</t>
    <phoneticPr fontId="6" type="noConversion"/>
  </si>
  <si>
    <t>⑥ 형법상 범죄행위에 해당되는 행위를 한 경우</t>
    <phoneticPr fontId="6" type="noConversion"/>
  </si>
  <si>
    <t>⑦ "갑"의 정당한 업무지시를 거부 또는 위배한 경우</t>
    <phoneticPr fontId="6" type="noConversion"/>
  </si>
  <si>
    <t>⑧ 기타 이에 준하는 사유로서 사회통념상 근로계약을 존속시킬 수 없는 정도의 사유</t>
    <phoneticPr fontId="6" type="noConversion"/>
  </si>
  <si>
    <t>퇴직금 및 퇴사절차</t>
    <phoneticPr fontId="6" type="noConversion"/>
  </si>
  <si>
    <t xml:space="preserve">① “갑”은 “을”이 1년 이상 근무하고 퇴직 시 근속연수 1년에 대하여 평균임금 30일분을 퇴직금으로 지급한다. </t>
    <phoneticPr fontId="6" type="noConversion"/>
  </si>
  <si>
    <t xml:space="preserve">   다만 직원의 과반수 동의를 얻어 퇴직연금에 가입한 경우 이를 법정퇴직금의 지급으로 한다. </t>
    <phoneticPr fontId="6" type="noConversion"/>
  </si>
  <si>
    <t>②"을"은 민법상 퇴직의 효력의 시기가 발생하기 한달전에 "갑"에게 통보하고 성실히 인수인계하여야 하며, 이를 위반하여</t>
    <phoneticPr fontId="6" type="noConversion"/>
  </si>
  <si>
    <t xml:space="preserve">  무단퇴사하거나 불성실한 인수인계로 인하여 "갑"의 손해가 발생한 경우 이를 배상하여야 한다</t>
    <phoneticPr fontId="6" type="noConversion"/>
  </si>
  <si>
    <t>안전관리책임</t>
    <phoneticPr fontId="6" type="noConversion"/>
  </si>
  <si>
    <t xml:space="preserve">현장을 관리하는 직원은 안전사고 예방을 위해 강력하게 관리감독하여야 하며 현장에서 안전장구를 착용하지 않은 </t>
    <phoneticPr fontId="6" type="noConversion"/>
  </si>
  <si>
    <t>작업자는 근무하지 못하도록 철저히 주의감독하고, 만약 미흡한 안전관리로 사고 발생 시 관리자로서 그에 대한 책임을 진다.</t>
    <phoneticPr fontId="6" type="noConversion"/>
  </si>
  <si>
    <t>기타</t>
    <phoneticPr fontId="6" type="noConversion"/>
  </si>
  <si>
    <t>① "을"은 "갑"이 정한 취업규칙을 성실히 준수할 의무를 부담한다.</t>
    <phoneticPr fontId="6" type="noConversion"/>
  </si>
  <si>
    <t>② 이 계약에 정함이 없는 사항은 근로기준법 등 노동관계법령 및 취업규칙에 의한다.</t>
    <phoneticPr fontId="6" type="noConversion"/>
  </si>
  <si>
    <t>"을"은 본 근로계약의 내용을 충분히 인지하였으며  "갑"은 본 계약서 사본을 "을"의 교부요구와 관계없이 "을"에게 교부하였으며</t>
    <phoneticPr fontId="6" type="noConversion"/>
  </si>
  <si>
    <t xml:space="preserve"> 을은 이를 교부 받았음을 확인한다. </t>
    <phoneticPr fontId="6" type="noConversion"/>
  </si>
  <si>
    <t>(을)</t>
    <phoneticPr fontId="6" type="noConversion"/>
  </si>
  <si>
    <t xml:space="preserve"> (서명)</t>
    <phoneticPr fontId="6" type="noConversion"/>
  </si>
  <si>
    <t>20     년     월     일</t>
    <phoneticPr fontId="6" type="noConversion"/>
  </si>
  <si>
    <t>(갑)</t>
    <phoneticPr fontId="6" type="noConversion"/>
  </si>
  <si>
    <t>(인 또는 서명)</t>
    <phoneticPr fontId="6" type="noConversion"/>
  </si>
  <si>
    <t xml:space="preserve">   주      소 </t>
    <phoneticPr fontId="6" type="noConversion"/>
  </si>
  <si>
    <t xml:space="preserve">성     명 </t>
    <phoneticPr fontId="6" type="noConversion"/>
  </si>
  <si>
    <t xml:space="preserve">   주민등록번호</t>
    <phoneticPr fontId="6" type="noConversion"/>
  </si>
  <si>
    <t>연 봉 계 약 서</t>
    <phoneticPr fontId="6" type="noConversion"/>
  </si>
  <si>
    <t>(이하 "갑"이라고 한다) 와</t>
  </si>
  <si>
    <t>(이하 "을"이라고 한다)은/는 연봉계약을 체결하고 상호 성실히 이행한다.</t>
    <phoneticPr fontId="6" type="noConversion"/>
  </si>
  <si>
    <t>연봉계약기간</t>
    <phoneticPr fontId="6" type="noConversion"/>
  </si>
  <si>
    <t>① 연봉계약기간은</t>
    <phoneticPr fontId="6" type="noConversion"/>
  </si>
  <si>
    <r>
      <rPr>
        <u/>
        <sz val="12"/>
        <color rgb="FF0000FF"/>
        <rFont val="맑은 고딕"/>
        <family val="3"/>
        <charset val="129"/>
      </rPr>
      <t>20   년    월    일부터   20    년    월    일</t>
    </r>
    <r>
      <rPr>
        <sz val="12"/>
        <color rgb="FF0000FF"/>
        <rFont val="맑은 고딕"/>
        <family val="3"/>
        <charset val="129"/>
      </rPr>
      <t xml:space="preserve">까지로 한다. </t>
    </r>
    <phoneticPr fontId="6" type="noConversion"/>
  </si>
  <si>
    <t xml:space="preserve">② 제1항의 기간만료 30일전까지 당사자 쌍방이 갱신 계약을 작성하지 아니한 때에는 동 계약은 기간만료일로부터 다시 1년간 </t>
    <phoneticPr fontId="6" type="noConversion"/>
  </si>
  <si>
    <t xml:space="preserve">   동일한 조건으로 연장된 것으로 본다.</t>
    <phoneticPr fontId="6" type="noConversion"/>
  </si>
  <si>
    <t>임금의 구성항목 및 계산방법</t>
    <phoneticPr fontId="6" type="noConversion"/>
  </si>
  <si>
    <t xml:space="preserve">① 임금액과 임금구성은 다음과 같다. 다만, 임금은 기본급과 법정수당 및 제수당 등을 포함한 포괄임금체계에 의한 </t>
    <phoneticPr fontId="6" type="noConversion"/>
  </si>
  <si>
    <t xml:space="preserve">   금액으로 "을"은 이에 동의한다. </t>
    <phoneticPr fontId="6" type="noConversion"/>
  </si>
  <si>
    <t>임금구성항목</t>
    <phoneticPr fontId="6" type="noConversion"/>
  </si>
  <si>
    <t>금액</t>
    <phoneticPr fontId="6" type="noConversion"/>
  </si>
  <si>
    <t>계산방법</t>
    <phoneticPr fontId="6" type="noConversion"/>
  </si>
  <si>
    <t>월 급여총액</t>
  </si>
  <si>
    <t>② 실제 시간외 근로(연장•휴일•야간근로)시간과 월 급여에 포함된 시간외근로수당의 고정시간을 비교하여 실제 시간외 근로시간이</t>
    <phoneticPr fontId="6" type="noConversion"/>
  </si>
  <si>
    <t xml:space="preserve">    많은 경우에는 초과하는 시간만큼 시간외 근로수당을 지급하며, 미달하는 경우에는 고정 시간외근로수당에서 미달한 시간분의</t>
    <phoneticPr fontId="6" type="noConversion"/>
  </si>
  <si>
    <t xml:space="preserve">    수당을 공제하여 지급한다. </t>
    <phoneticPr fontId="6" type="noConversion"/>
  </si>
  <si>
    <t>③ 임금 중 기본급과 시간외 근로(연장•휴일•야간근로)수당을 제외한 나머지 수당은 해당 월에 만근한 경우에만 지급하며</t>
    <phoneticPr fontId="6" type="noConversion"/>
  </si>
  <si>
    <t xml:space="preserve">    해당 월의 임금 지급일에 재직하고 있지 아니한 자에 대하여는 지급하지 아니한다. </t>
    <phoneticPr fontId="6" type="noConversion"/>
  </si>
  <si>
    <t xml:space="preserve">④ 년 또는 월 중도 입사자 및 퇴사자의 경우 해당 년도와 월의 근무일수에 따라 항목별 금액을 일할 계산하여 지급하며  “을”의 </t>
    <phoneticPr fontId="6" type="noConversion"/>
  </si>
  <si>
    <t xml:space="preserve">    귀책사유로 결근한 경우 상기의 월 급여 총액을 일할계산하여 결근일 수 만큼 차감하며 해당 주의 주휴수당을 차감하여 지급한다.</t>
    <phoneticPr fontId="6" type="noConversion"/>
  </si>
  <si>
    <t xml:space="preserve">⑤ 갑이 인정하는 일정자격이 유지될 경우에 지급하는 자격수당 등은 그 자격이 유지될 경우에만 지급하며, 자격 만료시에는 </t>
    <phoneticPr fontId="6" type="noConversion"/>
  </si>
  <si>
    <t xml:space="preserve">   당월분에 대해서는 일할계산하여 지급하고 익월부터는 지급을 중지한다.  또한 계약기간중 전보·승격·징계·병가·휴직·복직 등 </t>
    <phoneticPr fontId="6" type="noConversion"/>
  </si>
  <si>
    <t xml:space="preserve">   인사상의 처우 변경시에는 사규에서 정하는 바에 따른다.</t>
    <phoneticPr fontId="6" type="noConversion"/>
  </si>
  <si>
    <t xml:space="preserve">⑥ 상여금은 별도의 산정 및 지급기준에 따라 지급할 수 있다. 다만 지급일 당시 재직자에 한하여 지급하며 대상기간 중 중도 입·퇴사, </t>
    <phoneticPr fontId="6" type="noConversion"/>
  </si>
  <si>
    <t xml:space="preserve">    결근·휴직·정직 등이 있는 경우와 같이 대상기간을 만근하지 않은 자는 지급대상에서 제외한다.</t>
    <phoneticPr fontId="6" type="noConversion"/>
  </si>
  <si>
    <t>⑦ 연봉 계약기간중에 직무수행이 불가능하거나 회사 경영여건의 급격한 변화로 인해 계약내용의 조정이 불가피한 경우에는 "을"의 동의</t>
    <phoneticPr fontId="6" type="noConversion"/>
  </si>
  <si>
    <t xml:space="preserve">    또는 별도로 정하는 바에 따라 합리적인 절차를 거쳐 계약금액을 조정할 수 있다.</t>
    <phoneticPr fontId="6" type="noConversion"/>
  </si>
  <si>
    <t>임금의 지급방법</t>
    <phoneticPr fontId="6" type="noConversion"/>
  </si>
  <si>
    <r>
      <t>① 임금의 산정기간은</t>
    </r>
    <r>
      <rPr>
        <sz val="12"/>
        <color rgb="FF00B050"/>
        <rFont val="맑은 고딕"/>
        <family val="3"/>
        <charset val="129"/>
      </rPr>
      <t xml:space="preserve"> </t>
    </r>
    <r>
      <rPr>
        <u/>
        <sz val="12"/>
        <color rgb="FF00B050"/>
        <rFont val="맑은 고딕"/>
        <family val="3"/>
        <charset val="129"/>
      </rPr>
      <t>매월 1일부터 해당월 말일</t>
    </r>
    <r>
      <rPr>
        <sz val="12"/>
        <rFont val="맑은 고딕"/>
        <family val="3"/>
        <charset val="129"/>
      </rPr>
      <t>까지로 한다.</t>
    </r>
  </si>
  <si>
    <r>
      <t xml:space="preserve">② 임금 지급시기는 </t>
    </r>
    <r>
      <rPr>
        <u/>
        <sz val="12"/>
        <color rgb="FF00B050"/>
        <rFont val="맑은 고딕"/>
        <family val="3"/>
        <charset val="129"/>
      </rPr>
      <t>익월 10일</t>
    </r>
    <r>
      <rPr>
        <sz val="12"/>
        <rFont val="맑은 고딕"/>
        <family val="3"/>
        <charset val="129"/>
      </rPr>
      <t>(휴일의 경우는 그 전 근로일)에 ＂을“에게 직접지급 또는 예금통장에  입금한다.</t>
    </r>
  </si>
  <si>
    <t xml:space="preserve"> 근로계약 관련 동의서</t>
    <phoneticPr fontId="6" type="noConversion"/>
  </si>
  <si>
    <t xml:space="preserve">상기 본인은 근로계약서와 관련하여 아래 각호의 사항에 대하여 동의합니다. </t>
    <phoneticPr fontId="6" type="noConversion"/>
  </si>
  <si>
    <t>- 아 래 -</t>
    <phoneticPr fontId="6" type="noConversion"/>
  </si>
  <si>
    <t>1. 근로기준법 제53조에 따른 연장근로</t>
    <phoneticPr fontId="6" type="noConversion"/>
  </si>
  <si>
    <t>2. 근로기준법 제70조에 따른 야간 및 휴일근로</t>
    <phoneticPr fontId="6" type="noConversion"/>
  </si>
  <si>
    <t>3. 보험료 정산 등의 이유로 근로기준법 제36조의 금품청산 기간을 퇴사일로부터 1개월로 연장</t>
    <phoneticPr fontId="6" type="noConversion"/>
  </si>
  <si>
    <t>4. 연봉 및 월급여에 기본금 및 법정수당, 제수당 등을 포함한 포괄임금제</t>
    <phoneticPr fontId="6" type="noConversion"/>
  </si>
  <si>
    <t xml:space="preserve">부 서 명 </t>
    <phoneticPr fontId="6" type="noConversion"/>
  </si>
  <si>
    <t>주민등록번호</t>
    <phoneticPr fontId="6" type="noConversion"/>
  </si>
  <si>
    <r>
      <t>개인정보 제공 동의서</t>
    </r>
    <r>
      <rPr>
        <u/>
        <sz val="22"/>
        <color rgb="FF000000"/>
        <rFont val="맑은 고딕"/>
        <family val="3"/>
        <charset val="129"/>
        <scheme val="minor"/>
      </rPr>
      <t xml:space="preserve"> </t>
    </r>
  </si>
  <si>
    <t>1. 개인정보 수집 및 이용 동의</t>
  </si>
  <si>
    <t>&lt;개인정보 수집목적&gt;</t>
  </si>
  <si>
    <t xml:space="preserve">는 채용과 채용관리 그리고 재직근로자의 인적자원관리상 개인정보제공이 필요하므로 개인정보보호법 등 규정 등에 따라 </t>
    <phoneticPr fontId="6" type="noConversion"/>
  </si>
  <si>
    <t xml:space="preserve">아래의 개인정보를 수집 하고 있습니다. </t>
    <phoneticPr fontId="6" type="noConversion"/>
  </si>
  <si>
    <t>&lt;개인정보 수집항목&gt;</t>
  </si>
  <si>
    <t>수집하는 개인정보는 개인식별정보(증명사진, 성명, 주민번호, 외국인의 경우 외국인등록번호), 연락정보(이메일, 주소, 전화번호, 휴대전화번호), 학력사항(재학기간, 학교, 전공, 졸업여부, 학점), 경력사항(근무기간, 근무처, 직위, 담당업무), 병역사항, 가족사항(가족관계, 성명, 연령, 학력, 직업, 근무처, 직위, 거주지), 기타사항(혼인여부, 자격면허(취득일자, 종류), 외국어시험명과 점수, 특기, 취미, 교내외 과외활동 등)입니다.</t>
    <phoneticPr fontId="6" type="noConversion"/>
  </si>
  <si>
    <t>&lt;개인정보 보유기간&gt;</t>
  </si>
  <si>
    <t>개인정보는 인사급여 업무와 경력증명서 발급을 위하여 준영구로 보관됩니다.
불합격자의 개인정보는 제출 후 만3년 이내 또는 입사지원서 삭제 요청시까지 보관됩니다.</t>
    <phoneticPr fontId="6" type="noConversion"/>
  </si>
  <si>
    <t>&lt;개인정보의 수집목적 및 이용목적&gt;</t>
  </si>
  <si>
    <t xml:space="preserve">본인 실명 여부의 확인을 위해 신용정보집중기관으로 제공 및 활용 됩니다. 
또한 인사관리(채용, 승진, 보상, 평가, 노무, 상벌, 인사발령), 4대 보험, 퇴직연금가입, 복지관련사항의 처리, 근로기준법 및 각종 고용관계법령상 각종 의무 준수, 재직증명서, 경력증명서, 퇴직증명서발급, 소득세 등 각종 세금 납부, 기타 자문기관과의 업무협조, 고지사항 전달, 본인 의사 확인, 불만 처리 등 원활한 의사소통의 경로 확보, 채용 등의 정보 제공을 위한 자료로 활용 될 수 있습니다. </t>
    <phoneticPr fontId="6" type="noConversion"/>
  </si>
  <si>
    <t>&lt;수집 동의 거부 권리&gt;</t>
  </si>
  <si>
    <t>개인정보 수집, 제공, 이용에 대한 동의를 거부할 권리가 있습니다. 
다만 미동의시 인사이동 업무지연 등 인사, 급여가 제대로 수행되지 않을 수 있음을 알려드립니다.</t>
    <phoneticPr fontId="6" type="noConversion"/>
  </si>
  <si>
    <t xml:space="preserve">개인정보의 수집 및 이용목적에 동의하십니까? □ 동의함 □ 동의하지 않음 </t>
  </si>
  <si>
    <r>
      <t>2. 고유식별번호(주민등록번호 등) 수집 및 이용 동의</t>
    </r>
    <r>
      <rPr>
        <sz val="12"/>
        <color rgb="FF000000"/>
        <rFont val="맑은 고딕"/>
        <family val="3"/>
        <charset val="129"/>
        <scheme val="minor"/>
      </rPr>
      <t xml:space="preserve"> </t>
    </r>
  </si>
  <si>
    <t xml:space="preserve">는 채용심사와 채용 후 인사관리 및 급여지급을 위하여 고유식별번호(주민등록번호, 외국인등록번호, 운전면허번호, 지문 등)를 </t>
    <phoneticPr fontId="6" type="noConversion"/>
  </si>
  <si>
    <t>수집하고 있습니다. 고유식별번호의 보유기간은 위 개인정보와 같으며 입사지원자에게는 제공동의를 거부할 권리가 있습니다. 다만 미동의시 채용심사 및 채용 후</t>
    <phoneticPr fontId="6" type="noConversion"/>
  </si>
  <si>
    <t xml:space="preserve"> 인사급여에 차질이 발생할 수 있음을 알려드립니다.</t>
    <phoneticPr fontId="6" type="noConversion"/>
  </si>
  <si>
    <t xml:space="preserve">고유식별번호 수집 및 이용목적에 동의하십니까? □ 동의함 □ 동의하지 않음 </t>
    <phoneticPr fontId="6" type="noConversion"/>
  </si>
  <si>
    <r>
      <t xml:space="preserve">3. </t>
    </r>
    <r>
      <rPr>
        <b/>
        <sz val="12"/>
        <color rgb="FF000000"/>
        <rFont val="돋움"/>
        <family val="3"/>
        <charset val="129"/>
      </rPr>
      <t>민감정보 수집 및 이용 동의</t>
    </r>
    <r>
      <rPr>
        <sz val="12"/>
        <color rgb="FF000000"/>
        <rFont val="굴림"/>
        <family val="3"/>
        <charset val="129"/>
      </rPr>
      <t xml:space="preserve"> </t>
    </r>
  </si>
  <si>
    <t>는 채용심사와 채용 후 인사관리 및 급여지급을 위하여 민감정보(범죄경력,지문)를 수집하고 있습니다. 민감정보의 보유기간은</t>
    <phoneticPr fontId="6" type="noConversion"/>
  </si>
  <si>
    <t xml:space="preserve">  위 개인정보와 같으며, 입사지원자에게는 제공동의를 거부할 권리가 있습니다. 다만 미동의시 채용심사 및 채용 후 인사급여에 차질이 </t>
    <phoneticPr fontId="6" type="noConversion"/>
  </si>
  <si>
    <t xml:space="preserve"> 발생할 수 있음을 알려드립니다.</t>
    <phoneticPr fontId="6" type="noConversion"/>
  </si>
  <si>
    <t xml:space="preserve">민감정보 수집 및 이용목적에 동의하십니까? □ 동의함 □ 동의하지 않음 </t>
    <phoneticPr fontId="6" type="noConversion"/>
  </si>
  <si>
    <t>20     년     월     일</t>
  </si>
  <si>
    <t>동의자 본인</t>
    <phoneticPr fontId="6" type="noConversion"/>
  </si>
  <si>
    <t>기본급</t>
  </si>
  <si>
    <t>식대</t>
  </si>
  <si>
    <t>근무시간</t>
    <phoneticPr fontId="4" type="noConversion"/>
  </si>
  <si>
    <t>휴게 시간</t>
    <phoneticPr fontId="4" type="noConversion"/>
  </si>
  <si>
    <t>업무</t>
    <phoneticPr fontId="4" type="noConversion"/>
  </si>
  <si>
    <t>직책</t>
    <phoneticPr fontId="4" type="noConversion"/>
  </si>
  <si>
    <t>개인정보</t>
    <phoneticPr fontId="4" type="noConversion"/>
  </si>
  <si>
    <t>통상시급x</t>
    <phoneticPr fontId="4" type="noConversion"/>
  </si>
  <si>
    <t>연장수당</t>
    <phoneticPr fontId="4" type="noConversion"/>
  </si>
  <si>
    <t>연장근로</t>
    <phoneticPr fontId="4" type="noConversion"/>
  </si>
  <si>
    <t>휴일근로수당</t>
    <phoneticPr fontId="4" type="noConversion"/>
  </si>
  <si>
    <t>일 소정
근로시간</t>
    <phoneticPr fontId="4" type="noConversion"/>
  </si>
  <si>
    <r>
      <t xml:space="preserve">근로일
</t>
    </r>
    <r>
      <rPr>
        <b/>
        <sz val="11"/>
        <color rgb="FFFF0000"/>
        <rFont val="맑은 고딕"/>
        <family val="3"/>
        <charset val="129"/>
        <scheme val="minor"/>
      </rPr>
      <t>(ex. 월~금)</t>
    </r>
    <phoneticPr fontId="4" type="noConversion"/>
  </si>
  <si>
    <t>세전금액</t>
    <phoneticPr fontId="4" type="noConversion"/>
  </si>
  <si>
    <t>사용X</t>
    <phoneticPr fontId="4" type="noConversion"/>
  </si>
  <si>
    <t>연금하한</t>
    <phoneticPr fontId="4" type="noConversion"/>
  </si>
  <si>
    <t>연금하한공제액</t>
    <phoneticPr fontId="4" type="noConversion"/>
  </si>
  <si>
    <t>연금보험</t>
    <phoneticPr fontId="4" type="noConversion"/>
  </si>
  <si>
    <t>근로자 명부 작성</t>
    <phoneticPr fontId="4" type="noConversion"/>
  </si>
  <si>
    <t>시업시각</t>
  </si>
  <si>
    <t>종업시각</t>
  </si>
  <si>
    <t>근로일</t>
  </si>
  <si>
    <t>휴일</t>
  </si>
  <si>
    <t>평일 야간 근로시간</t>
  </si>
  <si>
    <t>휴일 연장 근로시간</t>
  </si>
  <si>
    <t>휴일 야간 근로시간</t>
  </si>
  <si>
    <t>월~금</t>
  </si>
  <si>
    <t>매주 토,일</t>
  </si>
  <si>
    <t>근무구분</t>
    <phoneticPr fontId="4" type="noConversion"/>
  </si>
  <si>
    <t>매주 토일</t>
    <phoneticPr fontId="4" type="noConversion"/>
  </si>
  <si>
    <t>휴게시간
시작</t>
    <phoneticPr fontId="4" type="noConversion"/>
  </si>
  <si>
    <t>휴게시간
종료</t>
    <phoneticPr fontId="4" type="noConversion"/>
  </si>
  <si>
    <t>구분</t>
    <phoneticPr fontId="4" type="noConversion"/>
  </si>
  <si>
    <t xml:space="preserve">X 통상시급 </t>
    <phoneticPr fontId="6" type="noConversion"/>
  </si>
  <si>
    <t>시간</t>
    <phoneticPr fontId="4" type="noConversion"/>
  </si>
  <si>
    <t>연차</t>
    <phoneticPr fontId="4" type="noConversion"/>
  </si>
  <si>
    <t>③ 착공 및 조기준공 등등을 포함하여 공사현장에 따라 불가피하게 휴무가 발생 한 경우 연차사용으로 대체 할 수 있다.</t>
    <phoneticPr fontId="4" type="noConversion"/>
  </si>
  <si>
    <t>연장 근로수당</t>
    <phoneticPr fontId="4" type="noConversion"/>
  </si>
  <si>
    <t>소정근로시간 209(주휴수당포함)</t>
    <phoneticPr fontId="4" type="noConversion"/>
  </si>
  <si>
    <t>퇴사일</t>
    <phoneticPr fontId="4" type="noConversion"/>
  </si>
  <si>
    <t>연   차   수   당</t>
    <phoneticPr fontId="4" type="noConversion"/>
  </si>
  <si>
    <t>기본근로시간</t>
    <phoneticPr fontId="4" type="noConversion"/>
  </si>
  <si>
    <t>휴일근로시간</t>
    <phoneticPr fontId="4" type="noConversion"/>
  </si>
  <si>
    <t>(시간)X 통상시급</t>
    <phoneticPr fontId="6" type="noConversion"/>
  </si>
  <si>
    <t>최저시급</t>
    <phoneticPr fontId="4" type="noConversion"/>
  </si>
  <si>
    <t>최저임금</t>
    <phoneticPr fontId="4" type="noConversion"/>
  </si>
  <si>
    <t>2025년</t>
    <phoneticPr fontId="4" type="noConversion"/>
  </si>
  <si>
    <t>2026년</t>
    <phoneticPr fontId="4" type="noConversion"/>
  </si>
  <si>
    <t>총
근로시간</t>
    <phoneticPr fontId="4" type="noConversion"/>
  </si>
  <si>
    <t>회사명</t>
    <phoneticPr fontId="4" type="noConversion"/>
  </si>
  <si>
    <t>연도</t>
    <phoneticPr fontId="4" type="noConversion"/>
  </si>
  <si>
    <t>기      업      명</t>
  </si>
  <si>
    <t>사업자등록번호</t>
  </si>
  <si>
    <t>소      재      지</t>
  </si>
  <si>
    <t>대      표      자</t>
  </si>
  <si>
    <t>회사 정보</t>
    <phoneticPr fontId="4" type="noConversion"/>
  </si>
  <si>
    <t>본사(계약직)</t>
    <phoneticPr fontId="4" type="noConversion"/>
  </si>
  <si>
    <t>현장(계약직)</t>
    <phoneticPr fontId="4" type="noConversion"/>
  </si>
  <si>
    <t>근로자 별 근로 정보 입력</t>
    <phoneticPr fontId="4" type="noConversion"/>
  </si>
  <si>
    <t xml:space="preserve"> 연장 
근로시간</t>
    <phoneticPr fontId="4" type="noConversion"/>
  </si>
  <si>
    <t>휴일 
근로시간</t>
    <phoneticPr fontId="4" type="noConversion"/>
  </si>
  <si>
    <t>평일 
 근로시간</t>
    <phoneticPr fontId="4" type="noConversion"/>
  </si>
  <si>
    <t>만나이</t>
    <phoneticPr fontId="4" type="noConversion"/>
  </si>
  <si>
    <t>만 나이</t>
    <phoneticPr fontId="4" type="noConversion"/>
  </si>
  <si>
    <t>부터 0000년 00월 00일 까지로 한다.</t>
    <phoneticPr fontId="4" type="noConversion"/>
  </si>
  <si>
    <t>본사</t>
    <phoneticPr fontId="4" type="noConversion"/>
  </si>
  <si>
    <t>현장</t>
    <phoneticPr fontId="4" type="noConversion"/>
  </si>
  <si>
    <t>제이엠건축인테리어 주식회사</t>
    <phoneticPr fontId="4" type="noConversion"/>
  </si>
  <si>
    <t>168-86-03200</t>
    <phoneticPr fontId="4" type="noConversion"/>
  </si>
  <si>
    <t>경상남도 창원시 의창구 평산로 135번길 4 , 2층</t>
    <phoneticPr fontId="4" type="noConversion"/>
  </si>
  <si>
    <t>이소연</t>
    <phoneticPr fontId="4" type="noConversion"/>
  </si>
  <si>
    <t>연장
추가수당</t>
    <phoneticPr fontId="4" type="noConversion"/>
  </si>
  <si>
    <t>연장
추가시간</t>
    <phoneticPr fontId="4" type="noConversion"/>
  </si>
  <si>
    <t>연장 
추가시간</t>
    <phoneticPr fontId="4" type="noConversion"/>
  </si>
  <si>
    <t>연장추가수당</t>
  </si>
  <si>
    <t>연장추가수당</t>
    <phoneticPr fontId="4" type="noConversion"/>
  </si>
  <si>
    <t>본사</t>
  </si>
  <si>
    <t>디자인</t>
    <phoneticPr fontId="4" type="noConversion"/>
  </si>
  <si>
    <t>문준호</t>
    <phoneticPr fontId="4" type="noConversion"/>
  </si>
  <si>
    <t>2024.11.01</t>
    <phoneticPr fontId="4" type="noConversion"/>
  </si>
  <si>
    <t>2023.09.04</t>
    <phoneticPr fontId="4" type="noConversion"/>
  </si>
  <si>
    <t>하동명</t>
    <phoneticPr fontId="4" type="noConversion"/>
  </si>
  <si>
    <t>2025.08.04</t>
    <phoneticPr fontId="4" type="noConversion"/>
  </si>
  <si>
    <t>대표</t>
    <phoneticPr fontId="4" type="noConversion"/>
  </si>
  <si>
    <t>이사</t>
    <phoneticPr fontId="4" type="noConversion"/>
  </si>
  <si>
    <t>매주 토,일</t>
    <phoneticPr fontId="4" type="noConversion"/>
  </si>
  <si>
    <t>격주 토
매주 일</t>
    <phoneticPr fontId="4" type="noConversion"/>
  </si>
  <si>
    <t>현장</t>
  </si>
  <si>
    <t>사원</t>
    <phoneticPr fontId="4" type="noConversion"/>
  </si>
  <si>
    <t>현장업무</t>
    <phoneticPr fontId="4" type="noConversion"/>
  </si>
  <si>
    <t>직책수당</t>
    <phoneticPr fontId="4" type="noConversion"/>
  </si>
  <si>
    <t>정보입력</t>
  </si>
  <si>
    <t xml:space="preserve">시간 X 통상시급 </t>
    <phoneticPr fontId="6" type="noConversion"/>
  </si>
  <si>
    <t>통상시급 x 209시간</t>
    <phoneticPr fontId="4" type="noConversion"/>
  </si>
  <si>
    <t>이며 토요일은 격주 근무로 한다.</t>
    <phoneticPr fontId="6" type="noConversion"/>
  </si>
  <si>
    <t>프로그램 공제</t>
    <phoneticPr fontId="4" type="noConversion"/>
  </si>
  <si>
    <t>조퇴공제</t>
    <phoneticPr fontId="4" type="noConversion"/>
  </si>
  <si>
    <t>프로그램 
공제</t>
    <phoneticPr fontId="4" type="noConversion"/>
  </si>
  <si>
    <t>월~금 / 격주 토</t>
    <phoneticPr fontId="4" type="noConversion"/>
  </si>
  <si>
    <t>이며 일요일은 무급휴무일로 한다.</t>
    <phoneticPr fontId="6" type="noConversion"/>
  </si>
  <si>
    <t>2023.02.28부터 적용</t>
    <phoneticPr fontId="0" type="noConversion"/>
  </si>
  <si>
    <t>(단위 : 원)</t>
  </si>
  <si>
    <t>월급여액(천원)
[비과세 및 학자금 제외］</t>
    <phoneticPr fontId="0" type="noConversion"/>
  </si>
  <si>
    <t>이상</t>
  </si>
  <si>
    <t>미만</t>
  </si>
  <si>
    <t>일반</t>
  </si>
  <si>
    <t>10,000천원 초과</t>
  </si>
  <si>
    <r>
      <t>(10,000,000원인 경우의 해당 세액) + (10,000,000원을 초과하는 금액 중 98%를 곱한 금액의 35% 상당액) + (</t>
    </r>
    <r>
      <rPr>
        <sz val="12"/>
        <color rgb="FFFF0000"/>
        <rFont val="바탕체"/>
        <family val="1"/>
        <charset val="129"/>
      </rPr>
      <t>25,000원</t>
    </r>
    <r>
      <rPr>
        <sz val="11"/>
        <color theme="1"/>
        <rFont val="맑은 고딕"/>
        <family val="2"/>
        <charset val="129"/>
        <scheme val="minor"/>
      </rPr>
      <t>)</t>
    </r>
    <phoneticPr fontId="97" type="noConversion"/>
  </si>
  <si>
    <t>14,000천원 이하</t>
  </si>
  <si>
    <r>
      <t xml:space="preserve">(1천만원인 경우의 해당세액) + </t>
    </r>
    <r>
      <rPr>
        <sz val="12"/>
        <color rgb="FFFF0000"/>
        <rFont val="바탕체"/>
        <family val="1"/>
        <charset val="129"/>
      </rPr>
      <t>(1,397,000원)</t>
    </r>
    <r>
      <rPr>
        <sz val="11"/>
        <color theme="1"/>
        <rFont val="맑은 고딕"/>
        <family val="2"/>
        <charset val="129"/>
        <scheme val="minor"/>
      </rPr>
      <t xml:space="preserve"> + (14,000천원을 초과하는 금액 중 98퍼센트를 곱한 금액의 38퍼센트 상당액)</t>
    </r>
    <phoneticPr fontId="97" type="noConversion"/>
  </si>
  <si>
    <t>14,000천원 초과</t>
  </si>
  <si>
    <t>28,000천원 이하</t>
  </si>
  <si>
    <r>
      <t xml:space="preserve">(10,000천원인 경우의 해당세액) + </t>
    </r>
    <r>
      <rPr>
        <sz val="12"/>
        <color rgb="FFFF0000"/>
        <rFont val="바탕체"/>
        <family val="1"/>
        <charset val="129"/>
      </rPr>
      <t>(6,610,600원)</t>
    </r>
    <r>
      <rPr>
        <sz val="11"/>
        <color theme="1"/>
        <rFont val="맑은 고딕"/>
        <family val="2"/>
        <charset val="129"/>
        <scheme val="minor"/>
      </rPr>
      <t xml:space="preserve"> + (28,000천원을 초과하는 금액에 98퍼센트를 곱한 금액의 40퍼센트 상당액) </t>
    </r>
    <phoneticPr fontId="97" type="noConversion"/>
  </si>
  <si>
    <t>28,000천원 초과</t>
    <phoneticPr fontId="0" type="noConversion"/>
  </si>
  <si>
    <t>30,000천원 이하</t>
    <phoneticPr fontId="0" type="noConversion"/>
  </si>
  <si>
    <r>
      <t xml:space="preserve">(10,000천원인 경우의 해당세액) + </t>
    </r>
    <r>
      <rPr>
        <sz val="12"/>
        <color rgb="FFFF0000"/>
        <rFont val="바탕체"/>
        <family val="1"/>
        <charset val="129"/>
      </rPr>
      <t>(7,394,600원)</t>
    </r>
    <r>
      <rPr>
        <sz val="11"/>
        <color theme="1"/>
        <rFont val="맑은 고딕"/>
        <family val="2"/>
        <charset val="129"/>
        <scheme val="minor"/>
      </rPr>
      <t xml:space="preserve"> + (30,000천원을 초과하는 금액의 40퍼센트 상당액)</t>
    </r>
    <phoneticPr fontId="97" type="noConversion"/>
  </si>
  <si>
    <t>30,000천원 초과</t>
    <phoneticPr fontId="0" type="noConversion"/>
  </si>
  <si>
    <t>45,000천원 이하</t>
  </si>
  <si>
    <r>
      <t xml:space="preserve">(10,000천원인 경우의 해당세액) + </t>
    </r>
    <r>
      <rPr>
        <sz val="12"/>
        <color rgb="FFFF0000"/>
        <rFont val="바탕체"/>
        <family val="1"/>
        <charset val="129"/>
      </rPr>
      <t>(13,394,600원)</t>
    </r>
    <r>
      <rPr>
        <sz val="11"/>
        <color theme="1"/>
        <rFont val="맑은 고딕"/>
        <family val="2"/>
        <charset val="129"/>
        <scheme val="minor"/>
      </rPr>
      <t xml:space="preserve"> + (45,000천원을 초과하는 금액의 42퍼센트 상당액) </t>
    </r>
    <phoneticPr fontId="97" type="noConversion"/>
  </si>
  <si>
    <t>45,000천원 초과</t>
  </si>
  <si>
    <r>
      <t xml:space="preserve">(10,000천원인 경우의 해당세액) + </t>
    </r>
    <r>
      <rPr>
        <sz val="12"/>
        <color rgb="FFFF0000"/>
        <rFont val="바탕체"/>
        <family val="1"/>
        <charset val="129"/>
      </rPr>
      <t>(31,034,600원)</t>
    </r>
    <r>
      <rPr>
        <sz val="11"/>
        <color theme="1"/>
        <rFont val="맑은 고딕"/>
        <family val="2"/>
        <charset val="129"/>
        <scheme val="minor"/>
      </rPr>
      <t xml:space="preserve"> + (87,000천원을 초과하는 금액의 45퍼센트 상당액)</t>
    </r>
    <phoneticPr fontId="97" type="noConversion"/>
  </si>
  <si>
    <t xml:space="preserve"> 추가
연장 근로시간</t>
    <phoneticPr fontId="4" type="noConversion"/>
  </si>
  <si>
    <t>추가 연장수당</t>
    <phoneticPr fontId="4" type="noConversion"/>
  </si>
  <si>
    <t>1. 추가 근로시 입력</t>
    <phoneticPr fontId="4" type="noConversion"/>
  </si>
  <si>
    <t>2. 조퇴 계산</t>
    <phoneticPr fontId="4" type="noConversion"/>
  </si>
  <si>
    <t>12:00/ 15:00</t>
    <phoneticPr fontId="4" type="noConversion"/>
  </si>
  <si>
    <t>13:00/16:00</t>
    <phoneticPr fontId="4" type="noConversion"/>
  </si>
  <si>
    <t>일 통상임금</t>
    <phoneticPr fontId="4" type="noConversion"/>
  </si>
  <si>
    <t>조퇴 근로시간</t>
    <phoneticPr fontId="4" type="noConversion"/>
  </si>
  <si>
    <t xml:space="preserve">조퇴 시 급여 </t>
    <phoneticPr fontId="4" type="noConversion"/>
  </si>
  <si>
    <t>공제액</t>
    <phoneticPr fontId="4" type="noConversion"/>
  </si>
  <si>
    <t>통상시급 x 28일 /6일</t>
    <phoneticPr fontId="4" type="noConversion"/>
  </si>
  <si>
    <t>건강보험 정산</t>
    <phoneticPr fontId="4" type="noConversion"/>
  </si>
  <si>
    <t>장기요양 정산</t>
    <phoneticPr fontId="4" type="noConversion"/>
  </si>
  <si>
    <t>매월 5일</t>
    <phoneticPr fontId="4" type="noConversion"/>
  </si>
  <si>
    <t>2025.03.24</t>
    <phoneticPr fontId="4" type="noConversion"/>
  </si>
  <si>
    <t>정휘범</t>
    <phoneticPr fontId="4" type="noConversion"/>
  </si>
  <si>
    <t>000420-3861929</t>
    <phoneticPr fontId="4" type="noConversion"/>
  </si>
  <si>
    <t>기본급 / 31일 x 8일</t>
    <phoneticPr fontId="4" type="noConversion"/>
  </si>
  <si>
    <t>건강정산</t>
    <phoneticPr fontId="4" type="noConversion"/>
  </si>
  <si>
    <t>장기요양정산</t>
    <phoneticPr fontId="4" type="noConversion"/>
  </si>
  <si>
    <t>장기요양  
정산</t>
    <phoneticPr fontId="4" type="noConversion"/>
  </si>
  <si>
    <t>건강보험 
정산</t>
    <phoneticPr fontId="4" type="noConversion"/>
  </si>
  <si>
    <t>5월 급여 반영</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</si>
</sst>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76" formatCode="#,##0_ "/>
    <numFmt numFmtId="177" formatCode="yyyy/mm/dd;@"/>
    <numFmt numFmtId="178" formatCode="000000\-0******"/>
    <numFmt numFmtId="179" formatCode="0_);[Red]\(0\)"/>
    <numFmt numFmtId="180" formatCode="_-* #,##0_-;\-* #,##0_-;_-* &quot;-&quot;?_-;_-@_-"/>
    <numFmt numFmtId="181" formatCode="_-* #,##0_-;\-* #,##0_-;_-* &quot;-&quot;??_-;_-@_-"/>
    <numFmt numFmtId="182" formatCode="##&quot;.&quot;##&quot;.&quot;##"/>
    <numFmt numFmtId="183" formatCode="_-* #,##0.0_-;\-* #,##0.0_-;_-* &quot;-&quot;?_-;_-@_-"/>
    <numFmt numFmtId="184" formatCode="yyyy&quot;년&quot;\ m&quot;월&quot;\ d&quot;일&quot;;@"/>
    <numFmt numFmtId="185" formatCode="h:mm;@"/>
    <numFmt numFmtId="186" formatCode="000000\-0000000"/>
    <numFmt numFmtId="187" formatCode="0.E+00"/>
    <numFmt numFmtId="188" formatCode="yyyy&quot;년&quot;\ m&quot;월&quot;;@"/>
    <numFmt numFmtId="189" formatCode="_-* #,##0.00_-;\-* #,##0.00_-;_-* &quot;-&quot;_-;_-@_-"/>
    <numFmt numFmtId="190" formatCode="0_);\(0\)"/>
    <numFmt numFmtId="191" formatCode="_-* #,##0.00_-;\-* #,##0.00_-;_-* &quot;-&quot;?_-;_-@_-"/>
    <numFmt numFmtId="192" formatCode="_ * #,##0_ ;_ * \-#,##0_ ;_ * &quot;-&quot;_ ;_ @_ "/>
    <numFmt numFmtId="193" formatCode="#,##0_);[Red]\(#,##0\)"/>
    <numFmt numFmtId="194" formatCode="#,##0;&quot;△&quot;#,##0;&quot;-&quot;;@"/>
    <numFmt numFmtId="195" formatCode="#,##0.00_ "/>
  </numFmts>
  <fonts count="99">
    <font>
      <sz val="11"/>
      <color theme="1"/>
      <name val="맑은 고딕"/>
      <family val="2"/>
      <charset val="129"/>
      <scheme val="minor"/>
    </font>
    <font>
      <sz val="11"/>
      <name val="돋움"/>
      <family val="3"/>
      <charset val="129"/>
    </font>
    <font>
      <sz val="10"/>
      <name val="맑은 고딕"/>
      <family val="3"/>
      <charset val="129"/>
      <scheme val="major"/>
    </font>
    <font>
      <sz val="11"/>
      <color theme="1"/>
      <name val="맑은 고딕"/>
      <family val="3"/>
      <charset val="129"/>
      <scheme val="minor"/>
    </font>
    <font>
      <sz val="8"/>
      <name val="맑은 고딕"/>
      <family val="2"/>
      <charset val="129"/>
      <scheme val="minor"/>
    </font>
    <font>
      <b/>
      <sz val="14"/>
      <name val="맑은 고딕"/>
      <family val="3"/>
      <charset val="129"/>
      <scheme val="major"/>
    </font>
    <font>
      <sz val="8"/>
      <name val="돋움"/>
      <family val="3"/>
      <charset val="129"/>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name val="맑은 고딕"/>
      <family val="2"/>
      <charset val="129"/>
      <scheme val="minor"/>
    </font>
    <font>
      <b/>
      <sz val="12"/>
      <name val="맑은 고딕"/>
      <family val="3"/>
      <charset val="129"/>
      <scheme val="minor"/>
    </font>
    <font>
      <b/>
      <sz val="20"/>
      <name val="맑은 고딕"/>
      <family val="3"/>
      <charset val="129"/>
      <scheme val="minor"/>
    </font>
    <font>
      <sz val="10"/>
      <name val="맑은 고딕"/>
      <family val="3"/>
      <charset val="129"/>
      <scheme val="minor"/>
    </font>
    <font>
      <b/>
      <sz val="10"/>
      <name val="맑은 고딕"/>
      <family val="3"/>
      <charset val="129"/>
      <scheme val="minor"/>
    </font>
    <font>
      <sz val="10"/>
      <color rgb="FF000000"/>
      <name val="맑은 고딕"/>
      <family val="3"/>
      <charset val="129"/>
      <scheme val="minor"/>
    </font>
    <font>
      <b/>
      <sz val="9"/>
      <color indexed="81"/>
      <name val="돋움"/>
      <family val="3"/>
      <charset val="129"/>
    </font>
    <font>
      <sz val="6"/>
      <name val="맑은 고딕"/>
      <family val="3"/>
      <charset val="129"/>
      <scheme val="major"/>
    </font>
    <font>
      <sz val="8"/>
      <name val="맑은 고딕"/>
      <family val="3"/>
      <charset val="129"/>
      <scheme val="minor"/>
    </font>
    <font>
      <b/>
      <sz val="11"/>
      <color theme="1"/>
      <name val="맑은 고딕"/>
      <family val="3"/>
      <charset val="129"/>
      <scheme val="minor"/>
    </font>
    <font>
      <b/>
      <sz val="10"/>
      <name val="맑은 고딕"/>
      <family val="3"/>
      <charset val="129"/>
      <scheme val="major"/>
    </font>
    <font>
      <sz val="9"/>
      <name val="맑은 고딕"/>
      <family val="3"/>
      <charset val="129"/>
      <scheme val="major"/>
    </font>
    <font>
      <b/>
      <sz val="11"/>
      <name val="맑은 고딕"/>
      <family val="3"/>
      <charset val="129"/>
    </font>
    <font>
      <sz val="11"/>
      <name val="맑은 고딕"/>
      <family val="3"/>
      <charset val="129"/>
    </font>
    <font>
      <b/>
      <sz val="18"/>
      <name val="맑은 고딕"/>
      <family val="3"/>
      <charset val="129"/>
      <scheme val="minor"/>
    </font>
    <font>
      <b/>
      <sz val="12"/>
      <name val="맑은 고딕"/>
      <family val="3"/>
      <charset val="129"/>
      <scheme val="major"/>
    </font>
    <font>
      <sz val="9"/>
      <color indexed="81"/>
      <name val="Tahoma"/>
      <family val="2"/>
    </font>
    <font>
      <sz val="9"/>
      <color indexed="81"/>
      <name val="돋움"/>
      <family val="3"/>
      <charset val="129"/>
    </font>
    <font>
      <sz val="10"/>
      <name val="Arial"/>
      <family val="2"/>
    </font>
    <font>
      <b/>
      <sz val="9"/>
      <color indexed="81"/>
      <name val="Tahoma"/>
      <family val="2"/>
    </font>
    <font>
      <b/>
      <sz val="36"/>
      <name val="맑은 고딕"/>
      <family val="3"/>
      <charset val="129"/>
    </font>
    <font>
      <sz val="10"/>
      <name val="맑은 고딕"/>
      <family val="3"/>
      <charset val="129"/>
    </font>
    <font>
      <sz val="11"/>
      <color theme="0"/>
      <name val="맑은 고딕"/>
      <family val="3"/>
      <charset val="129"/>
    </font>
    <font>
      <sz val="11"/>
      <color rgb="FFC00000"/>
      <name val="맑은 고딕"/>
      <family val="3"/>
      <charset val="129"/>
    </font>
    <font>
      <b/>
      <u/>
      <sz val="12"/>
      <name val="맑은 고딕"/>
      <family val="3"/>
      <charset val="129"/>
    </font>
    <font>
      <b/>
      <sz val="12"/>
      <name val="맑은 고딕"/>
      <family val="3"/>
      <charset val="129"/>
    </font>
    <font>
      <b/>
      <u val="singleAccounting"/>
      <sz val="12"/>
      <color rgb="FF000000"/>
      <name val="맑은 고딕"/>
      <family val="3"/>
      <charset val="129"/>
    </font>
    <font>
      <b/>
      <sz val="12"/>
      <color rgb="FF000000"/>
      <name val="맑은 고딕"/>
      <family val="3"/>
      <charset val="129"/>
    </font>
    <font>
      <sz val="12"/>
      <name val="맑은 고딕"/>
      <family val="3"/>
      <charset val="129"/>
    </font>
    <font>
      <sz val="12"/>
      <color theme="1"/>
      <name val="맑은 고딕"/>
      <family val="3"/>
      <charset val="129"/>
    </font>
    <font>
      <b/>
      <u/>
      <sz val="12"/>
      <color theme="1"/>
      <name val="맑은 고딕"/>
      <family val="3"/>
      <charset val="129"/>
    </font>
    <font>
      <u/>
      <sz val="12"/>
      <name val="맑은 고딕"/>
      <family val="3"/>
      <charset val="129"/>
    </font>
    <font>
      <sz val="12"/>
      <name val="맑은 고딕"/>
      <family val="3"/>
      <charset val="129"/>
      <scheme val="minor"/>
    </font>
    <font>
      <sz val="12"/>
      <color rgb="FF000000"/>
      <name val="맑은 고딕"/>
      <family val="3"/>
      <charset val="129"/>
      <scheme val="minor"/>
    </font>
    <font>
      <b/>
      <sz val="12"/>
      <color theme="1"/>
      <name val="맑은 고딕"/>
      <family val="3"/>
      <charset val="129"/>
    </font>
    <font>
      <sz val="12"/>
      <name val="바탕"/>
      <family val="1"/>
      <charset val="129"/>
    </font>
    <font>
      <sz val="12"/>
      <color rgb="FF000000"/>
      <name val="맑은 고딕"/>
      <family val="3"/>
      <charset val="129"/>
    </font>
    <font>
      <sz val="12"/>
      <color rgb="FF0000FF"/>
      <name val="맑은 고딕"/>
      <family val="3"/>
      <charset val="129"/>
    </font>
    <font>
      <u/>
      <sz val="12"/>
      <color rgb="FF0000FF"/>
      <name val="맑은 고딕"/>
      <family val="3"/>
      <charset val="129"/>
    </font>
    <font>
      <u val="singleAccounting"/>
      <sz val="12"/>
      <name val="맑은 고딕"/>
      <family val="3"/>
      <charset val="129"/>
    </font>
    <font>
      <b/>
      <u val="singleAccounting"/>
      <sz val="12"/>
      <name val="맑은 고딕"/>
      <family val="3"/>
      <charset val="129"/>
    </font>
    <font>
      <sz val="12"/>
      <name val="돋움"/>
      <family val="3"/>
      <charset val="129"/>
    </font>
    <font>
      <sz val="12"/>
      <name val="굴림"/>
      <family val="3"/>
      <charset val="129"/>
    </font>
    <font>
      <sz val="12"/>
      <color rgb="FF00B050"/>
      <name val="맑은 고딕"/>
      <family val="3"/>
      <charset val="129"/>
    </font>
    <font>
      <u/>
      <sz val="12"/>
      <color rgb="FF00B050"/>
      <name val="맑은 고딕"/>
      <family val="3"/>
      <charset val="129"/>
    </font>
    <font>
      <sz val="12"/>
      <color rgb="FFFF0000"/>
      <name val="맑은 고딕"/>
      <family val="3"/>
      <charset val="129"/>
    </font>
    <font>
      <sz val="10"/>
      <color rgb="FFFF0000"/>
      <name val="맑은 고딕"/>
      <family val="3"/>
      <charset val="129"/>
    </font>
    <font>
      <b/>
      <u/>
      <sz val="22"/>
      <name val="맑은 고딕"/>
      <family val="3"/>
      <charset val="129"/>
    </font>
    <font>
      <b/>
      <sz val="12"/>
      <color rgb="FF000000"/>
      <name val="맑은 고딕"/>
      <family val="3"/>
      <charset val="129"/>
      <scheme val="minor"/>
    </font>
    <font>
      <sz val="12"/>
      <color rgb="FF000000"/>
      <name val="돋움"/>
      <family val="3"/>
      <charset val="129"/>
    </font>
    <font>
      <b/>
      <u/>
      <sz val="22"/>
      <color rgb="FF000000"/>
      <name val="맑은 고딕"/>
      <family val="3"/>
      <charset val="129"/>
      <scheme val="minor"/>
    </font>
    <font>
      <u/>
      <sz val="22"/>
      <color rgb="FF000000"/>
      <name val="맑은 고딕"/>
      <family val="3"/>
      <charset val="129"/>
      <scheme val="minor"/>
    </font>
    <font>
      <b/>
      <u/>
      <sz val="12"/>
      <color rgb="FF000000"/>
      <name val="맑은 고딕"/>
      <family val="3"/>
      <charset val="129"/>
      <scheme val="minor"/>
    </font>
    <font>
      <b/>
      <sz val="12"/>
      <color rgb="FF000000"/>
      <name val="굴림"/>
      <family val="3"/>
      <charset val="129"/>
    </font>
    <font>
      <b/>
      <sz val="12"/>
      <color rgb="FF000000"/>
      <name val="돋움"/>
      <family val="3"/>
      <charset val="129"/>
    </font>
    <font>
      <sz val="12"/>
      <color rgb="FF000000"/>
      <name val="굴림"/>
      <family val="3"/>
      <charset val="129"/>
    </font>
    <font>
      <b/>
      <sz val="11"/>
      <color rgb="FFFF0000"/>
      <name val="맑은 고딕"/>
      <family val="3"/>
      <charset val="129"/>
      <scheme val="minor"/>
    </font>
    <font>
      <b/>
      <sz val="11"/>
      <name val="맑은 고딕"/>
      <family val="3"/>
      <charset val="129"/>
      <scheme val="minor"/>
    </font>
    <font>
      <b/>
      <sz val="11"/>
      <color rgb="FF000000"/>
      <name val="맑은 고딕"/>
      <family val="3"/>
      <charset val="129"/>
      <scheme val="minor"/>
    </font>
    <font>
      <b/>
      <sz val="18"/>
      <color theme="1"/>
      <name val="맑은 고딕"/>
      <family val="3"/>
      <charset val="129"/>
      <scheme val="minor"/>
    </font>
    <font>
      <sz val="9"/>
      <color rgb="FF000000"/>
      <name val="맑은 고딕"/>
      <family val="3"/>
      <charset val="129"/>
    </font>
    <font>
      <b/>
      <sz val="11"/>
      <color rgb="FF000000"/>
      <name val="맑은 고딕"/>
      <family val="3"/>
      <charset val="129"/>
    </font>
    <font>
      <b/>
      <sz val="11"/>
      <color rgb="FF000000"/>
      <name val="12롯데마트드림Light"/>
      <family val="3"/>
      <charset val="129"/>
    </font>
    <font>
      <sz val="11"/>
      <name val="맑은 고딕"/>
      <family val="3"/>
      <charset val="129"/>
      <scheme val="minor"/>
    </font>
    <font>
      <sz val="11"/>
      <color rgb="FFFF0000"/>
      <name val="맑은 고딕"/>
      <family val="3"/>
      <charset val="129"/>
    </font>
    <font>
      <sz val="11"/>
      <color rgb="FF000000"/>
      <name val="맑은 고딕"/>
      <family val="3"/>
      <charset val="129"/>
    </font>
    <font>
      <sz val="10"/>
      <color rgb="FF000000"/>
      <name val="맑은 고딕"/>
      <family val="3"/>
      <charset val="129"/>
    </font>
    <font>
      <sz val="10"/>
      <color theme="1"/>
      <name val="맑은 고딕"/>
      <family val="3"/>
      <charset val="129"/>
      <scheme val="minor"/>
    </font>
    <font>
      <b/>
      <sz val="14"/>
      <name val="맑은 고딕"/>
      <family val="3"/>
      <charset val="129"/>
      <scheme val="minor"/>
    </font>
    <font>
      <b/>
      <sz val="16"/>
      <name val="맑은 고딕"/>
      <family val="3"/>
      <charset val="129"/>
      <scheme val="major"/>
    </font>
    <font>
      <sz val="11"/>
      <name val="맑은 고딕"/>
      <family val="3"/>
      <charset val="129"/>
      <scheme val="major"/>
    </font>
    <font>
      <sz val="10"/>
      <color theme="1"/>
      <name val="맑은 고딕"/>
      <family val="3"/>
      <charset val="129"/>
      <scheme val="major"/>
    </font>
    <font>
      <sz val="12"/>
      <color rgb="FFFF0000"/>
      <name val="바탕체"/>
      <family val="1"/>
      <charset val="129"/>
    </font>
    <font>
      <sz val="8"/>
      <name val="바탕체"/>
      <family val="1"/>
      <charset val="129"/>
    </font>
    <font>
      <sz val="10"/>
      <color rgb="FF002060"/>
      <name val="맑은 고딕"/>
      <family val="3"/>
      <charset val="129"/>
      <scheme val="major"/>
    </font>
  </fonts>
  <fills count="50">
    <fill>
      <patternFill patternType="none"/>
    </fill>
    <fill>
      <patternFill patternType="gray125"/>
    </fill>
    <fill>
      <patternFill patternType="solid">
        <fgColor theme="0"/>
        <bgColor indexed="64"/>
      </patternFill>
    </fill>
    <fill>
      <patternFill patternType="solid">
        <fgColor indexed="65"/>
        <bgColor theme="0"/>
      </patternFill>
    </fill>
    <fill>
      <patternFill patternType="solid">
        <fgColor rgb="FFCC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79998168889431442"/>
        <bgColor theme="0"/>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CCFFFF"/>
        <bgColor indexed="64"/>
      </patternFill>
    </fill>
    <fill>
      <patternFill patternType="solid">
        <fgColor indexed="9"/>
        <bgColor indexed="22"/>
      </patternFill>
    </fill>
    <fill>
      <patternFill patternType="solid">
        <fgColor theme="7" tint="0.79998168889431442"/>
        <bgColor indexed="64"/>
      </patternFill>
    </fill>
    <fill>
      <patternFill patternType="solid">
        <fgColor rgb="FFFF0000"/>
        <bgColor indexed="64"/>
      </patternFill>
    </fill>
    <fill>
      <patternFill patternType="solid">
        <fgColor rgb="FF9999FF"/>
        <bgColor indexed="64"/>
      </patternFill>
    </fill>
    <fill>
      <patternFill patternType="solid">
        <fgColor theme="4" tint="0.59999389629810485"/>
        <bgColor indexed="64"/>
      </patternFill>
    </fill>
    <fill>
      <patternFill patternType="solid">
        <fgColor indexed="9"/>
        <bgColor indexed="64"/>
      </patternFill>
    </fill>
    <fill>
      <patternFill patternType="solid">
        <fgColor indexed="22"/>
        <bgColor indexed="64"/>
      </patternFill>
    </fill>
  </fills>
  <borders count="1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hair">
        <color indexed="64"/>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style="hair">
        <color indexed="64"/>
      </left>
      <right style="medium">
        <color auto="1"/>
      </right>
      <top/>
      <bottom style="hair">
        <color indexed="64"/>
      </bottom>
      <diagonal/>
    </border>
    <border>
      <left/>
      <right style="thin">
        <color indexed="64"/>
      </right>
      <top/>
      <bottom/>
      <diagonal/>
    </border>
    <border>
      <left/>
      <right style="medium">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hair">
        <color auto="1"/>
      </top>
      <bottom style="hair">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auto="1"/>
      </left>
      <right/>
      <top/>
      <bottom style="thick">
        <color auto="1"/>
      </bottom>
      <diagonal/>
    </border>
    <border>
      <left/>
      <right/>
      <top/>
      <bottom style="thick">
        <color indexed="64"/>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diagonal/>
    </border>
    <border>
      <left/>
      <right style="thick">
        <color indexed="64"/>
      </right>
      <top/>
      <bottom/>
      <diagonal/>
    </border>
    <border>
      <left style="thick">
        <color indexed="64"/>
      </left>
      <right style="thick">
        <color indexed="64"/>
      </right>
      <top style="thick">
        <color indexed="64"/>
      </top>
      <bottom/>
      <diagonal/>
    </border>
    <border>
      <left style="thick">
        <color indexed="64"/>
      </left>
      <right style="thick">
        <color auto="1"/>
      </right>
      <top/>
      <bottom/>
      <diagonal/>
    </border>
    <border>
      <left style="thick">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style="medium">
        <color indexed="64"/>
      </top>
      <bottom/>
      <diagonal/>
    </border>
    <border>
      <left style="thin">
        <color indexed="64"/>
      </left>
      <right style="thick">
        <color indexed="64"/>
      </right>
      <top style="thin">
        <color indexed="64"/>
      </top>
      <bottom style="thick">
        <color indexed="64"/>
      </bottom>
      <diagonal/>
    </border>
    <border>
      <left/>
      <right style="double">
        <color indexed="64"/>
      </right>
      <top style="thick">
        <color auto="1"/>
      </top>
      <bottom style="thick">
        <color auto="1"/>
      </bottom>
      <diagonal/>
    </border>
    <border>
      <left style="double">
        <color indexed="64"/>
      </left>
      <right/>
      <top style="thick">
        <color auto="1"/>
      </top>
      <bottom style="thick">
        <color auto="1"/>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style="thick">
        <color indexed="64"/>
      </bottom>
      <diagonal/>
    </border>
    <border>
      <left style="double">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
      <left style="thin">
        <color indexed="64"/>
      </left>
      <right/>
      <top style="thin">
        <color indexed="64"/>
      </top>
      <bottom/>
      <diagonal/>
    </border>
    <border>
      <left/>
      <right style="thick">
        <color indexed="64"/>
      </right>
      <top style="thin">
        <color indexed="64"/>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double">
        <color indexed="64"/>
      </right>
      <top style="thick">
        <color indexed="64"/>
      </top>
      <bottom style="thin">
        <color indexed="64"/>
      </bottom>
      <diagonal/>
    </border>
    <border>
      <left style="thick">
        <color indexed="64"/>
      </left>
      <right/>
      <top style="thin">
        <color indexed="64"/>
      </top>
      <bottom style="thin">
        <color indexed="64"/>
      </bottom>
      <diagonal/>
    </border>
    <border>
      <left style="hair">
        <color indexed="64"/>
      </left>
      <right style="medium">
        <color auto="1"/>
      </right>
      <top style="hair">
        <color indexed="64"/>
      </top>
      <bottom style="hair">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indexed="64"/>
      </right>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auto="1"/>
      </right>
      <top style="hair">
        <color indexed="64"/>
      </top>
      <bottom/>
      <diagonal/>
    </border>
    <border>
      <left style="hair">
        <color indexed="64"/>
      </left>
      <right style="medium">
        <color indexed="64"/>
      </right>
      <top style="medium">
        <color indexed="64"/>
      </top>
      <bottom style="medium">
        <color indexed="64"/>
      </bottom>
      <diagonal/>
    </border>
    <border>
      <left/>
      <right/>
      <top/>
      <bottom style="hair">
        <color indexed="64"/>
      </bottom>
      <diagonal/>
    </border>
  </borders>
  <cellStyleXfs count="71">
    <xf numFmtId="0" fontId="0" fillId="0" borderId="0"/>
    <xf numFmtId="0" fontId="1" fillId="0" borderId="0">
      <alignment vertical="center"/>
    </xf>
    <xf numFmtId="41" fontId="1" fillId="0" borderId="0" applyFont="0" applyFill="0" applyBorder="0" applyAlignment="0" applyProtection="0">
      <alignment vertical="center"/>
    </xf>
    <xf numFmtId="0" fontId="3" fillId="0" borderId="0">
      <alignment vertical="center"/>
    </xf>
    <xf numFmtId="0" fontId="1" fillId="0" borderId="0"/>
    <xf numFmtId="41" fontId="1" fillId="0" borderId="0" applyFont="0" applyFill="0" applyBorder="0" applyAlignment="0" applyProtection="0"/>
    <xf numFmtId="0" fontId="8" fillId="0" borderId="0" applyNumberFormat="0" applyFill="0" applyBorder="0" applyAlignment="0" applyProtection="0">
      <alignment vertical="center"/>
    </xf>
    <xf numFmtId="0" fontId="9" fillId="0" borderId="31" applyNumberFormat="0" applyFill="0" applyAlignment="0" applyProtection="0">
      <alignment vertical="center"/>
    </xf>
    <xf numFmtId="0" fontId="10" fillId="0" borderId="32" applyNumberFormat="0" applyFill="0" applyAlignment="0" applyProtection="0">
      <alignment vertical="center"/>
    </xf>
    <xf numFmtId="0" fontId="11" fillId="0" borderId="33" applyNumberFormat="0" applyFill="0" applyAlignment="0" applyProtection="0">
      <alignment vertical="center"/>
    </xf>
    <xf numFmtId="0" fontId="11" fillId="0" borderId="0" applyNumberFormat="0" applyFill="0" applyBorder="0" applyAlignment="0" applyProtection="0">
      <alignment vertical="center"/>
    </xf>
    <xf numFmtId="0" fontId="12" fillId="5" borderId="0" applyNumberFormat="0" applyBorder="0" applyAlignment="0" applyProtection="0">
      <alignment vertical="center"/>
    </xf>
    <xf numFmtId="0" fontId="13" fillId="6" borderId="0" applyNumberFormat="0" applyBorder="0" applyAlignment="0" applyProtection="0">
      <alignment vertical="center"/>
    </xf>
    <xf numFmtId="0" fontId="14" fillId="7" borderId="0" applyNumberFormat="0" applyBorder="0" applyAlignment="0" applyProtection="0">
      <alignment vertical="center"/>
    </xf>
    <xf numFmtId="0" fontId="15" fillId="8" borderId="34" applyNumberFormat="0" applyAlignment="0" applyProtection="0">
      <alignment vertical="center"/>
    </xf>
    <xf numFmtId="0" fontId="16" fillId="9" borderId="35" applyNumberFormat="0" applyAlignment="0" applyProtection="0">
      <alignment vertical="center"/>
    </xf>
    <xf numFmtId="0" fontId="17" fillId="9" borderId="34" applyNumberFormat="0" applyAlignment="0" applyProtection="0">
      <alignment vertical="center"/>
    </xf>
    <xf numFmtId="0" fontId="18" fillId="0" borderId="36" applyNumberFormat="0" applyFill="0" applyAlignment="0" applyProtection="0">
      <alignment vertical="center"/>
    </xf>
    <xf numFmtId="0" fontId="19" fillId="10" borderId="37" applyNumberFormat="0" applyAlignment="0" applyProtection="0">
      <alignment vertical="center"/>
    </xf>
    <xf numFmtId="0" fontId="20" fillId="0" borderId="0" applyNumberFormat="0" applyFill="0" applyBorder="0" applyAlignment="0" applyProtection="0">
      <alignment vertical="center"/>
    </xf>
    <xf numFmtId="0" fontId="7" fillId="11" borderId="38" applyNumberFormat="0" applyFont="0" applyAlignment="0" applyProtection="0">
      <alignment vertical="center"/>
    </xf>
    <xf numFmtId="0" fontId="21" fillId="0" borderId="0" applyNumberFormat="0" applyFill="0" applyBorder="0" applyAlignment="0" applyProtection="0">
      <alignment vertical="center"/>
    </xf>
    <xf numFmtId="0" fontId="22" fillId="0" borderId="39" applyNumberFormat="0" applyFill="0" applyAlignment="0" applyProtection="0">
      <alignment vertical="center"/>
    </xf>
    <xf numFmtId="0" fontId="23"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3"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3"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3"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3"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3" fillId="32"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1"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42" fillId="0" borderId="0" applyFont="0" applyFill="0" applyBorder="0" applyAlignment="0" applyProtection="0">
      <alignment vertical="center"/>
    </xf>
    <xf numFmtId="0" fontId="4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9" fillId="0" borderId="0">
      <alignment vertical="center"/>
    </xf>
  </cellStyleXfs>
  <cellXfs count="599">
    <xf numFmtId="0" fontId="0" fillId="0" borderId="0" xfId="0"/>
    <xf numFmtId="0" fontId="0" fillId="2" borderId="24" xfId="0" applyFill="1" applyBorder="1"/>
    <xf numFmtId="0" fontId="0" fillId="2" borderId="24" xfId="0" applyFill="1" applyBorder="1" applyAlignment="1">
      <alignment horizont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0" xfId="0" applyFont="1" applyFill="1" applyBorder="1" applyAlignment="1">
      <alignment vertical="center"/>
    </xf>
    <xf numFmtId="0" fontId="2" fillId="2" borderId="14" xfId="0" applyFont="1" applyFill="1" applyBorder="1" applyAlignment="1">
      <alignment horizontal="center" vertical="center"/>
    </xf>
    <xf numFmtId="0" fontId="0" fillId="2" borderId="0" xfId="0" applyFill="1"/>
    <xf numFmtId="0" fontId="31" fillId="2" borderId="13" xfId="0" applyFont="1" applyFill="1" applyBorder="1" applyAlignment="1">
      <alignment horizontal="center" vertical="center" wrapText="1"/>
    </xf>
    <xf numFmtId="41" fontId="2" fillId="2" borderId="14" xfId="5" applyFont="1" applyFill="1" applyBorder="1" applyAlignment="1">
      <alignment horizontal="center" vertical="center"/>
    </xf>
    <xf numFmtId="41" fontId="2" fillId="2" borderId="15" xfId="5" applyFont="1" applyFill="1" applyBorder="1" applyAlignment="1">
      <alignment horizontal="center" vertical="center"/>
    </xf>
    <xf numFmtId="0" fontId="2" fillId="2" borderId="14" xfId="5" applyNumberFormat="1" applyFont="1" applyFill="1" applyBorder="1" applyAlignment="1">
      <alignment horizontal="center" vertical="center"/>
    </xf>
    <xf numFmtId="0" fontId="2" fillId="2" borderId="13" xfId="5" applyNumberFormat="1" applyFont="1" applyFill="1" applyBorder="1" applyAlignment="1">
      <alignment horizontal="center" vertical="center"/>
    </xf>
    <xf numFmtId="41" fontId="2" fillId="2" borderId="16" xfId="5" applyFont="1" applyFill="1" applyBorder="1" applyAlignment="1">
      <alignment horizontal="center" vertical="center"/>
    </xf>
    <xf numFmtId="0" fontId="2" fillId="2" borderId="22" xfId="0" applyFont="1" applyFill="1" applyBorder="1" applyAlignment="1">
      <alignment horizontal="center" vertical="center" wrapText="1"/>
    </xf>
    <xf numFmtId="176" fontId="36" fillId="0" borderId="0" xfId="53" applyNumberFormat="1" applyFont="1" applyAlignment="1" applyProtection="1">
      <alignment horizontal="center" vertical="center" wrapText="1"/>
      <protection locked="0"/>
    </xf>
    <xf numFmtId="0" fontId="33" fillId="0" borderId="0" xfId="0" applyFont="1"/>
    <xf numFmtId="0" fontId="2" fillId="2" borderId="12" xfId="0" applyFont="1" applyFill="1" applyBorder="1" applyAlignment="1">
      <alignment horizontal="distributed" vertical="center" indent="2"/>
    </xf>
    <xf numFmtId="0" fontId="2" fillId="2" borderId="15" xfId="0" applyFont="1" applyFill="1" applyBorder="1" applyAlignment="1">
      <alignment horizontal="distributed" vertical="center" indent="2"/>
    </xf>
    <xf numFmtId="0" fontId="2" fillId="2" borderId="13" xfId="0" applyFont="1" applyFill="1" applyBorder="1" applyAlignment="1">
      <alignment horizontal="distributed" vertical="center"/>
    </xf>
    <xf numFmtId="0" fontId="35" fillId="2" borderId="13" xfId="0" applyFont="1" applyFill="1" applyBorder="1" applyAlignment="1">
      <alignment horizontal="distributed" vertical="center"/>
    </xf>
    <xf numFmtId="0" fontId="34" fillId="2" borderId="20" xfId="0" applyFont="1" applyFill="1" applyBorder="1" applyAlignment="1">
      <alignment vertical="center"/>
    </xf>
    <xf numFmtId="0" fontId="0" fillId="0" borderId="49" xfId="0" applyBorder="1"/>
    <xf numFmtId="41" fontId="36" fillId="0" borderId="0" xfId="51" applyFont="1" applyAlignment="1" applyProtection="1">
      <alignment horizontal="center" vertical="center" wrapText="1"/>
      <protection locked="0"/>
    </xf>
    <xf numFmtId="0" fontId="37" fillId="0" borderId="0" xfId="4" applyFont="1" applyAlignment="1" applyProtection="1">
      <alignment vertical="center"/>
      <protection locked="0"/>
    </xf>
    <xf numFmtId="0" fontId="46" fillId="37" borderId="60" xfId="4" applyFont="1" applyFill="1" applyBorder="1" applyAlignment="1" applyProtection="1">
      <alignment vertical="center"/>
      <protection locked="0"/>
    </xf>
    <xf numFmtId="0" fontId="46" fillId="37" borderId="61" xfId="4" applyFont="1" applyFill="1" applyBorder="1" applyAlignment="1" applyProtection="1">
      <alignment vertical="center"/>
      <protection locked="0"/>
    </xf>
    <xf numFmtId="0" fontId="47" fillId="37" borderId="61" xfId="4" applyFont="1" applyFill="1" applyBorder="1" applyAlignment="1" applyProtection="1">
      <alignment vertical="center"/>
      <protection locked="0"/>
    </xf>
    <xf numFmtId="0" fontId="37" fillId="37" borderId="61" xfId="4" applyFont="1" applyFill="1" applyBorder="1" applyAlignment="1" applyProtection="1">
      <alignment vertical="center"/>
      <protection locked="0"/>
    </xf>
    <xf numFmtId="0" fontId="46" fillId="37" borderId="62" xfId="4" applyFont="1" applyFill="1" applyBorder="1" applyAlignment="1" applyProtection="1">
      <alignment vertical="center"/>
      <protection locked="0"/>
    </xf>
    <xf numFmtId="0" fontId="46" fillId="0" borderId="0" xfId="4" applyFont="1" applyAlignment="1" applyProtection="1">
      <alignment vertical="center"/>
      <protection locked="0"/>
    </xf>
    <xf numFmtId="0" fontId="49" fillId="0" borderId="63" xfId="4" applyFont="1" applyBorder="1" applyAlignment="1" applyProtection="1">
      <alignment horizontal="left" vertical="center"/>
      <protection locked="0"/>
    </xf>
    <xf numFmtId="41" fontId="50" fillId="0" borderId="63" xfId="4" applyNumberFormat="1" applyFont="1" applyBorder="1" applyAlignment="1">
      <alignment horizontal="center" vertical="center"/>
    </xf>
    <xf numFmtId="41" fontId="51" fillId="0" borderId="63" xfId="4" applyNumberFormat="1" applyFont="1" applyBorder="1" applyAlignment="1" applyProtection="1">
      <alignment horizontal="left" vertical="center"/>
      <protection locked="0"/>
    </xf>
    <xf numFmtId="0" fontId="49" fillId="0" borderId="63" xfId="4" applyFont="1" applyBorder="1" applyAlignment="1" applyProtection="1">
      <alignment vertical="center"/>
      <protection locked="0"/>
    </xf>
    <xf numFmtId="0" fontId="49" fillId="0" borderId="64" xfId="4" applyFont="1" applyBorder="1" applyAlignment="1" applyProtection="1">
      <alignment vertical="center"/>
      <protection locked="0"/>
    </xf>
    <xf numFmtId="0" fontId="52" fillId="0" borderId="66" xfId="4" applyFont="1" applyBorder="1" applyAlignment="1" applyProtection="1">
      <alignment vertical="center"/>
      <protection locked="0"/>
    </xf>
    <xf numFmtId="184" fontId="52" fillId="0" borderId="63" xfId="4" applyNumberFormat="1" applyFont="1" applyBorder="1" applyAlignment="1" applyProtection="1">
      <alignment horizontal="left" vertical="center"/>
      <protection locked="0"/>
    </xf>
    <xf numFmtId="0" fontId="52" fillId="0" borderId="63" xfId="4" applyFont="1" applyBorder="1" applyAlignment="1" applyProtection="1">
      <alignment vertical="center"/>
      <protection locked="0"/>
    </xf>
    <xf numFmtId="0" fontId="52" fillId="0" borderId="64" xfId="4" applyFont="1" applyBorder="1" applyAlignment="1" applyProtection="1">
      <alignment vertical="center"/>
      <protection locked="0"/>
    </xf>
    <xf numFmtId="0" fontId="53" fillId="0" borderId="67" xfId="4" applyFont="1" applyBorder="1" applyAlignment="1" applyProtection="1">
      <alignment vertical="center"/>
      <protection locked="0"/>
    </xf>
    <xf numFmtId="0" fontId="53" fillId="0" borderId="0" xfId="4" applyFont="1" applyAlignment="1" applyProtection="1">
      <alignment vertical="center"/>
      <protection locked="0"/>
    </xf>
    <xf numFmtId="184" fontId="48" fillId="0" borderId="0" xfId="4" applyNumberFormat="1" applyFont="1" applyAlignment="1" applyProtection="1">
      <alignment horizontal="center" vertical="center"/>
      <protection locked="0"/>
    </xf>
    <xf numFmtId="184" fontId="52" fillId="0" borderId="0" xfId="4" applyNumberFormat="1" applyFont="1" applyAlignment="1" applyProtection="1">
      <alignment horizontal="left" vertical="center"/>
      <protection locked="0"/>
    </xf>
    <xf numFmtId="0" fontId="52" fillId="0" borderId="0" xfId="4" applyFont="1" applyAlignment="1" applyProtection="1">
      <alignment vertical="center"/>
      <protection locked="0"/>
    </xf>
    <xf numFmtId="0" fontId="52" fillId="0" borderId="68" xfId="4" applyFont="1" applyBorder="1" applyAlignment="1" applyProtection="1">
      <alignment vertical="center"/>
      <protection locked="0"/>
    </xf>
    <xf numFmtId="0" fontId="52" fillId="0" borderId="67" xfId="4" applyFont="1" applyBorder="1" applyAlignment="1" applyProtection="1">
      <alignment vertical="center"/>
      <protection locked="0"/>
    </xf>
    <xf numFmtId="0" fontId="52" fillId="0" borderId="60" xfId="4" applyFont="1" applyBorder="1" applyAlignment="1" applyProtection="1">
      <alignment vertical="center"/>
      <protection locked="0"/>
    </xf>
    <xf numFmtId="0" fontId="52" fillId="0" borderId="61" xfId="4" applyFont="1" applyBorder="1" applyAlignment="1" applyProtection="1">
      <alignment vertical="center"/>
      <protection locked="0"/>
    </xf>
    <xf numFmtId="184" fontId="48" fillId="0" borderId="61" xfId="4" applyNumberFormat="1" applyFont="1" applyBorder="1" applyAlignment="1" applyProtection="1">
      <alignment horizontal="center" vertical="center"/>
      <protection locked="0"/>
    </xf>
    <xf numFmtId="184" fontId="52" fillId="0" borderId="61" xfId="4" applyNumberFormat="1" applyFont="1" applyBorder="1" applyAlignment="1" applyProtection="1">
      <alignment horizontal="left" vertical="center"/>
      <protection locked="0"/>
    </xf>
    <xf numFmtId="0" fontId="52" fillId="0" borderId="62" xfId="4" applyFont="1" applyBorder="1" applyAlignment="1" applyProtection="1">
      <alignment vertical="center"/>
      <protection locked="0"/>
    </xf>
    <xf numFmtId="0" fontId="45" fillId="0" borderId="0" xfId="4" applyFont="1" applyAlignment="1" applyProtection="1">
      <alignment vertical="center"/>
      <protection locked="0"/>
    </xf>
    <xf numFmtId="0" fontId="52" fillId="0" borderId="0" xfId="4" applyFont="1" applyAlignment="1" applyProtection="1">
      <alignment horizontal="left" vertical="center"/>
      <protection locked="0"/>
    </xf>
    <xf numFmtId="0" fontId="53" fillId="0" borderId="66" xfId="4" applyFont="1" applyBorder="1" applyAlignment="1" applyProtection="1">
      <alignment vertical="center"/>
      <protection locked="0"/>
    </xf>
    <xf numFmtId="185" fontId="54" fillId="0" borderId="63" xfId="4" applyNumberFormat="1" applyFont="1" applyBorder="1" applyAlignment="1">
      <alignment horizontal="center" vertical="center"/>
    </xf>
    <xf numFmtId="0" fontId="53" fillId="0" borderId="63" xfId="4" applyFont="1" applyBorder="1" applyAlignment="1" applyProtection="1">
      <alignment vertical="center"/>
      <protection locked="0"/>
    </xf>
    <xf numFmtId="0" fontId="53" fillId="0" borderId="63" xfId="4" applyFont="1" applyBorder="1" applyAlignment="1" applyProtection="1">
      <alignment horizontal="center" vertical="center"/>
      <protection locked="0"/>
    </xf>
    <xf numFmtId="185" fontId="53" fillId="0" borderId="1" xfId="4" applyNumberFormat="1" applyFont="1" applyBorder="1" applyAlignment="1">
      <alignment horizontal="center" vertical="center"/>
    </xf>
    <xf numFmtId="185" fontId="54" fillId="0" borderId="1" xfId="4" applyNumberFormat="1" applyFont="1" applyBorder="1" applyAlignment="1" applyProtection="1">
      <alignment horizontal="center" vertical="center"/>
      <protection locked="0"/>
    </xf>
    <xf numFmtId="185" fontId="54" fillId="0" borderId="1" xfId="4" applyNumberFormat="1" applyFont="1" applyBorder="1" applyAlignment="1">
      <alignment horizontal="center" vertical="center"/>
    </xf>
    <xf numFmtId="0" fontId="52" fillId="0" borderId="1" xfId="4" applyFont="1" applyBorder="1" applyAlignment="1" applyProtection="1">
      <alignment horizontal="center" vertical="center"/>
      <protection locked="0"/>
    </xf>
    <xf numFmtId="0" fontId="54" fillId="0" borderId="63" xfId="4" applyFont="1" applyBorder="1" applyAlignment="1">
      <alignment horizontal="center" vertical="center"/>
    </xf>
    <xf numFmtId="0" fontId="53" fillId="0" borderId="63" xfId="4" applyFont="1" applyBorder="1" applyAlignment="1" applyProtection="1">
      <alignment horizontal="left" vertical="center"/>
      <protection locked="0"/>
    </xf>
    <xf numFmtId="0" fontId="56" fillId="0" borderId="0" xfId="4" applyFont="1" applyAlignment="1" applyProtection="1">
      <alignment vertical="center"/>
      <protection locked="0"/>
    </xf>
    <xf numFmtId="0" fontId="58" fillId="37" borderId="65" xfId="4" applyFont="1" applyFill="1" applyBorder="1" applyAlignment="1" applyProtection="1">
      <alignment horizontal="center" vertical="center"/>
      <protection locked="0"/>
    </xf>
    <xf numFmtId="0" fontId="52" fillId="0" borderId="58" xfId="4" applyFont="1" applyBorder="1" applyAlignment="1" applyProtection="1">
      <alignment vertical="center"/>
      <protection locked="0"/>
    </xf>
    <xf numFmtId="0" fontId="52" fillId="0" borderId="59" xfId="4" applyFont="1" applyBorder="1" applyAlignment="1" applyProtection="1">
      <alignment vertical="center"/>
      <protection locked="0"/>
    </xf>
    <xf numFmtId="0" fontId="56" fillId="0" borderId="63" xfId="4" applyFont="1" applyBorder="1" applyAlignment="1" applyProtection="1">
      <alignment vertical="center"/>
      <protection locked="0"/>
    </xf>
    <xf numFmtId="0" fontId="52" fillId="0" borderId="63" xfId="4" applyFont="1" applyBorder="1" applyAlignment="1" applyProtection="1">
      <alignment horizontal="center" vertical="center"/>
      <protection locked="0"/>
    </xf>
    <xf numFmtId="0" fontId="52" fillId="0" borderId="0" xfId="4" applyFont="1" applyAlignment="1" applyProtection="1">
      <alignment horizontal="center" vertical="center"/>
      <protection locked="0"/>
    </xf>
    <xf numFmtId="0" fontId="52" fillId="0" borderId="61" xfId="4" applyFont="1" applyBorder="1" applyAlignment="1" applyProtection="1">
      <alignment horizontal="center" vertical="center"/>
      <protection locked="0"/>
    </xf>
    <xf numFmtId="41" fontId="48" fillId="0" borderId="63" xfId="4" applyNumberFormat="1" applyFont="1" applyBorder="1" applyAlignment="1" applyProtection="1">
      <alignment horizontal="right" vertical="center"/>
      <protection locked="0"/>
    </xf>
    <xf numFmtId="41" fontId="48" fillId="0" borderId="0" xfId="4" applyNumberFormat="1" applyFont="1" applyAlignment="1" applyProtection="1">
      <alignment horizontal="right" vertical="center"/>
      <protection locked="0"/>
    </xf>
    <xf numFmtId="0" fontId="59" fillId="0" borderId="63" xfId="4" applyFont="1" applyBorder="1" applyAlignment="1" applyProtection="1">
      <alignment horizontal="left" vertical="center" wrapText="1"/>
      <protection locked="0"/>
    </xf>
    <xf numFmtId="0" fontId="52" fillId="0" borderId="63" xfId="4" applyFont="1" applyBorder="1" applyAlignment="1" applyProtection="1">
      <alignment horizontal="left" vertical="center" wrapText="1"/>
      <protection locked="0"/>
    </xf>
    <xf numFmtId="0" fontId="59" fillId="0" borderId="0" xfId="4" applyFont="1" applyAlignment="1" applyProtection="1">
      <alignment horizontal="left" vertical="center" wrapText="1"/>
      <protection locked="0"/>
    </xf>
    <xf numFmtId="0" fontId="52" fillId="0" borderId="0" xfId="4" applyFont="1" applyAlignment="1" applyProtection="1">
      <alignment horizontal="left" vertical="center" wrapText="1"/>
      <protection locked="0"/>
    </xf>
    <xf numFmtId="0" fontId="51" fillId="0" borderId="60" xfId="4" applyFont="1" applyBorder="1" applyAlignment="1" applyProtection="1">
      <alignment vertical="center"/>
      <protection locked="0"/>
    </xf>
    <xf numFmtId="0" fontId="51" fillId="0" borderId="61" xfId="4" applyFont="1" applyBorder="1" applyAlignment="1" applyProtection="1">
      <alignment vertical="center" wrapText="1"/>
      <protection locked="0"/>
    </xf>
    <xf numFmtId="0" fontId="49" fillId="0" borderId="0" xfId="4" applyFont="1" applyAlignment="1">
      <alignment horizontal="right" vertical="center"/>
    </xf>
    <xf numFmtId="41" fontId="50" fillId="0" borderId="0" xfId="4" applyNumberFormat="1" applyFont="1" applyAlignment="1">
      <alignment horizontal="center" vertical="center"/>
    </xf>
    <xf numFmtId="0" fontId="49" fillId="0" borderId="68" xfId="4" applyFont="1" applyBorder="1" applyAlignment="1">
      <alignment vertical="center"/>
    </xf>
    <xf numFmtId="0" fontId="49" fillId="0" borderId="73" xfId="4" applyFont="1" applyBorder="1" applyAlignment="1">
      <alignment horizontal="center" vertical="center"/>
    </xf>
    <xf numFmtId="0" fontId="49" fillId="0" borderId="0" xfId="4" applyFont="1" applyAlignment="1" applyProtection="1">
      <alignment horizontal="center" vertical="center"/>
      <protection locked="0"/>
    </xf>
    <xf numFmtId="186" fontId="52" fillId="0" borderId="0" xfId="4" applyNumberFormat="1" applyFont="1" applyAlignment="1" applyProtection="1">
      <alignment horizontal="center" vertical="center"/>
      <protection locked="0"/>
    </xf>
    <xf numFmtId="41" fontId="50" fillId="0" borderId="61" xfId="4" applyNumberFormat="1" applyFont="1" applyBorder="1" applyAlignment="1">
      <alignment horizontal="center" vertical="center"/>
    </xf>
    <xf numFmtId="41" fontId="60" fillId="0" borderId="61" xfId="4" applyNumberFormat="1" applyFont="1" applyBorder="1" applyAlignment="1" applyProtection="1">
      <alignment horizontal="left" vertical="center"/>
      <protection locked="0"/>
    </xf>
    <xf numFmtId="184" fontId="61" fillId="0" borderId="63" xfId="4" applyNumberFormat="1" applyFont="1" applyBorder="1" applyAlignment="1" applyProtection="1">
      <alignment horizontal="left" vertical="center"/>
      <protection locked="0"/>
    </xf>
    <xf numFmtId="41" fontId="63" fillId="0" borderId="63" xfId="4" applyNumberFormat="1" applyFont="1" applyBorder="1" applyAlignment="1" applyProtection="1">
      <alignment horizontal="center" vertical="center"/>
      <protection locked="0"/>
    </xf>
    <xf numFmtId="41" fontId="64" fillId="0" borderId="0" xfId="4" applyNumberFormat="1" applyFont="1" applyAlignment="1" applyProtection="1">
      <alignment horizontal="center" vertical="center"/>
      <protection locked="0"/>
    </xf>
    <xf numFmtId="176" fontId="52" fillId="0" borderId="91" xfId="4" applyNumberFormat="1" applyFont="1" applyBorder="1" applyAlignment="1">
      <alignment vertical="center"/>
    </xf>
    <xf numFmtId="0" fontId="53" fillId="0" borderId="68" xfId="4" applyFont="1" applyBorder="1" applyAlignment="1" applyProtection="1">
      <alignment vertical="center"/>
      <protection locked="0"/>
    </xf>
    <xf numFmtId="0" fontId="66" fillId="43" borderId="0" xfId="4" applyFont="1" applyFill="1" applyAlignment="1">
      <alignment vertical="center"/>
    </xf>
    <xf numFmtId="0" fontId="53" fillId="0" borderId="60" xfId="4" applyFont="1" applyBorder="1" applyAlignment="1" applyProtection="1">
      <alignment vertical="center"/>
      <protection locked="0"/>
    </xf>
    <xf numFmtId="0" fontId="69" fillId="0" borderId="63" xfId="4" applyFont="1" applyBorder="1" applyAlignment="1" applyProtection="1">
      <alignment vertical="center"/>
      <protection locked="0"/>
    </xf>
    <xf numFmtId="0" fontId="69" fillId="0" borderId="64" xfId="4" applyFont="1" applyBorder="1" applyAlignment="1" applyProtection="1">
      <alignment vertical="center"/>
      <protection locked="0"/>
    </xf>
    <xf numFmtId="0" fontId="70" fillId="0" borderId="0" xfId="4" applyFont="1" applyAlignment="1" applyProtection="1">
      <alignment vertical="center"/>
      <protection locked="0"/>
    </xf>
    <xf numFmtId="0" fontId="53" fillId="0" borderId="61" xfId="4" applyFont="1" applyBorder="1" applyAlignment="1" applyProtection="1">
      <alignment vertical="center"/>
      <protection locked="0"/>
    </xf>
    <xf numFmtId="0" fontId="69" fillId="0" borderId="61" xfId="4" applyFont="1" applyBorder="1" applyAlignment="1" applyProtection="1">
      <alignment vertical="center"/>
      <protection locked="0"/>
    </xf>
    <xf numFmtId="0" fontId="69" fillId="0" borderId="62" xfId="4" applyFont="1" applyBorder="1" applyAlignment="1" applyProtection="1">
      <alignment vertical="center"/>
      <protection locked="0"/>
    </xf>
    <xf numFmtId="0" fontId="52" fillId="0" borderId="67" xfId="4" applyFont="1" applyBorder="1" applyProtection="1">
      <protection locked="0"/>
    </xf>
    <xf numFmtId="0" fontId="49" fillId="0" borderId="67" xfId="4" applyFont="1" applyBorder="1" applyAlignment="1" applyProtection="1">
      <alignment vertical="center"/>
      <protection locked="0"/>
    </xf>
    <xf numFmtId="0" fontId="49" fillId="0" borderId="0" xfId="4" applyFont="1" applyAlignment="1" applyProtection="1">
      <alignment vertical="center"/>
      <protection locked="0"/>
    </xf>
    <xf numFmtId="0" fontId="49" fillId="0" borderId="68" xfId="4" applyFont="1" applyBorder="1" applyAlignment="1" applyProtection="1">
      <alignment vertical="center"/>
      <protection locked="0"/>
    </xf>
    <xf numFmtId="0" fontId="72" fillId="0" borderId="0" xfId="4" applyFont="1" applyAlignment="1" applyProtection="1">
      <alignment horizontal="left" vertical="center"/>
      <protection locked="0"/>
    </xf>
    <xf numFmtId="0" fontId="56" fillId="0" borderId="68" xfId="4" applyFont="1" applyBorder="1" applyAlignment="1" applyProtection="1">
      <alignment vertical="center"/>
      <protection locked="0"/>
    </xf>
    <xf numFmtId="0" fontId="57" fillId="0" borderId="0" xfId="4" applyFont="1" applyAlignment="1" applyProtection="1">
      <alignment horizontal="justify" vertical="center"/>
      <protection locked="0"/>
    </xf>
    <xf numFmtId="0" fontId="56" fillId="0" borderId="0" xfId="4" applyFont="1" applyAlignment="1" applyProtection="1">
      <alignment vertical="center" wrapText="1"/>
      <protection locked="0"/>
    </xf>
    <xf numFmtId="0" fontId="56" fillId="0" borderId="68" xfId="4" applyFont="1" applyBorder="1" applyAlignment="1" applyProtection="1">
      <alignment vertical="center" wrapText="1"/>
      <protection locked="0"/>
    </xf>
    <xf numFmtId="184" fontId="52" fillId="0" borderId="67" xfId="4" applyNumberFormat="1" applyFont="1" applyBorder="1" applyAlignment="1" applyProtection="1">
      <alignment vertical="center"/>
      <protection locked="0"/>
    </xf>
    <xf numFmtId="184" fontId="52" fillId="0" borderId="0" xfId="4" applyNumberFormat="1" applyFont="1" applyAlignment="1" applyProtection="1">
      <alignment horizontal="center" vertical="center"/>
      <protection locked="0"/>
    </xf>
    <xf numFmtId="184" fontId="52" fillId="0" borderId="68" xfId="4" applyNumberFormat="1" applyFont="1" applyBorder="1" applyAlignment="1" applyProtection="1">
      <alignment horizontal="center" vertical="center"/>
      <protection locked="0"/>
    </xf>
    <xf numFmtId="184" fontId="52" fillId="0" borderId="67" xfId="4" applyNumberFormat="1" applyFont="1" applyBorder="1" applyAlignment="1" applyProtection="1">
      <alignment horizontal="center" vertical="center"/>
      <protection locked="0"/>
    </xf>
    <xf numFmtId="0" fontId="73" fillId="0" borderId="0" xfId="4" applyFont="1" applyAlignment="1" applyProtection="1">
      <alignment horizontal="justify" vertical="center"/>
      <protection locked="0"/>
    </xf>
    <xf numFmtId="0" fontId="65" fillId="0" borderId="0" xfId="4" applyFont="1" applyAlignment="1" applyProtection="1">
      <alignment vertical="center"/>
      <protection locked="0"/>
    </xf>
    <xf numFmtId="0" fontId="52" fillId="0" borderId="0" xfId="4" applyFont="1" applyAlignment="1" applyProtection="1">
      <alignment vertical="center" wrapText="1"/>
      <protection locked="0"/>
    </xf>
    <xf numFmtId="0" fontId="52" fillId="0" borderId="68" xfId="4" applyFont="1" applyBorder="1" applyAlignment="1" applyProtection="1">
      <alignment vertical="center" wrapText="1"/>
      <protection locked="0"/>
    </xf>
    <xf numFmtId="0" fontId="49" fillId="0" borderId="61" xfId="4" applyFont="1" applyBorder="1" applyAlignment="1" applyProtection="1">
      <alignment vertical="center"/>
      <protection locked="0"/>
    </xf>
    <xf numFmtId="0" fontId="49" fillId="0" borderId="62" xfId="4" applyFont="1" applyBorder="1" applyAlignment="1" applyProtection="1">
      <alignment vertical="center"/>
      <protection locked="0"/>
    </xf>
    <xf numFmtId="0" fontId="65" fillId="0" borderId="0" xfId="4" applyFont="1" applyAlignment="1" applyProtection="1">
      <alignment horizontal="center" vertical="center"/>
      <protection locked="0"/>
    </xf>
    <xf numFmtId="31" fontId="60" fillId="0" borderId="0" xfId="4" applyNumberFormat="1" applyFont="1" applyAlignment="1" applyProtection="1">
      <alignment horizontal="center" vertical="center"/>
      <protection locked="0"/>
    </xf>
    <xf numFmtId="0" fontId="73" fillId="0" borderId="0" xfId="4" applyFont="1" applyAlignment="1" applyProtection="1">
      <alignment horizontal="center" vertical="center"/>
      <protection locked="0"/>
    </xf>
    <xf numFmtId="0" fontId="56" fillId="0" borderId="67" xfId="4" applyFont="1" applyBorder="1" applyAlignment="1" applyProtection="1">
      <alignment vertical="center"/>
      <protection locked="0"/>
    </xf>
    <xf numFmtId="0" fontId="56" fillId="0" borderId="0" xfId="4" applyFont="1" applyAlignment="1" applyProtection="1">
      <alignment horizontal="left" vertical="center"/>
      <protection locked="0"/>
    </xf>
    <xf numFmtId="0" fontId="72" fillId="0" borderId="57" xfId="4" applyFont="1" applyBorder="1" applyAlignment="1" applyProtection="1">
      <alignment horizontal="left" vertical="center"/>
      <protection locked="0"/>
    </xf>
    <xf numFmtId="0" fontId="72" fillId="0" borderId="58" xfId="4" applyFont="1" applyBorder="1" applyAlignment="1" applyProtection="1">
      <alignment horizontal="left" vertical="center"/>
      <protection locked="0"/>
    </xf>
    <xf numFmtId="0" fontId="72" fillId="0" borderId="59" xfId="4" applyFont="1" applyBorder="1" applyAlignment="1" applyProtection="1">
      <alignment horizontal="left" vertical="center"/>
      <protection locked="0"/>
    </xf>
    <xf numFmtId="0" fontId="56" fillId="0" borderId="63" xfId="4" applyFont="1" applyBorder="1" applyAlignment="1" applyProtection="1">
      <alignment horizontal="left" vertical="center"/>
      <protection locked="0"/>
    </xf>
    <xf numFmtId="0" fontId="56" fillId="0" borderId="64" xfId="4" applyFont="1" applyBorder="1" applyAlignment="1" applyProtection="1">
      <alignment horizontal="left" vertical="center"/>
      <protection locked="0"/>
    </xf>
    <xf numFmtId="0" fontId="56" fillId="0" borderId="64" xfId="4" applyFont="1" applyBorder="1" applyAlignment="1" applyProtection="1">
      <alignment vertical="center"/>
      <protection locked="0"/>
    </xf>
    <xf numFmtId="0" fontId="56" fillId="0" borderId="60" xfId="4" applyFont="1" applyBorder="1" applyAlignment="1" applyProtection="1">
      <alignment vertical="center"/>
      <protection locked="0"/>
    </xf>
    <xf numFmtId="0" fontId="56" fillId="0" borderId="61" xfId="4" applyFont="1" applyBorder="1" applyAlignment="1" applyProtection="1">
      <alignment vertical="center"/>
      <protection locked="0"/>
    </xf>
    <xf numFmtId="0" fontId="77" fillId="0" borderId="0" xfId="4" applyFont="1" applyAlignment="1" applyProtection="1">
      <alignment horizontal="left" vertical="center"/>
      <protection locked="0"/>
    </xf>
    <xf numFmtId="0" fontId="57" fillId="0" borderId="63"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61" xfId="4" applyFont="1" applyBorder="1" applyAlignment="1" applyProtection="1">
      <alignment horizontal="left" vertical="center"/>
      <protection locked="0"/>
    </xf>
    <xf numFmtId="0" fontId="37" fillId="36" borderId="1" xfId="4" applyFont="1" applyFill="1" applyBorder="1" applyAlignment="1" applyProtection="1">
      <alignment horizontal="center" vertical="center"/>
      <protection locked="0"/>
    </xf>
    <xf numFmtId="177" fontId="37" fillId="2" borderId="1" xfId="53" applyNumberFormat="1" applyFont="1" applyFill="1" applyBorder="1" applyAlignment="1" applyProtection="1">
      <alignment horizontal="center" vertical="center" wrapText="1"/>
      <protection locked="0"/>
    </xf>
    <xf numFmtId="1" fontId="37" fillId="2" borderId="1" xfId="53" applyNumberFormat="1" applyFont="1" applyFill="1" applyBorder="1" applyAlignment="1" applyProtection="1">
      <alignment horizontal="center" vertical="center" wrapText="1"/>
      <protection locked="0"/>
    </xf>
    <xf numFmtId="0" fontId="2" fillId="2" borderId="13" xfId="0" applyFont="1" applyFill="1" applyBorder="1" applyAlignment="1">
      <alignment vertical="center"/>
    </xf>
    <xf numFmtId="177" fontId="0" fillId="0" borderId="0" xfId="0" applyNumberFormat="1" applyAlignment="1">
      <alignment horizontal="center" vertical="center"/>
    </xf>
    <xf numFmtId="0" fontId="0" fillId="38" borderId="1" xfId="0" applyFill="1" applyBorder="1" applyAlignment="1" applyProtection="1">
      <alignment horizontal="center" vertical="center"/>
      <protection locked="0"/>
    </xf>
    <xf numFmtId="0" fontId="0" fillId="38" borderId="1" xfId="0" applyFill="1" applyBorder="1" applyAlignment="1" applyProtection="1">
      <alignment vertical="center"/>
      <protection locked="0"/>
    </xf>
    <xf numFmtId="0" fontId="85" fillId="2" borderId="1" xfId="0" applyFont="1" applyFill="1" applyBorder="1" applyAlignment="1">
      <alignment horizontal="center" vertical="center" wrapText="1"/>
    </xf>
    <xf numFmtId="0" fontId="86" fillId="2" borderId="1" xfId="0" applyFont="1" applyFill="1" applyBorder="1" applyAlignment="1">
      <alignment horizontal="center" vertical="center" wrapText="1"/>
    </xf>
    <xf numFmtId="0" fontId="86" fillId="2" borderId="1" xfId="0" applyFont="1" applyFill="1" applyBorder="1" applyAlignment="1">
      <alignment horizontal="center" vertical="center"/>
    </xf>
    <xf numFmtId="41" fontId="45" fillId="2" borderId="1" xfId="53" applyNumberFormat="1" applyFont="1" applyFill="1" applyBorder="1" applyAlignment="1" applyProtection="1">
      <alignment horizontal="center" vertical="center" wrapText="1"/>
      <protection locked="0"/>
    </xf>
    <xf numFmtId="41" fontId="90" fillId="37" borderId="46" xfId="70" applyNumberFormat="1" applyFont="1" applyFill="1" applyBorder="1" applyAlignment="1" applyProtection="1">
      <alignment horizontal="center" vertical="center" shrinkToFit="1"/>
      <protection hidden="1"/>
    </xf>
    <xf numFmtId="181" fontId="45" fillId="37" borderId="1" xfId="53" applyNumberFormat="1" applyFont="1" applyFill="1" applyBorder="1" applyAlignment="1" applyProtection="1">
      <alignment horizontal="center" vertical="center" wrapText="1"/>
      <protection locked="0"/>
    </xf>
    <xf numFmtId="184" fontId="54" fillId="2" borderId="63" xfId="4" applyNumberFormat="1" applyFont="1" applyFill="1" applyBorder="1" applyAlignment="1">
      <alignment horizontal="center" vertical="center"/>
    </xf>
    <xf numFmtId="184" fontId="54" fillId="36" borderId="0" xfId="4" applyNumberFormat="1" applyFont="1" applyFill="1" applyAlignment="1">
      <alignment horizontal="center" vertical="center"/>
    </xf>
    <xf numFmtId="0" fontId="0" fillId="41" borderId="1" xfId="0" applyFill="1" applyBorder="1" applyAlignment="1" applyProtection="1">
      <alignment horizontal="center" vertical="center"/>
      <protection hidden="1"/>
    </xf>
    <xf numFmtId="189" fontId="7" fillId="41" borderId="1" xfId="51" applyNumberFormat="1" applyFill="1" applyBorder="1" applyAlignment="1" applyProtection="1">
      <alignment horizontal="center" vertical="center"/>
      <protection hidden="1"/>
    </xf>
    <xf numFmtId="189" fontId="7" fillId="41" borderId="1" xfId="51" applyNumberFormat="1" applyFill="1" applyBorder="1" applyProtection="1">
      <alignment vertical="center"/>
      <protection hidden="1"/>
    </xf>
    <xf numFmtId="0" fontId="0" fillId="2" borderId="1" xfId="0" applyFill="1" applyBorder="1" applyAlignment="1" applyProtection="1">
      <alignment horizontal="center" vertical="center"/>
      <protection locked="0"/>
    </xf>
    <xf numFmtId="20" fontId="84" fillId="2" borderId="1" xfId="0" applyNumberFormat="1" applyFont="1" applyFill="1" applyBorder="1" applyAlignment="1" applyProtection="1">
      <alignment horizontal="center" vertical="center"/>
      <protection locked="0"/>
    </xf>
    <xf numFmtId="20" fontId="84" fillId="2" borderId="1" xfId="0" applyNumberFormat="1" applyFont="1" applyFill="1" applyBorder="1" applyAlignment="1" applyProtection="1">
      <alignment horizontal="center" vertical="center" wrapText="1"/>
      <protection locked="0"/>
    </xf>
    <xf numFmtId="0" fontId="84" fillId="2" borderId="1" xfId="0" applyFont="1" applyFill="1" applyBorder="1" applyAlignment="1" applyProtection="1">
      <alignment horizontal="center" vertical="center"/>
      <protection locked="0"/>
    </xf>
    <xf numFmtId="0" fontId="0" fillId="2" borderId="1" xfId="0" applyFill="1" applyBorder="1" applyAlignment="1" applyProtection="1">
      <alignment horizontal="center" vertical="center"/>
      <protection hidden="1"/>
    </xf>
    <xf numFmtId="0" fontId="84" fillId="2" borderId="1" xfId="0" applyFont="1" applyFill="1" applyBorder="1" applyAlignment="1" applyProtection="1">
      <alignment horizontal="center" vertical="center" wrapText="1"/>
      <protection locked="0"/>
    </xf>
    <xf numFmtId="0" fontId="94" fillId="2" borderId="0" xfId="1" applyFont="1" applyFill="1" applyAlignment="1"/>
    <xf numFmtId="192" fontId="94" fillId="2" borderId="0" xfId="1" applyNumberFormat="1" applyFont="1" applyFill="1" applyAlignment="1"/>
    <xf numFmtId="192" fontId="94" fillId="2" borderId="0" xfId="1" applyNumberFormat="1" applyFont="1" applyFill="1" applyAlignment="1">
      <alignment horizontal="right"/>
    </xf>
    <xf numFmtId="0" fontId="94" fillId="2" borderId="1" xfId="1" applyFont="1" applyFill="1" applyBorder="1" applyAlignment="1">
      <alignment horizontal="center" vertical="center"/>
    </xf>
    <xf numFmtId="0" fontId="94" fillId="2" borderId="0" xfId="1" applyFont="1" applyFill="1" applyAlignment="1">
      <alignment horizontal="center"/>
    </xf>
    <xf numFmtId="0" fontId="94" fillId="2" borderId="1" xfId="1" applyFont="1" applyFill="1" applyBorder="1" applyAlignment="1">
      <alignment horizontal="center"/>
    </xf>
    <xf numFmtId="41" fontId="94" fillId="2" borderId="1" xfId="1" applyNumberFormat="1" applyFont="1" applyFill="1" applyBorder="1" applyAlignment="1"/>
    <xf numFmtId="193" fontId="94" fillId="2" borderId="1" xfId="1" applyNumberFormat="1" applyFont="1" applyFill="1" applyBorder="1" applyAlignment="1"/>
    <xf numFmtId="41" fontId="0" fillId="48" borderId="1" xfId="52" applyFont="1" applyFill="1" applyBorder="1" applyAlignment="1"/>
    <xf numFmtId="41" fontId="0" fillId="48" borderId="1" xfId="52" applyFont="1" applyFill="1" applyBorder="1" applyAlignment="1">
      <alignment shrinkToFit="1"/>
    </xf>
    <xf numFmtId="194" fontId="0" fillId="49" borderId="1" xfId="0" applyNumberFormat="1" applyFill="1" applyBorder="1"/>
    <xf numFmtId="192" fontId="2" fillId="2" borderId="1" xfId="2" applyNumberFormat="1" applyFont="1" applyFill="1" applyBorder="1" applyAlignment="1">
      <alignment horizontal="center" vertical="center"/>
    </xf>
    <xf numFmtId="194" fontId="0" fillId="48" borderId="1" xfId="0" applyNumberFormat="1" applyFill="1" applyBorder="1"/>
    <xf numFmtId="0" fontId="0" fillId="0" borderId="13" xfId="51" applyNumberFormat="1" applyFont="1" applyBorder="1" applyAlignment="1">
      <alignment horizontal="center"/>
    </xf>
    <xf numFmtId="41" fontId="0" fillId="0" borderId="1" xfId="51" applyFont="1" applyBorder="1" applyAlignment="1">
      <alignment horizontal="center" wrapText="1"/>
    </xf>
    <xf numFmtId="41" fontId="0" fillId="0" borderId="1" xfId="51" applyFont="1" applyBorder="1" applyAlignment="1">
      <alignment horizontal="center"/>
    </xf>
    <xf numFmtId="49" fontId="26" fillId="2" borderId="0" xfId="4" applyNumberFormat="1" applyFont="1" applyFill="1" applyAlignment="1" applyProtection="1">
      <alignment horizontal="center" vertical="center"/>
      <protection locked="0"/>
    </xf>
    <xf numFmtId="0" fontId="33" fillId="0" borderId="41" xfId="0" applyFont="1" applyBorder="1" applyAlignment="1" applyProtection="1">
      <alignment horizontal="center" vertical="center"/>
      <protection locked="0"/>
    </xf>
    <xf numFmtId="0" fontId="27" fillId="0" borderId="0" xfId="4" applyFont="1" applyAlignment="1" applyProtection="1">
      <alignment vertical="center"/>
      <protection locked="0"/>
    </xf>
    <xf numFmtId="49" fontId="26" fillId="2" borderId="0" xfId="4" applyNumberFormat="1" applyFont="1" applyFill="1" applyAlignment="1" applyProtection="1">
      <alignment vertical="center"/>
      <protection locked="0"/>
    </xf>
    <xf numFmtId="49" fontId="27" fillId="2" borderId="0" xfId="4" applyNumberFormat="1" applyFont="1" applyFill="1" applyAlignment="1" applyProtection="1">
      <alignment vertical="center"/>
      <protection locked="0"/>
    </xf>
    <xf numFmtId="41" fontId="27" fillId="2" borderId="0" xfId="5" applyFont="1" applyFill="1" applyBorder="1" applyAlignment="1" applyProtection="1">
      <alignment horizontal="right" vertical="center"/>
      <protection locked="0"/>
    </xf>
    <xf numFmtId="49" fontId="27" fillId="2" borderId="0" xfId="4" applyNumberFormat="1" applyFont="1" applyFill="1" applyAlignment="1" applyProtection="1">
      <alignment horizontal="right" vertical="center"/>
      <protection locked="0"/>
    </xf>
    <xf numFmtId="49" fontId="27" fillId="2" borderId="0" xfId="4" applyNumberFormat="1" applyFont="1" applyFill="1" applyAlignment="1" applyProtection="1">
      <alignment horizontal="left" vertical="center"/>
      <protection locked="0"/>
    </xf>
    <xf numFmtId="49" fontId="27" fillId="2" borderId="0" xfId="4" applyNumberFormat="1" applyFont="1" applyFill="1" applyAlignment="1" applyProtection="1">
      <alignment horizontal="center" vertical="center"/>
      <protection locked="0"/>
    </xf>
    <xf numFmtId="0" fontId="25" fillId="0" borderId="41" xfId="4" applyFont="1" applyBorder="1" applyAlignment="1" applyProtection="1">
      <alignment horizontal="center" vertical="center"/>
      <protection locked="0"/>
    </xf>
    <xf numFmtId="0" fontId="28" fillId="38" borderId="41" xfId="4" applyFont="1" applyFill="1" applyBorder="1" applyAlignment="1" applyProtection="1">
      <alignment horizontal="right" vertical="center"/>
      <protection locked="0"/>
    </xf>
    <xf numFmtId="49" fontId="25" fillId="2" borderId="0" xfId="4" applyNumberFormat="1" applyFont="1" applyFill="1" applyAlignment="1" applyProtection="1">
      <alignment horizontal="center" vertical="center"/>
      <protection locked="0"/>
    </xf>
    <xf numFmtId="10" fontId="33" fillId="0" borderId="41" xfId="0" applyNumberFormat="1" applyFont="1" applyBorder="1" applyAlignment="1" applyProtection="1">
      <alignment horizontal="center" vertical="center"/>
      <protection locked="0"/>
    </xf>
    <xf numFmtId="176" fontId="27" fillId="2" borderId="0" xfId="4" applyNumberFormat="1" applyFont="1" applyFill="1" applyAlignment="1" applyProtection="1">
      <alignment horizontal="right" vertical="center"/>
      <protection locked="0"/>
    </xf>
    <xf numFmtId="176" fontId="27" fillId="2" borderId="24" xfId="4" applyNumberFormat="1" applyFont="1" applyFill="1" applyBorder="1" applyAlignment="1" applyProtection="1">
      <alignment horizontal="right" vertical="center"/>
      <protection locked="0"/>
    </xf>
    <xf numFmtId="14" fontId="25" fillId="2" borderId="0" xfId="4" applyNumberFormat="1" applyFont="1" applyFill="1" applyAlignment="1" applyProtection="1">
      <alignment horizontal="center" vertical="center"/>
      <protection locked="0"/>
    </xf>
    <xf numFmtId="0" fontId="28" fillId="47" borderId="25" xfId="4" applyFont="1" applyFill="1" applyBorder="1" applyAlignment="1" applyProtection="1">
      <alignment horizontal="center" vertical="center" wrapText="1"/>
      <protection locked="0"/>
    </xf>
    <xf numFmtId="176" fontId="28" fillId="47" borderId="26" xfId="4" applyNumberFormat="1" applyFont="1" applyFill="1" applyBorder="1" applyAlignment="1" applyProtection="1">
      <alignment horizontal="center" vertical="center" wrapText="1"/>
      <protection locked="0"/>
    </xf>
    <xf numFmtId="176" fontId="28" fillId="47" borderId="8" xfId="4" applyNumberFormat="1" applyFont="1" applyFill="1" applyBorder="1" applyAlignment="1" applyProtection="1">
      <alignment horizontal="center" vertical="center" wrapText="1"/>
      <protection locked="0"/>
    </xf>
    <xf numFmtId="14" fontId="28" fillId="47" borderId="8" xfId="4" applyNumberFormat="1" applyFont="1" applyFill="1" applyBorder="1" applyAlignment="1" applyProtection="1">
      <alignment horizontal="center" vertical="center" wrapText="1"/>
      <protection locked="0"/>
    </xf>
    <xf numFmtId="41" fontId="28" fillId="47" borderId="8" xfId="5" applyFont="1" applyFill="1" applyBorder="1" applyAlignment="1" applyProtection="1">
      <alignment horizontal="center" vertical="center" wrapText="1"/>
      <protection locked="0"/>
    </xf>
    <xf numFmtId="176" fontId="28" fillId="47" borderId="0" xfId="4" applyNumberFormat="1" applyFont="1" applyFill="1" applyAlignment="1" applyProtection="1">
      <alignment horizontal="center" vertical="center" wrapText="1"/>
      <protection locked="0"/>
    </xf>
    <xf numFmtId="176" fontId="28" fillId="47" borderId="48" xfId="4" applyNumberFormat="1" applyFont="1" applyFill="1" applyBorder="1" applyAlignment="1" applyProtection="1">
      <alignment horizontal="center" vertical="center" wrapText="1"/>
      <protection locked="0"/>
    </xf>
    <xf numFmtId="176" fontId="28" fillId="4" borderId="0" xfId="4" applyNumberFormat="1" applyFont="1" applyFill="1" applyAlignment="1" applyProtection="1">
      <alignment horizontal="center" vertical="center" wrapText="1"/>
      <protection locked="0"/>
    </xf>
    <xf numFmtId="0" fontId="33" fillId="36" borderId="41" xfId="0" applyFont="1" applyFill="1" applyBorder="1" applyAlignment="1" applyProtection="1">
      <alignment horizontal="center" vertical="center"/>
      <protection locked="0"/>
    </xf>
    <xf numFmtId="41" fontId="33" fillId="36" borderId="41" xfId="51" applyFont="1" applyFill="1" applyBorder="1" applyAlignment="1" applyProtection="1">
      <alignment horizontal="center" vertical="center"/>
      <protection locked="0"/>
    </xf>
    <xf numFmtId="41" fontId="33" fillId="36" borderId="41" xfId="51" applyFont="1" applyFill="1" applyBorder="1" applyAlignment="1" applyProtection="1">
      <alignment horizontal="right" vertical="center"/>
      <protection locked="0"/>
    </xf>
    <xf numFmtId="0" fontId="28" fillId="0" borderId="0" xfId="4" applyFont="1" applyAlignment="1" applyProtection="1">
      <alignment vertical="center" wrapText="1"/>
      <protection locked="0"/>
    </xf>
    <xf numFmtId="41" fontId="27" fillId="2" borderId="6" xfId="4" applyNumberFormat="1" applyFont="1" applyFill="1" applyBorder="1" applyAlignment="1" applyProtection="1">
      <alignment horizontal="center" vertical="center"/>
      <protection locked="0"/>
    </xf>
    <xf numFmtId="41" fontId="27" fillId="2" borderId="6" xfId="4" applyNumberFormat="1" applyFont="1" applyFill="1" applyBorder="1" applyAlignment="1" applyProtection="1">
      <alignment vertical="center"/>
      <protection locked="0"/>
    </xf>
    <xf numFmtId="41" fontId="28" fillId="0" borderId="56" xfId="4" applyNumberFormat="1" applyFont="1" applyBorder="1" applyAlignment="1" applyProtection="1">
      <alignment horizontal="center" vertical="center"/>
      <protection locked="0"/>
    </xf>
    <xf numFmtId="182" fontId="82" fillId="36" borderId="41" xfId="4" applyNumberFormat="1" applyFont="1" applyFill="1" applyBorder="1" applyAlignment="1" applyProtection="1">
      <alignment horizontal="center" vertical="center"/>
      <protection locked="0"/>
    </xf>
    <xf numFmtId="41" fontId="81" fillId="36" borderId="41" xfId="51" applyFont="1" applyFill="1" applyBorder="1" applyAlignment="1" applyProtection="1">
      <alignment horizontal="center" vertical="center"/>
      <protection locked="0"/>
    </xf>
    <xf numFmtId="0" fontId="81" fillId="36" borderId="41" xfId="4" applyFont="1" applyFill="1" applyBorder="1" applyAlignment="1" applyProtection="1">
      <alignment vertical="center"/>
      <protection locked="0"/>
    </xf>
    <xf numFmtId="0" fontId="27" fillId="2" borderId="0" xfId="4" applyFont="1" applyFill="1" applyAlignment="1" applyProtection="1">
      <alignment vertical="center"/>
      <protection locked="0"/>
    </xf>
    <xf numFmtId="41" fontId="27" fillId="2" borderId="0" xfId="4" applyNumberFormat="1" applyFont="1" applyFill="1" applyAlignment="1" applyProtection="1">
      <alignment vertical="center"/>
      <protection locked="0"/>
    </xf>
    <xf numFmtId="41" fontId="27" fillId="0" borderId="7" xfId="4" applyNumberFormat="1" applyFont="1" applyBorder="1" applyAlignment="1" applyProtection="1">
      <alignment vertical="center"/>
      <protection locked="0"/>
    </xf>
    <xf numFmtId="41" fontId="27" fillId="0" borderId="0" xfId="4" applyNumberFormat="1" applyFont="1" applyAlignment="1" applyProtection="1">
      <alignment vertical="center"/>
      <protection locked="0"/>
    </xf>
    <xf numFmtId="0" fontId="27" fillId="0" borderId="0" xfId="4" applyFont="1" applyAlignment="1" applyProtection="1">
      <alignment horizontal="center" vertical="center"/>
      <protection locked="0"/>
    </xf>
    <xf numFmtId="14" fontId="27" fillId="0" borderId="0" xfId="4" applyNumberFormat="1" applyFont="1" applyAlignment="1" applyProtection="1">
      <alignment vertical="center"/>
      <protection locked="0"/>
    </xf>
    <xf numFmtId="41" fontId="27" fillId="0" borderId="0" xfId="51" applyFont="1" applyAlignment="1" applyProtection="1">
      <alignment vertical="center"/>
      <protection locked="0"/>
    </xf>
    <xf numFmtId="0" fontId="28" fillId="0" borderId="0" xfId="4" applyFont="1" applyAlignment="1" applyProtection="1">
      <alignment vertical="center"/>
      <protection locked="0"/>
    </xf>
    <xf numFmtId="0" fontId="28" fillId="0" borderId="0" xfId="4" applyFont="1" applyAlignment="1" applyProtection="1">
      <alignment horizontal="center" vertical="center"/>
      <protection locked="0"/>
    </xf>
    <xf numFmtId="14" fontId="28" fillId="0" borderId="0" xfId="4" applyNumberFormat="1" applyFont="1" applyAlignment="1" applyProtection="1">
      <alignment vertical="center"/>
      <protection locked="0"/>
    </xf>
    <xf numFmtId="9" fontId="27" fillId="0" borderId="0" xfId="4" applyNumberFormat="1" applyFont="1" applyAlignment="1" applyProtection="1">
      <alignment vertical="center"/>
      <protection locked="0"/>
    </xf>
    <xf numFmtId="183" fontId="27" fillId="0" borderId="0" xfId="4" applyNumberFormat="1" applyFont="1" applyAlignment="1" applyProtection="1">
      <alignment vertical="center"/>
      <protection locked="0"/>
    </xf>
    <xf numFmtId="49" fontId="28" fillId="0" borderId="0" xfId="4" applyNumberFormat="1" applyFont="1" applyAlignment="1" applyProtection="1">
      <alignment vertical="center"/>
      <protection locked="0"/>
    </xf>
    <xf numFmtId="3" fontId="29" fillId="2" borderId="6" xfId="5" applyNumberFormat="1" applyFont="1" applyFill="1" applyBorder="1" applyAlignment="1" applyProtection="1">
      <alignment horizontal="right" vertical="center"/>
    </xf>
    <xf numFmtId="41" fontId="28" fillId="2" borderId="6" xfId="5" applyFont="1" applyFill="1" applyBorder="1" applyAlignment="1" applyProtection="1">
      <alignment horizontal="center" vertical="center"/>
    </xf>
    <xf numFmtId="0" fontId="27" fillId="2" borderId="5" xfId="4" applyFont="1" applyFill="1" applyBorder="1" applyAlignment="1">
      <alignment horizontal="center" vertical="center"/>
    </xf>
    <xf numFmtId="0" fontId="29" fillId="2" borderId="6" xfId="4" applyFont="1" applyFill="1" applyBorder="1" applyAlignment="1">
      <alignment horizontal="center" vertical="center"/>
    </xf>
    <xf numFmtId="186" fontId="29" fillId="2" borderId="6" xfId="4" applyNumberFormat="1" applyFont="1" applyFill="1" applyBorder="1" applyAlignment="1">
      <alignment horizontal="center" vertical="center"/>
    </xf>
    <xf numFmtId="1" fontId="29" fillId="2" borderId="6" xfId="4" applyNumberFormat="1" applyFont="1" applyFill="1" applyBorder="1" applyAlignment="1">
      <alignment horizontal="center" vertical="center"/>
    </xf>
    <xf numFmtId="14" fontId="29" fillId="2" borderId="6" xfId="4" applyNumberFormat="1" applyFont="1" applyFill="1" applyBorder="1" applyAlignment="1">
      <alignment horizontal="center" vertical="center"/>
    </xf>
    <xf numFmtId="179" fontId="27" fillId="2" borderId="6" xfId="4" applyNumberFormat="1" applyFont="1" applyFill="1" applyBorder="1" applyAlignment="1">
      <alignment horizontal="center" vertical="center"/>
    </xf>
    <xf numFmtId="3" fontId="27" fillId="2" borderId="6" xfId="4" applyNumberFormat="1" applyFont="1" applyFill="1" applyBorder="1" applyAlignment="1">
      <alignment horizontal="center" vertical="center"/>
    </xf>
    <xf numFmtId="41" fontId="27" fillId="2" borderId="6" xfId="4" applyNumberFormat="1" applyFont="1" applyFill="1" applyBorder="1" applyAlignment="1">
      <alignment horizontal="center" vertical="center"/>
    </xf>
    <xf numFmtId="1" fontId="29" fillId="2" borderId="47" xfId="4" applyNumberFormat="1" applyFont="1" applyFill="1" applyBorder="1" applyAlignment="1">
      <alignment horizontal="center" vertical="center"/>
    </xf>
    <xf numFmtId="1" fontId="29" fillId="2" borderId="26" xfId="4" applyNumberFormat="1" applyFont="1" applyFill="1" applyBorder="1" applyAlignment="1">
      <alignment horizontal="center" vertical="center"/>
    </xf>
    <xf numFmtId="41" fontId="27" fillId="2" borderId="6" xfId="4" applyNumberFormat="1" applyFont="1" applyFill="1" applyBorder="1" applyAlignment="1">
      <alignment vertical="center"/>
    </xf>
    <xf numFmtId="41" fontId="28" fillId="2" borderId="105" xfId="4" applyNumberFormat="1" applyFont="1" applyFill="1" applyBorder="1" applyAlignment="1">
      <alignment vertical="center"/>
    </xf>
    <xf numFmtId="41" fontId="28" fillId="2" borderId="105" xfId="4" applyNumberFormat="1" applyFont="1" applyFill="1" applyBorder="1" applyAlignment="1">
      <alignment horizontal="center" vertical="center"/>
    </xf>
    <xf numFmtId="41" fontId="27" fillId="36" borderId="6" xfId="4" applyNumberFormat="1" applyFont="1" applyFill="1" applyBorder="1" applyAlignment="1" applyProtection="1">
      <alignment horizontal="center" vertical="center"/>
      <protection locked="0"/>
    </xf>
    <xf numFmtId="41" fontId="33" fillId="36" borderId="40" xfId="54" applyFont="1" applyFill="1" applyBorder="1" applyAlignment="1">
      <alignment horizontal="center" vertical="center"/>
    </xf>
    <xf numFmtId="0" fontId="0" fillId="36" borderId="1" xfId="0" applyFill="1" applyBorder="1"/>
    <xf numFmtId="41" fontId="37" fillId="36" borderId="1" xfId="51" applyFont="1" applyFill="1" applyBorder="1" applyAlignment="1">
      <alignment horizontal="center" vertical="center" wrapText="1"/>
    </xf>
    <xf numFmtId="41" fontId="33" fillId="37" borderId="40" xfId="54" applyFont="1" applyFill="1" applyBorder="1" applyAlignment="1">
      <alignment horizontal="center" vertical="center"/>
    </xf>
    <xf numFmtId="41" fontId="87" fillId="37" borderId="1" xfId="54" applyFont="1" applyFill="1" applyBorder="1" applyAlignment="1">
      <alignment horizontal="center" vertical="center"/>
    </xf>
    <xf numFmtId="20" fontId="84" fillId="37" borderId="1" xfId="0" applyNumberFormat="1" applyFont="1" applyFill="1" applyBorder="1" applyAlignment="1" applyProtection="1">
      <alignment horizontal="center" vertical="center"/>
      <protection locked="0"/>
    </xf>
    <xf numFmtId="0" fontId="0" fillId="37" borderId="1" xfId="0" applyFill="1" applyBorder="1" applyAlignment="1" applyProtection="1">
      <alignment horizontal="center" vertical="center"/>
      <protection locked="0"/>
    </xf>
    <xf numFmtId="0" fontId="0" fillId="37" borderId="1" xfId="0" applyFill="1" applyBorder="1" applyAlignment="1" applyProtection="1">
      <alignment horizontal="center" vertical="center"/>
      <protection hidden="1"/>
    </xf>
    <xf numFmtId="41" fontId="3" fillId="37" borderId="1" xfId="54" applyFont="1" applyFill="1" applyBorder="1" applyAlignment="1">
      <alignment horizontal="center" vertical="center"/>
    </xf>
    <xf numFmtId="0" fontId="33" fillId="0" borderId="0" xfId="0" applyFont="1" applyAlignment="1">
      <alignment horizontal="left" vertical="center"/>
    </xf>
    <xf numFmtId="41" fontId="33" fillId="37" borderId="54" xfId="54" applyFont="1" applyFill="1" applyBorder="1" applyAlignment="1">
      <alignment horizontal="center" vertical="center"/>
    </xf>
    <xf numFmtId="0" fontId="85" fillId="37" borderId="40" xfId="0" applyFont="1" applyFill="1" applyBorder="1" applyAlignment="1">
      <alignment horizontal="center" vertical="center" wrapText="1"/>
    </xf>
    <xf numFmtId="0" fontId="85" fillId="2" borderId="40" xfId="0" applyFont="1" applyFill="1" applyBorder="1" applyAlignment="1">
      <alignment horizontal="center" vertical="center" wrapText="1"/>
    </xf>
    <xf numFmtId="0" fontId="85" fillId="36" borderId="40" xfId="0" applyFont="1" applyFill="1" applyBorder="1" applyAlignment="1">
      <alignment horizontal="center" vertical="center" wrapText="1"/>
    </xf>
    <xf numFmtId="0" fontId="85" fillId="36" borderId="109" xfId="0" applyFont="1" applyFill="1" applyBorder="1" applyAlignment="1">
      <alignment horizontal="center" vertical="center" wrapText="1"/>
    </xf>
    <xf numFmtId="41" fontId="87" fillId="37" borderId="17" xfId="54" applyFont="1" applyFill="1" applyBorder="1" applyAlignment="1">
      <alignment horizontal="center" vertical="center"/>
    </xf>
    <xf numFmtId="41" fontId="0" fillId="36" borderId="18" xfId="0" applyNumberFormat="1" applyFill="1" applyBorder="1"/>
    <xf numFmtId="1" fontId="37" fillId="37" borderId="17" xfId="53" applyNumberFormat="1" applyFont="1" applyFill="1" applyBorder="1" applyAlignment="1" applyProtection="1">
      <alignment horizontal="center" vertical="center" wrapText="1"/>
      <protection locked="0"/>
    </xf>
    <xf numFmtId="1" fontId="37" fillId="37" borderId="110" xfId="53" applyNumberFormat="1" applyFont="1" applyFill="1" applyBorder="1" applyAlignment="1" applyProtection="1">
      <alignment horizontal="center" vertical="center" wrapText="1"/>
      <protection locked="0"/>
    </xf>
    <xf numFmtId="41" fontId="87" fillId="37" borderId="111" xfId="54" applyFont="1" applyFill="1" applyBorder="1" applyAlignment="1">
      <alignment horizontal="center" vertical="center"/>
    </xf>
    <xf numFmtId="41" fontId="3" fillId="37" borderId="111" xfId="54" applyFont="1" applyFill="1" applyBorder="1" applyAlignment="1">
      <alignment horizontal="center" vertical="center"/>
    </xf>
    <xf numFmtId="0" fontId="0" fillId="37" borderId="111" xfId="0" applyFill="1" applyBorder="1" applyAlignment="1" applyProtection="1">
      <alignment horizontal="center" vertical="center"/>
      <protection locked="0"/>
    </xf>
    <xf numFmtId="0" fontId="0" fillId="37" borderId="111" xfId="0" applyFill="1" applyBorder="1" applyAlignment="1" applyProtection="1">
      <alignment horizontal="center" vertical="center"/>
      <protection hidden="1"/>
    </xf>
    <xf numFmtId="0" fontId="0" fillId="2" borderId="111" xfId="0" applyFill="1" applyBorder="1" applyAlignment="1" applyProtection="1">
      <alignment horizontal="center" vertical="center"/>
      <protection hidden="1"/>
    </xf>
    <xf numFmtId="0" fontId="0" fillId="36" borderId="111" xfId="0" applyFill="1" applyBorder="1"/>
    <xf numFmtId="41" fontId="37" fillId="36" borderId="111" xfId="51" applyFont="1" applyFill="1" applyBorder="1" applyAlignment="1">
      <alignment horizontal="center" vertical="center" wrapText="1"/>
    </xf>
    <xf numFmtId="41" fontId="0" fillId="36" borderId="112" xfId="0" applyNumberFormat="1" applyFill="1" applyBorder="1"/>
    <xf numFmtId="41" fontId="45" fillId="37" borderId="1" xfId="53" applyNumberFormat="1" applyFont="1" applyFill="1" applyBorder="1" applyAlignment="1" applyProtection="1">
      <alignment horizontal="center" vertical="center" wrapText="1"/>
      <protection locked="0"/>
    </xf>
    <xf numFmtId="0" fontId="81" fillId="44" borderId="0" xfId="0" applyFont="1" applyFill="1" applyAlignment="1" applyProtection="1">
      <alignment horizontal="center" vertical="center"/>
      <protection locked="0"/>
    </xf>
    <xf numFmtId="41" fontId="33" fillId="0" borderId="1" xfId="51" applyFont="1" applyBorder="1" applyAlignment="1" applyProtection="1">
      <alignment horizontal="center"/>
      <protection locked="0"/>
    </xf>
    <xf numFmtId="0" fontId="0" fillId="0" borderId="0" xfId="0" applyAlignment="1" applyProtection="1">
      <alignment horizontal="center"/>
      <protection locked="0"/>
    </xf>
    <xf numFmtId="0" fontId="0" fillId="0" borderId="0" xfId="0" applyProtection="1">
      <protection locked="0"/>
    </xf>
    <xf numFmtId="0" fontId="33" fillId="2" borderId="54" xfId="53" applyFont="1" applyFill="1" applyBorder="1" applyAlignment="1" applyProtection="1">
      <alignment horizontal="center" vertical="center"/>
      <protection locked="0"/>
    </xf>
    <xf numFmtId="41" fontId="33" fillId="2" borderId="40" xfId="54" applyFont="1" applyFill="1" applyBorder="1" applyAlignment="1" applyProtection="1">
      <alignment horizontal="center" vertical="center"/>
      <protection locked="0"/>
    </xf>
    <xf numFmtId="0" fontId="33" fillId="37" borderId="40" xfId="53" applyFont="1" applyFill="1" applyBorder="1" applyAlignment="1" applyProtection="1">
      <alignment horizontal="center" vertical="center"/>
      <protection locked="0"/>
    </xf>
    <xf numFmtId="0" fontId="33" fillId="2" borderId="40" xfId="53" applyFont="1" applyFill="1" applyBorder="1" applyAlignment="1" applyProtection="1">
      <alignment horizontal="center" vertical="center"/>
      <protection locked="0"/>
    </xf>
    <xf numFmtId="0" fontId="33" fillId="41" borderId="40" xfId="53" applyFont="1" applyFill="1" applyBorder="1" applyAlignment="1" applyProtection="1">
      <alignment horizontal="center" vertical="center"/>
      <protection locked="0"/>
    </xf>
    <xf numFmtId="0" fontId="33" fillId="41" borderId="53" xfId="53" applyFont="1" applyFill="1" applyBorder="1" applyAlignment="1" applyProtection="1">
      <alignment horizontal="center" vertical="center"/>
      <protection locked="0"/>
    </xf>
    <xf numFmtId="41" fontId="33" fillId="0" borderId="1" xfId="51" applyFont="1" applyBorder="1" applyAlignment="1" applyProtection="1">
      <alignment horizontal="center" vertical="center"/>
      <protection locked="0"/>
    </xf>
    <xf numFmtId="0" fontId="3" fillId="0" borderId="0" xfId="53" applyFont="1" applyAlignment="1" applyProtection="1">
      <alignment horizontal="center" vertical="center"/>
      <protection locked="0"/>
    </xf>
    <xf numFmtId="0" fontId="81" fillId="0" borderId="17" xfId="53" applyFont="1" applyBorder="1" applyAlignment="1" applyProtection="1">
      <alignment horizontal="center" vertical="center"/>
      <protection locked="0"/>
    </xf>
    <xf numFmtId="41" fontId="87" fillId="2" borderId="1" xfId="54" applyFont="1" applyFill="1" applyBorder="1" applyAlignment="1" applyProtection="1">
      <alignment horizontal="center" vertical="center"/>
      <protection locked="0"/>
    </xf>
    <xf numFmtId="186" fontId="87" fillId="2" borderId="1" xfId="54" applyNumberFormat="1" applyFont="1" applyFill="1" applyBorder="1" applyAlignment="1" applyProtection="1">
      <alignment horizontal="center" vertical="center"/>
      <protection locked="0"/>
    </xf>
    <xf numFmtId="14" fontId="87" fillId="2" borderId="1" xfId="54" applyNumberFormat="1" applyFont="1" applyFill="1" applyBorder="1" applyAlignment="1" applyProtection="1">
      <alignment horizontal="center" vertical="center"/>
      <protection locked="0"/>
    </xf>
    <xf numFmtId="41" fontId="90" fillId="2" borderId="46" xfId="70" applyNumberFormat="1" applyFont="1" applyFill="1" applyBorder="1" applyAlignment="1" applyProtection="1">
      <alignment horizontal="center" vertical="center" shrinkToFit="1"/>
      <protection locked="0"/>
    </xf>
    <xf numFmtId="181" fontId="45" fillId="41" borderId="1" xfId="53" applyNumberFormat="1" applyFont="1" applyFill="1" applyBorder="1" applyAlignment="1" applyProtection="1">
      <alignment horizontal="center" vertical="center" wrapText="1"/>
      <protection locked="0"/>
    </xf>
    <xf numFmtId="41" fontId="91" fillId="41" borderId="14" xfId="53" applyNumberFormat="1" applyFont="1" applyFill="1" applyBorder="1" applyAlignment="1" applyProtection="1">
      <alignment horizontal="center" vertical="center"/>
      <protection locked="0"/>
    </xf>
    <xf numFmtId="0" fontId="33" fillId="0" borderId="17" xfId="53" applyFont="1" applyBorder="1" applyAlignment="1" applyProtection="1">
      <alignment horizontal="center" vertical="center"/>
      <protection locked="0"/>
    </xf>
    <xf numFmtId="186" fontId="3" fillId="2" borderId="1" xfId="54" applyNumberFormat="1" applyFont="1" applyFill="1" applyBorder="1" applyAlignment="1" applyProtection="1">
      <alignment horizontal="center" vertical="center"/>
      <protection locked="0"/>
    </xf>
    <xf numFmtId="41" fontId="3" fillId="2" borderId="1" xfId="54" applyFont="1" applyFill="1" applyBorder="1" applyAlignment="1" applyProtection="1">
      <alignment horizontal="center" vertical="center"/>
      <protection locked="0"/>
    </xf>
    <xf numFmtId="43" fontId="3" fillId="0" borderId="0" xfId="53" applyNumberFormat="1" applyFont="1" applyAlignment="1" applyProtection="1">
      <alignment horizontal="center" vertical="center"/>
      <protection locked="0"/>
    </xf>
    <xf numFmtId="0" fontId="3" fillId="2" borderId="0" xfId="53" applyFont="1" applyFill="1" applyAlignment="1" applyProtection="1">
      <alignment horizontal="center" vertical="center"/>
      <protection locked="0"/>
    </xf>
    <xf numFmtId="41" fontId="3" fillId="0" borderId="0" xfId="51" applyFont="1" applyAlignment="1" applyProtection="1">
      <alignment horizontal="center" vertical="center"/>
      <protection locked="0"/>
    </xf>
    <xf numFmtId="0" fontId="3" fillId="0" borderId="0" xfId="53" applyFont="1" applyAlignment="1" applyProtection="1">
      <alignment horizontal="center" vertical="center"/>
      <protection hidden="1"/>
    </xf>
    <xf numFmtId="0" fontId="3" fillId="0" borderId="0" xfId="53" applyFont="1" applyAlignment="1" applyProtection="1">
      <alignment horizontal="center" vertical="center"/>
      <protection locked="0" hidden="1"/>
    </xf>
    <xf numFmtId="41" fontId="33" fillId="41" borderId="40" xfId="54" applyFont="1" applyFill="1" applyBorder="1" applyAlignment="1" applyProtection="1">
      <alignment horizontal="center" vertical="center"/>
      <protection hidden="1"/>
    </xf>
    <xf numFmtId="190" fontId="87" fillId="41" borderId="1" xfId="54" applyNumberFormat="1" applyFont="1" applyFill="1" applyBorder="1" applyAlignment="1" applyProtection="1">
      <alignment horizontal="center" vertical="center"/>
      <protection hidden="1"/>
    </xf>
    <xf numFmtId="41" fontId="33" fillId="37" borderId="40" xfId="54" applyFont="1" applyFill="1" applyBorder="1" applyAlignment="1" applyProtection="1">
      <alignment horizontal="center" vertical="center" wrapText="1"/>
      <protection hidden="1"/>
    </xf>
    <xf numFmtId="41" fontId="33" fillId="37" borderId="40" xfId="54" applyFont="1" applyFill="1" applyBorder="1" applyAlignment="1" applyProtection="1">
      <alignment horizontal="center" vertical="center"/>
      <protection hidden="1"/>
    </xf>
    <xf numFmtId="0" fontId="33" fillId="37" borderId="40" xfId="53" applyFont="1" applyFill="1" applyBorder="1" applyAlignment="1" applyProtection="1">
      <alignment horizontal="center" vertical="center"/>
      <protection hidden="1"/>
    </xf>
    <xf numFmtId="0" fontId="33" fillId="37" borderId="40" xfId="53" applyFont="1" applyFill="1" applyBorder="1" applyAlignment="1" applyProtection="1">
      <alignment horizontal="center" vertical="center" wrapText="1"/>
      <protection hidden="1"/>
    </xf>
    <xf numFmtId="41" fontId="87" fillId="37" borderId="1" xfId="54" applyFont="1" applyFill="1" applyBorder="1" applyAlignment="1" applyProtection="1">
      <alignment horizontal="center" vertical="center"/>
      <protection hidden="1"/>
    </xf>
    <xf numFmtId="41" fontId="37" fillId="37" borderId="1" xfId="53" applyNumberFormat="1" applyFont="1" applyFill="1" applyBorder="1" applyAlignment="1" applyProtection="1">
      <alignment horizontal="center" vertical="center" wrapText="1"/>
      <protection hidden="1"/>
    </xf>
    <xf numFmtId="180" fontId="37" fillId="37" borderId="14" xfId="53" applyNumberFormat="1" applyFont="1" applyFill="1" applyBorder="1" applyAlignment="1" applyProtection="1">
      <alignment horizontal="center" vertical="center" wrapText="1"/>
      <protection hidden="1"/>
    </xf>
    <xf numFmtId="185" fontId="45" fillId="37" borderId="1" xfId="0" applyNumberFormat="1" applyFont="1" applyFill="1" applyBorder="1" applyAlignment="1" applyProtection="1">
      <alignment horizontal="center" vertical="center" wrapText="1"/>
      <protection hidden="1"/>
    </xf>
    <xf numFmtId="191" fontId="88" fillId="37" borderId="1" xfId="53" applyNumberFormat="1" applyFont="1" applyFill="1" applyBorder="1" applyAlignment="1" applyProtection="1">
      <alignment horizontal="center" vertical="center" wrapText="1"/>
      <protection hidden="1"/>
    </xf>
    <xf numFmtId="180" fontId="37" fillId="37" borderId="1" xfId="53" applyNumberFormat="1" applyFont="1" applyFill="1" applyBorder="1" applyAlignment="1" applyProtection="1">
      <alignment horizontal="center" vertical="center" wrapText="1"/>
      <protection hidden="1"/>
    </xf>
    <xf numFmtId="41" fontId="45" fillId="37" borderId="1" xfId="53" applyNumberFormat="1" applyFont="1" applyFill="1" applyBorder="1" applyAlignment="1" applyProtection="1">
      <alignment horizontal="center" vertical="center" wrapText="1"/>
      <protection hidden="1"/>
    </xf>
    <xf numFmtId="180" fontId="45" fillId="37" borderId="1" xfId="53" applyNumberFormat="1" applyFont="1" applyFill="1" applyBorder="1" applyAlignment="1" applyProtection="1">
      <alignment horizontal="center" vertical="center" wrapText="1"/>
      <protection hidden="1"/>
    </xf>
    <xf numFmtId="0" fontId="33" fillId="2" borderId="40" xfId="53" applyFont="1" applyFill="1" applyBorder="1" applyAlignment="1" applyProtection="1">
      <alignment horizontal="center" vertical="center"/>
      <protection hidden="1"/>
    </xf>
    <xf numFmtId="41" fontId="45" fillId="2" borderId="1" xfId="53" applyNumberFormat="1" applyFont="1" applyFill="1" applyBorder="1" applyAlignment="1" applyProtection="1">
      <alignment horizontal="center" vertical="center" wrapText="1"/>
      <protection hidden="1"/>
    </xf>
    <xf numFmtId="0" fontId="0" fillId="45" borderId="24" xfId="0" applyFill="1" applyBorder="1" applyAlignment="1" applyProtection="1">
      <alignment vertical="center"/>
      <protection locked="0"/>
    </xf>
    <xf numFmtId="41" fontId="27" fillId="0" borderId="0" xfId="51" applyFont="1" applyAlignment="1" applyProtection="1">
      <alignment horizontal="center" vertical="center"/>
      <protection locked="0"/>
    </xf>
    <xf numFmtId="0" fontId="27" fillId="2" borderId="114" xfId="4" applyFont="1" applyFill="1" applyBorder="1" applyAlignment="1">
      <alignment horizontal="center" vertical="center"/>
    </xf>
    <xf numFmtId="1" fontId="29" fillId="2" borderId="115" xfId="4" applyNumberFormat="1" applyFont="1" applyFill="1" applyBorder="1" applyAlignment="1">
      <alignment horizontal="center" vertical="center"/>
    </xf>
    <xf numFmtId="186" fontId="29" fillId="2" borderId="115" xfId="4" applyNumberFormat="1" applyFont="1" applyFill="1" applyBorder="1" applyAlignment="1">
      <alignment horizontal="center" vertical="center"/>
    </xf>
    <xf numFmtId="14" fontId="29" fillId="2" borderId="115" xfId="4" applyNumberFormat="1" applyFont="1" applyFill="1" applyBorder="1" applyAlignment="1">
      <alignment horizontal="center" vertical="center"/>
    </xf>
    <xf numFmtId="179" fontId="27" fillId="2" borderId="115" xfId="4" applyNumberFormat="1" applyFont="1" applyFill="1" applyBorder="1" applyAlignment="1">
      <alignment horizontal="center" vertical="center"/>
    </xf>
    <xf numFmtId="3" fontId="29" fillId="2" borderId="115" xfId="5" applyNumberFormat="1" applyFont="1" applyFill="1" applyBorder="1" applyAlignment="1" applyProtection="1">
      <alignment horizontal="right" vertical="center"/>
    </xf>
    <xf numFmtId="3" fontId="27" fillId="2" borderId="115" xfId="4" applyNumberFormat="1" applyFont="1" applyFill="1" applyBorder="1" applyAlignment="1">
      <alignment horizontal="center" vertical="center"/>
    </xf>
    <xf numFmtId="41" fontId="27" fillId="2" borderId="115" xfId="4" applyNumberFormat="1" applyFont="1" applyFill="1" applyBorder="1" applyAlignment="1">
      <alignment horizontal="center" vertical="center"/>
    </xf>
    <xf numFmtId="41" fontId="28" fillId="2" borderId="115" xfId="5" applyFont="1" applyFill="1" applyBorder="1" applyAlignment="1" applyProtection="1">
      <alignment horizontal="center" vertical="center"/>
    </xf>
    <xf numFmtId="41" fontId="27" fillId="36" borderId="115" xfId="4" applyNumberFormat="1" applyFont="1" applyFill="1" applyBorder="1" applyAlignment="1" applyProtection="1">
      <alignment horizontal="center" vertical="center"/>
      <protection locked="0"/>
    </xf>
    <xf numFmtId="41" fontId="27" fillId="2" borderId="115" xfId="4" applyNumberFormat="1" applyFont="1" applyFill="1" applyBorder="1" applyAlignment="1" applyProtection="1">
      <alignment horizontal="center" vertical="center"/>
      <protection locked="0"/>
    </xf>
    <xf numFmtId="41" fontId="27" fillId="2" borderId="115" xfId="4" applyNumberFormat="1" applyFont="1" applyFill="1" applyBorder="1" applyAlignment="1" applyProtection="1">
      <alignment vertical="center"/>
      <protection locked="0"/>
    </xf>
    <xf numFmtId="41" fontId="27" fillId="2" borderId="115" xfId="4" applyNumberFormat="1" applyFont="1" applyFill="1" applyBorder="1" applyAlignment="1">
      <alignment vertical="center"/>
    </xf>
    <xf numFmtId="41" fontId="28" fillId="2" borderId="116" xfId="4" applyNumberFormat="1" applyFont="1" applyFill="1" applyBorder="1" applyAlignment="1">
      <alignment vertical="center"/>
    </xf>
    <xf numFmtId="41" fontId="27" fillId="0" borderId="117" xfId="4" applyNumberFormat="1" applyFont="1" applyBorder="1" applyAlignment="1" applyProtection="1">
      <alignment vertical="center"/>
      <protection locked="0"/>
    </xf>
    <xf numFmtId="43" fontId="0" fillId="2" borderId="111" xfId="0" applyNumberFormat="1" applyFill="1" applyBorder="1" applyAlignment="1" applyProtection="1">
      <alignment horizontal="center" vertical="center"/>
      <protection hidden="1"/>
    </xf>
    <xf numFmtId="181" fontId="0" fillId="2" borderId="1" xfId="0" applyNumberFormat="1" applyFill="1" applyBorder="1" applyAlignment="1" applyProtection="1">
      <alignment horizontal="center" vertical="center"/>
      <protection hidden="1"/>
    </xf>
    <xf numFmtId="0" fontId="85" fillId="2" borderId="109" xfId="0" applyFont="1" applyFill="1" applyBorder="1" applyAlignment="1">
      <alignment horizontal="center" vertical="center" wrapText="1"/>
    </xf>
    <xf numFmtId="43" fontId="0" fillId="2" borderId="18" xfId="0" applyNumberFormat="1" applyFill="1" applyBorder="1" applyAlignment="1" applyProtection="1">
      <alignment horizontal="center" vertical="center"/>
      <protection hidden="1"/>
    </xf>
    <xf numFmtId="43" fontId="0" fillId="2" borderId="112" xfId="0" applyNumberFormat="1" applyFill="1" applyBorder="1" applyAlignment="1" applyProtection="1">
      <alignment horizontal="center" vertical="center"/>
      <protection hidden="1"/>
    </xf>
    <xf numFmtId="183" fontId="37" fillId="37" borderId="1" xfId="53" applyNumberFormat="1" applyFont="1" applyFill="1" applyBorder="1" applyAlignment="1" applyProtection="1">
      <alignment horizontal="center" vertical="center" wrapText="1"/>
      <protection hidden="1"/>
    </xf>
    <xf numFmtId="0" fontId="28" fillId="38" borderId="41" xfId="4" applyFont="1" applyFill="1" applyBorder="1" applyAlignment="1" applyProtection="1">
      <alignment horizontal="center" vertical="center"/>
      <protection locked="0"/>
    </xf>
    <xf numFmtId="188" fontId="28" fillId="38" borderId="41" xfId="4" applyNumberFormat="1" applyFont="1" applyFill="1" applyBorder="1" applyAlignment="1" applyProtection="1">
      <alignment horizontal="center" vertical="center"/>
      <protection locked="0"/>
    </xf>
    <xf numFmtId="43" fontId="0" fillId="36" borderId="1" xfId="0" applyNumberFormat="1" applyFill="1" applyBorder="1" applyAlignment="1" applyProtection="1">
      <alignment horizontal="center" vertical="center"/>
      <protection hidden="1"/>
    </xf>
    <xf numFmtId="43" fontId="0" fillId="36" borderId="111" xfId="0" applyNumberFormat="1" applyFill="1" applyBorder="1" applyAlignment="1" applyProtection="1">
      <alignment horizontal="center" vertical="center"/>
      <protection hidden="1"/>
    </xf>
    <xf numFmtId="195" fontId="52" fillId="0" borderId="91" xfId="4" applyNumberFormat="1" applyFont="1" applyBorder="1" applyAlignment="1">
      <alignment vertical="center"/>
    </xf>
    <xf numFmtId="181" fontId="3" fillId="0" borderId="0" xfId="53" applyNumberFormat="1" applyFont="1" applyAlignment="1" applyProtection="1">
      <alignment horizontal="left" vertical="center" indent="1"/>
      <protection locked="0"/>
    </xf>
    <xf numFmtId="181" fontId="3" fillId="0" borderId="0" xfId="53" applyNumberFormat="1" applyFont="1" applyAlignment="1" applyProtection="1">
      <alignment horizontal="center" vertical="center"/>
      <protection locked="0"/>
    </xf>
    <xf numFmtId="0" fontId="83" fillId="46" borderId="10"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indent="1"/>
    </xf>
    <xf numFmtId="0" fontId="83" fillId="46" borderId="0" xfId="0" applyFont="1" applyFill="1" applyAlignment="1">
      <alignment horizontal="center" vertical="center"/>
    </xf>
    <xf numFmtId="41" fontId="33" fillId="37" borderId="53" xfId="54" applyFont="1" applyFill="1" applyBorder="1" applyAlignment="1" applyProtection="1">
      <alignment horizontal="center" vertical="center"/>
      <protection hidden="1"/>
    </xf>
    <xf numFmtId="41" fontId="33" fillId="37" borderId="52" xfId="54" applyFont="1" applyFill="1" applyBorder="1" applyAlignment="1" applyProtection="1">
      <alignment horizontal="center" vertical="center"/>
      <protection hidden="1"/>
    </xf>
    <xf numFmtId="0" fontId="81" fillId="44" borderId="24" xfId="0" applyFont="1" applyFill="1" applyBorder="1" applyAlignment="1" applyProtection="1">
      <alignment horizontal="center" vertical="center"/>
      <protection locked="0"/>
    </xf>
    <xf numFmtId="0" fontId="0" fillId="45" borderId="24" xfId="0" applyFill="1" applyBorder="1" applyAlignment="1" applyProtection="1">
      <alignment horizontal="center" vertical="center"/>
      <protection locked="0"/>
    </xf>
    <xf numFmtId="0" fontId="0" fillId="45" borderId="113" xfId="0" applyFill="1" applyBorder="1" applyAlignment="1" applyProtection="1">
      <alignment horizontal="center" vertical="center"/>
      <protection locked="0"/>
    </xf>
    <xf numFmtId="0" fontId="33" fillId="44" borderId="24" xfId="0" applyFont="1" applyFill="1" applyBorder="1" applyAlignment="1" applyProtection="1">
      <alignment horizontal="center" vertical="center"/>
      <protection locked="0"/>
    </xf>
    <xf numFmtId="41" fontId="27" fillId="0" borderId="118" xfId="4" applyNumberFormat="1" applyFont="1" applyBorder="1" applyAlignment="1" applyProtection="1">
      <alignment horizontal="center" vertical="center"/>
      <protection locked="0"/>
    </xf>
    <xf numFmtId="0" fontId="33" fillId="0" borderId="41" xfId="0" applyFont="1" applyBorder="1" applyAlignment="1" applyProtection="1">
      <alignment horizontal="center" vertical="center"/>
      <protection locked="0"/>
    </xf>
    <xf numFmtId="0" fontId="25" fillId="0" borderId="42" xfId="4" applyFont="1" applyBorder="1" applyAlignment="1" applyProtection="1">
      <alignment horizontal="center" vertical="center"/>
      <protection locked="0"/>
    </xf>
    <xf numFmtId="0" fontId="25" fillId="0" borderId="43" xfId="4" applyFont="1" applyBorder="1" applyAlignment="1" applyProtection="1">
      <alignment horizontal="center" vertical="center"/>
      <protection locked="0"/>
    </xf>
    <xf numFmtId="0" fontId="25" fillId="0" borderId="44" xfId="4" applyFont="1" applyBorder="1" applyAlignment="1" applyProtection="1">
      <alignment horizontal="center" vertical="center"/>
      <protection locked="0"/>
    </xf>
    <xf numFmtId="0" fontId="92" fillId="39" borderId="29" xfId="4" applyFont="1" applyFill="1" applyBorder="1" applyAlignment="1" applyProtection="1">
      <alignment horizontal="center" vertical="center"/>
      <protection locked="0"/>
    </xf>
    <xf numFmtId="0" fontId="38" fillId="39" borderId="45" xfId="4" applyFont="1" applyFill="1" applyBorder="1" applyAlignment="1" applyProtection="1">
      <alignment horizontal="center" vertical="center"/>
      <protection locked="0"/>
    </xf>
    <xf numFmtId="0" fontId="38" fillId="39" borderId="30" xfId="4" applyFont="1" applyFill="1" applyBorder="1" applyAlignment="1" applyProtection="1">
      <alignment horizontal="center" vertical="center"/>
      <protection locked="0"/>
    </xf>
    <xf numFmtId="188" fontId="26" fillId="2" borderId="0" xfId="4" applyNumberFormat="1" applyFont="1" applyFill="1" applyAlignment="1" applyProtection="1">
      <alignment horizontal="center" vertical="center"/>
      <protection locked="0"/>
    </xf>
    <xf numFmtId="188" fontId="26" fillId="2" borderId="49" xfId="4" applyNumberFormat="1" applyFont="1" applyFill="1" applyBorder="1" applyAlignment="1" applyProtection="1">
      <alignment horizontal="center" vertical="center"/>
      <protection locked="0"/>
    </xf>
    <xf numFmtId="14" fontId="25" fillId="2" borderId="41" xfId="4" applyNumberFormat="1" applyFont="1" applyFill="1" applyBorder="1" applyAlignment="1" applyProtection="1">
      <alignment horizontal="center" vertical="center"/>
      <protection locked="0"/>
    </xf>
    <xf numFmtId="0" fontId="38" fillId="3" borderId="27" xfId="4" applyFont="1" applyFill="1" applyBorder="1" applyAlignment="1" applyProtection="1">
      <alignment horizontal="center" vertical="center"/>
      <protection locked="0"/>
    </xf>
    <xf numFmtId="0" fontId="38" fillId="3" borderId="51" xfId="4" applyFont="1" applyFill="1" applyBorder="1" applyAlignment="1" applyProtection="1">
      <alignment horizontal="center" vertical="center"/>
      <protection locked="0"/>
    </xf>
    <xf numFmtId="0" fontId="38" fillId="3" borderId="28" xfId="4" applyFont="1" applyFill="1" applyBorder="1" applyAlignment="1" applyProtection="1">
      <alignment horizontal="center" vertical="center"/>
      <protection locked="0"/>
    </xf>
    <xf numFmtId="0" fontId="44" fillId="37" borderId="57" xfId="4" applyFont="1" applyFill="1" applyBorder="1" applyAlignment="1" applyProtection="1">
      <alignment horizontal="center" vertical="center"/>
      <protection locked="0"/>
    </xf>
    <xf numFmtId="0" fontId="44" fillId="37" borderId="58" xfId="4" applyFont="1" applyFill="1" applyBorder="1" applyAlignment="1" applyProtection="1">
      <alignment horizontal="center" vertical="center"/>
      <protection locked="0"/>
    </xf>
    <xf numFmtId="0" fontId="44" fillId="37" borderId="59" xfId="4" applyFont="1" applyFill="1" applyBorder="1" applyAlignment="1" applyProtection="1">
      <alignment horizontal="center" vertical="center"/>
      <protection locked="0"/>
    </xf>
    <xf numFmtId="0" fontId="48" fillId="0" borderId="57" xfId="4" applyFont="1" applyBorder="1" applyAlignment="1">
      <alignment horizontal="center" vertical="center"/>
    </xf>
    <xf numFmtId="0" fontId="48" fillId="0" borderId="58" xfId="4" applyFont="1" applyBorder="1" applyAlignment="1">
      <alignment horizontal="center" vertical="center"/>
    </xf>
    <xf numFmtId="0" fontId="49" fillId="37" borderId="65" xfId="4" applyFont="1" applyFill="1" applyBorder="1" applyAlignment="1" applyProtection="1">
      <alignment horizontal="center" vertical="center" wrapText="1"/>
      <protection locked="0"/>
    </xf>
    <xf numFmtId="0" fontId="48" fillId="0" borderId="63" xfId="4" applyFont="1" applyBorder="1" applyAlignment="1">
      <alignment horizontal="center" vertical="center"/>
    </xf>
    <xf numFmtId="0" fontId="58" fillId="37" borderId="69" xfId="4" applyFont="1" applyFill="1" applyBorder="1" applyAlignment="1" applyProtection="1">
      <alignment horizontal="center" vertical="center" wrapText="1"/>
      <protection locked="0"/>
    </xf>
    <xf numFmtId="0" fontId="58" fillId="37" borderId="70" xfId="4" applyFont="1" applyFill="1" applyBorder="1" applyAlignment="1" applyProtection="1">
      <alignment horizontal="center" vertical="center" wrapText="1"/>
      <protection locked="0"/>
    </xf>
    <xf numFmtId="0" fontId="58" fillId="37" borderId="71" xfId="4" applyFont="1" applyFill="1" applyBorder="1" applyAlignment="1" applyProtection="1">
      <alignment horizontal="center" vertical="center" wrapText="1"/>
      <protection locked="0"/>
    </xf>
    <xf numFmtId="0" fontId="49" fillId="37" borderId="69" xfId="4" applyFont="1" applyFill="1" applyBorder="1" applyAlignment="1" applyProtection="1">
      <alignment horizontal="center" vertical="center"/>
      <protection locked="0"/>
    </xf>
    <xf numFmtId="0" fontId="49" fillId="37" borderId="70" xfId="4" applyFont="1" applyFill="1" applyBorder="1" applyAlignment="1" applyProtection="1">
      <alignment horizontal="center" vertical="center"/>
      <protection locked="0"/>
    </xf>
    <xf numFmtId="0" fontId="49" fillId="37" borderId="71" xfId="4" applyFont="1" applyFill="1" applyBorder="1" applyAlignment="1" applyProtection="1">
      <alignment horizontal="center" vertical="center"/>
      <protection locked="0"/>
    </xf>
    <xf numFmtId="0" fontId="51" fillId="0" borderId="66" xfId="4" applyFont="1" applyBorder="1" applyAlignment="1" applyProtection="1">
      <alignment horizontal="left" vertical="center" wrapText="1"/>
      <protection locked="0"/>
    </xf>
    <xf numFmtId="0" fontId="51" fillId="0" borderId="63" xfId="4" applyFont="1" applyBorder="1" applyAlignment="1" applyProtection="1">
      <alignment horizontal="left" vertical="center" wrapText="1"/>
      <protection locked="0"/>
    </xf>
    <xf numFmtId="0" fontId="51" fillId="0" borderId="64" xfId="4" applyFont="1" applyBorder="1" applyAlignment="1" applyProtection="1">
      <alignment horizontal="left" vertical="center" wrapText="1"/>
      <protection locked="0"/>
    </xf>
    <xf numFmtId="0" fontId="49" fillId="0" borderId="57" xfId="4" applyFont="1" applyBorder="1" applyAlignment="1" applyProtection="1">
      <alignment horizontal="center" vertical="center"/>
      <protection locked="0"/>
    </xf>
    <xf numFmtId="0" fontId="49" fillId="0" borderId="58" xfId="4" applyFont="1" applyBorder="1" applyAlignment="1" applyProtection="1">
      <alignment horizontal="center" vertical="center"/>
      <protection locked="0"/>
    </xf>
    <xf numFmtId="0" fontId="49" fillId="0" borderId="59" xfId="4" applyFont="1" applyBorder="1" applyAlignment="1" applyProtection="1">
      <alignment horizontal="center" vertical="center"/>
      <protection locked="0"/>
    </xf>
    <xf numFmtId="0" fontId="49" fillId="37" borderId="69" xfId="4" applyFont="1" applyFill="1" applyBorder="1" applyAlignment="1" applyProtection="1">
      <alignment horizontal="center" vertical="center" wrapText="1"/>
      <protection locked="0"/>
    </xf>
    <xf numFmtId="0" fontId="49" fillId="37" borderId="70" xfId="4" applyFont="1" applyFill="1" applyBorder="1" applyAlignment="1" applyProtection="1">
      <alignment horizontal="center" vertical="center" wrapText="1"/>
      <protection locked="0"/>
    </xf>
    <xf numFmtId="0" fontId="49" fillId="37" borderId="71" xfId="4" applyFont="1" applyFill="1" applyBorder="1" applyAlignment="1" applyProtection="1">
      <alignment horizontal="center" vertical="center" wrapText="1"/>
      <protection locked="0"/>
    </xf>
    <xf numFmtId="0" fontId="52" fillId="0" borderId="60" xfId="4" applyFont="1" applyBorder="1" applyAlignment="1" applyProtection="1">
      <alignment horizontal="left" vertical="center"/>
      <protection locked="0"/>
    </xf>
    <xf numFmtId="0" fontId="52" fillId="0" borderId="61" xfId="4" applyFont="1" applyBorder="1" applyAlignment="1" applyProtection="1">
      <alignment horizontal="left" vertical="center"/>
      <protection locked="0"/>
    </xf>
    <xf numFmtId="0" fontId="52" fillId="0" borderId="62" xfId="4" applyFont="1" applyBorder="1" applyAlignment="1" applyProtection="1">
      <alignment horizontal="left" vertical="center"/>
      <protection locked="0"/>
    </xf>
    <xf numFmtId="0" fontId="49" fillId="0" borderId="80" xfId="4" applyFont="1" applyBorder="1" applyAlignment="1" applyProtection="1">
      <alignment horizontal="center" vertical="center"/>
      <protection locked="0"/>
    </xf>
    <xf numFmtId="0" fontId="49" fillId="0" borderId="60" xfId="4" applyFont="1" applyBorder="1" applyAlignment="1" applyProtection="1">
      <alignment horizontal="center" vertical="center"/>
      <protection locked="0"/>
    </xf>
    <xf numFmtId="0" fontId="49" fillId="0" borderId="72" xfId="4" applyFont="1" applyBorder="1" applyAlignment="1">
      <alignment horizontal="center" vertical="center"/>
    </xf>
    <xf numFmtId="0" fontId="49" fillId="0" borderId="73" xfId="4" applyFont="1" applyBorder="1" applyAlignment="1">
      <alignment horizontal="center" vertical="center"/>
    </xf>
    <xf numFmtId="41" fontId="49" fillId="0" borderId="73" xfId="4" applyNumberFormat="1" applyFont="1" applyBorder="1" applyAlignment="1">
      <alignment horizontal="center" vertical="center"/>
    </xf>
    <xf numFmtId="41" fontId="49" fillId="0" borderId="73" xfId="4" applyNumberFormat="1" applyFont="1" applyBorder="1" applyAlignment="1">
      <alignment horizontal="left" vertical="center"/>
    </xf>
    <xf numFmtId="41" fontId="49" fillId="0" borderId="74" xfId="4" applyNumberFormat="1" applyFont="1" applyBorder="1" applyAlignment="1">
      <alignment horizontal="left" vertical="center"/>
    </xf>
    <xf numFmtId="0" fontId="49" fillId="0" borderId="75" xfId="4" applyFont="1" applyBorder="1" applyAlignment="1">
      <alignment horizontal="center" vertical="center"/>
    </xf>
    <xf numFmtId="0" fontId="49" fillId="0" borderId="76" xfId="4" applyFont="1" applyBorder="1" applyAlignment="1">
      <alignment horizontal="center" vertical="center"/>
    </xf>
    <xf numFmtId="186" fontId="49" fillId="0" borderId="76" xfId="4" applyNumberFormat="1" applyFont="1" applyBorder="1" applyAlignment="1">
      <alignment horizontal="center" vertical="center"/>
    </xf>
    <xf numFmtId="186" fontId="49" fillId="0" borderId="81" xfId="4" applyNumberFormat="1" applyFont="1" applyBorder="1" applyAlignment="1">
      <alignment horizontal="center" vertical="center"/>
    </xf>
    <xf numFmtId="0" fontId="49" fillId="0" borderId="66" xfId="4" applyFont="1" applyBorder="1" applyAlignment="1" applyProtection="1">
      <alignment horizontal="center" vertical="center"/>
      <protection locked="0"/>
    </xf>
    <xf numFmtId="0" fontId="49" fillId="0" borderId="67" xfId="4" applyFont="1" applyBorder="1" applyAlignment="1" applyProtection="1">
      <alignment horizontal="center" vertical="center"/>
      <protection locked="0"/>
    </xf>
    <xf numFmtId="0" fontId="49" fillId="0" borderId="73" xfId="4" applyFont="1" applyBorder="1" applyAlignment="1">
      <alignment horizontal="left" vertical="center"/>
    </xf>
    <xf numFmtId="0" fontId="49" fillId="0" borderId="74" xfId="4" applyFont="1" applyBorder="1" applyAlignment="1">
      <alignment horizontal="left" vertical="center"/>
    </xf>
    <xf numFmtId="0" fontId="49" fillId="2" borderId="77" xfId="4" applyFont="1" applyFill="1" applyBorder="1" applyAlignment="1">
      <alignment horizontal="center" vertical="center"/>
    </xf>
    <xf numFmtId="0" fontId="49" fillId="2" borderId="78" xfId="4" applyFont="1" applyFill="1" applyBorder="1" applyAlignment="1">
      <alignment horizontal="center" vertical="center"/>
    </xf>
    <xf numFmtId="0" fontId="49" fillId="2" borderId="79" xfId="4" applyFont="1" applyFill="1" applyBorder="1" applyAlignment="1">
      <alignment horizontal="center" vertical="center"/>
    </xf>
    <xf numFmtId="0" fontId="48" fillId="0" borderId="60" xfId="4" applyFont="1" applyBorder="1" applyAlignment="1">
      <alignment horizontal="center" vertical="center"/>
    </xf>
    <xf numFmtId="0" fontId="48" fillId="0" borderId="61" xfId="4" applyFont="1" applyBorder="1" applyAlignment="1">
      <alignment horizontal="center" vertical="center"/>
    </xf>
    <xf numFmtId="0" fontId="52" fillId="42" borderId="57" xfId="4" applyFont="1" applyFill="1" applyBorder="1" applyAlignment="1" applyProtection="1">
      <alignment horizontal="center" vertical="center"/>
      <protection locked="0"/>
    </xf>
    <xf numFmtId="0" fontId="65" fillId="0" borderId="58" xfId="4" applyFont="1" applyBorder="1" applyProtection="1">
      <protection locked="0"/>
    </xf>
    <xf numFmtId="0" fontId="65" fillId="0" borderId="82" xfId="4" applyFont="1" applyBorder="1" applyProtection="1">
      <protection locked="0"/>
    </xf>
    <xf numFmtId="0" fontId="52" fillId="42" borderId="83" xfId="4" applyFont="1" applyFill="1" applyBorder="1" applyAlignment="1" applyProtection="1">
      <alignment horizontal="center" vertical="center"/>
      <protection locked="0"/>
    </xf>
    <xf numFmtId="0" fontId="52" fillId="42" borderId="82" xfId="4" applyFont="1" applyFill="1" applyBorder="1" applyAlignment="1" applyProtection="1">
      <alignment horizontal="center" vertical="center"/>
      <protection locked="0"/>
    </xf>
    <xf numFmtId="0" fontId="52" fillId="42" borderId="84" xfId="4" applyFont="1" applyFill="1" applyBorder="1" applyAlignment="1" applyProtection="1">
      <alignment horizontal="center" vertical="center"/>
      <protection locked="0"/>
    </xf>
    <xf numFmtId="0" fontId="52" fillId="42" borderId="85" xfId="4" applyFont="1" applyFill="1" applyBorder="1" applyAlignment="1" applyProtection="1">
      <alignment horizontal="center" vertical="center"/>
      <protection locked="0"/>
    </xf>
    <xf numFmtId="0" fontId="52" fillId="42" borderId="86" xfId="4" applyFont="1" applyFill="1" applyBorder="1" applyAlignment="1" applyProtection="1">
      <alignment horizontal="center" vertical="center"/>
      <protection locked="0"/>
    </xf>
    <xf numFmtId="41" fontId="52" fillId="0" borderId="101" xfId="4" applyNumberFormat="1" applyFont="1" applyBorder="1" applyAlignment="1">
      <alignment horizontal="center" vertical="center"/>
    </xf>
    <xf numFmtId="41" fontId="52" fillId="0" borderId="102" xfId="4" applyNumberFormat="1" applyFont="1" applyBorder="1" applyAlignment="1">
      <alignment horizontal="center" vertical="center"/>
    </xf>
    <xf numFmtId="41" fontId="52" fillId="0" borderId="103" xfId="4" applyNumberFormat="1" applyFont="1" applyBorder="1" applyAlignment="1">
      <alignment horizontal="center" vertical="center"/>
    </xf>
    <xf numFmtId="41" fontId="52" fillId="0" borderId="90" xfId="4" applyNumberFormat="1" applyFont="1" applyBorder="1" applyAlignment="1">
      <alignment horizontal="center" vertical="center"/>
    </xf>
    <xf numFmtId="41" fontId="52" fillId="0" borderId="89" xfId="4" applyNumberFormat="1" applyFont="1" applyBorder="1" applyAlignment="1">
      <alignment horizontal="center" vertical="center"/>
    </xf>
    <xf numFmtId="41" fontId="52" fillId="0" borderId="87" xfId="4" applyNumberFormat="1" applyFont="1" applyBorder="1" applyAlignment="1">
      <alignment horizontal="center" vertical="center"/>
    </xf>
    <xf numFmtId="41" fontId="52" fillId="0" borderId="73" xfId="4" applyNumberFormat="1" applyFont="1" applyBorder="1" applyAlignment="1">
      <alignment horizontal="center" vertical="center"/>
    </xf>
    <xf numFmtId="41" fontId="52" fillId="0" borderId="74" xfId="4" applyNumberFormat="1" applyFont="1" applyBorder="1" applyAlignment="1">
      <alignment horizontal="center" vertical="center"/>
    </xf>
    <xf numFmtId="41" fontId="52" fillId="0" borderId="104" xfId="4" applyNumberFormat="1" applyFont="1" applyBorder="1" applyAlignment="1">
      <alignment horizontal="center" vertical="center"/>
    </xf>
    <xf numFmtId="41" fontId="52" fillId="0" borderId="15" xfId="4" applyNumberFormat="1" applyFont="1" applyBorder="1" applyAlignment="1">
      <alignment horizontal="center" vertical="center"/>
    </xf>
    <xf numFmtId="41" fontId="52" fillId="0" borderId="94" xfId="4" applyNumberFormat="1" applyFont="1" applyBorder="1" applyAlignment="1">
      <alignment horizontal="center" vertical="center"/>
    </xf>
    <xf numFmtId="41" fontId="52" fillId="0" borderId="15" xfId="4" applyNumberFormat="1" applyFont="1" applyBorder="1" applyAlignment="1">
      <alignment horizontal="left" vertical="center"/>
    </xf>
    <xf numFmtId="41" fontId="52" fillId="0" borderId="92" xfId="4" applyNumberFormat="1" applyFont="1" applyBorder="1" applyAlignment="1">
      <alignment horizontal="left" vertical="center"/>
    </xf>
    <xf numFmtId="41" fontId="52" fillId="0" borderId="13" xfId="4" applyNumberFormat="1" applyFont="1" applyBorder="1" applyAlignment="1">
      <alignment horizontal="center" vertical="center"/>
    </xf>
    <xf numFmtId="41" fontId="52" fillId="0" borderId="1" xfId="4" applyNumberFormat="1" applyFont="1" applyBorder="1" applyAlignment="1">
      <alignment horizontal="center" vertical="center"/>
    </xf>
    <xf numFmtId="41" fontId="52" fillId="0" borderId="93" xfId="4" applyNumberFormat="1" applyFont="1" applyBorder="1" applyAlignment="1">
      <alignment horizontal="center" vertical="center"/>
    </xf>
    <xf numFmtId="41" fontId="52" fillId="0" borderId="91" xfId="4" applyNumberFormat="1" applyFont="1" applyBorder="1" applyAlignment="1">
      <alignment horizontal="center" vertical="center"/>
    </xf>
    <xf numFmtId="41" fontId="52" fillId="0" borderId="88" xfId="4" applyNumberFormat="1" applyFont="1" applyBorder="1" applyAlignment="1">
      <alignment horizontal="center" vertical="center"/>
    </xf>
    <xf numFmtId="41" fontId="52" fillId="0" borderId="75" xfId="4" applyNumberFormat="1" applyFont="1" applyBorder="1" applyAlignment="1">
      <alignment horizontal="center" vertical="center"/>
    </xf>
    <xf numFmtId="41" fontId="52" fillId="0" borderId="76" xfId="4" applyNumberFormat="1" applyFont="1" applyBorder="1" applyAlignment="1">
      <alignment horizontal="center" vertical="center"/>
    </xf>
    <xf numFmtId="41" fontId="52" fillId="0" borderId="95" xfId="4" applyNumberFormat="1" applyFont="1" applyBorder="1" applyAlignment="1">
      <alignment horizontal="center" vertical="center"/>
    </xf>
    <xf numFmtId="41" fontId="52" fillId="0" borderId="96" xfId="4" applyNumberFormat="1" applyFont="1" applyBorder="1" applyAlignment="1">
      <alignment horizontal="center" vertical="center"/>
    </xf>
    <xf numFmtId="41" fontId="52" fillId="0" borderId="97" xfId="4" applyNumberFormat="1" applyFont="1" applyBorder="1" applyAlignment="1">
      <alignment horizontal="center" vertical="center"/>
    </xf>
    <xf numFmtId="41" fontId="52" fillId="0" borderId="81" xfId="4" applyNumberFormat="1" applyFont="1" applyBorder="1" applyAlignment="1">
      <alignment horizontal="center" vertical="center"/>
    </xf>
    <xf numFmtId="0" fontId="52" fillId="42" borderId="58" xfId="4" applyFont="1" applyFill="1" applyBorder="1" applyAlignment="1" applyProtection="1">
      <alignment horizontal="center" vertical="center"/>
      <protection locked="0"/>
    </xf>
    <xf numFmtId="41" fontId="52" fillId="0" borderId="58" xfId="4" applyNumberFormat="1" applyFont="1" applyBorder="1" applyAlignment="1">
      <alignment horizontal="center" vertical="center"/>
    </xf>
    <xf numFmtId="41" fontId="52" fillId="0" borderId="59" xfId="4" applyNumberFormat="1" applyFont="1" applyBorder="1" applyAlignment="1">
      <alignment horizontal="center" vertical="center"/>
    </xf>
    <xf numFmtId="0" fontId="52" fillId="0" borderId="66" xfId="4" applyFont="1" applyBorder="1" applyAlignment="1" applyProtection="1">
      <alignment horizontal="justify" vertical="center"/>
      <protection locked="0"/>
    </xf>
    <xf numFmtId="0" fontId="52" fillId="0" borderId="63" xfId="4" applyFont="1" applyBorder="1" applyAlignment="1" applyProtection="1">
      <alignment horizontal="justify" vertical="center"/>
      <protection locked="0"/>
    </xf>
    <xf numFmtId="0" fontId="49" fillId="0" borderId="98" xfId="4" applyFont="1" applyBorder="1" applyAlignment="1">
      <alignment horizontal="center" vertical="center"/>
    </xf>
    <xf numFmtId="0" fontId="49" fillId="0" borderId="55" xfId="4" applyFont="1" applyBorder="1" applyAlignment="1">
      <alignment horizontal="center" vertical="center"/>
    </xf>
    <xf numFmtId="0" fontId="49" fillId="0" borderId="99" xfId="4" applyFont="1" applyBorder="1" applyAlignment="1">
      <alignment horizontal="center" vertical="center"/>
    </xf>
    <xf numFmtId="0" fontId="49" fillId="0" borderId="20" xfId="4" applyFont="1" applyBorder="1" applyAlignment="1">
      <alignment horizontal="center" vertical="center"/>
    </xf>
    <xf numFmtId="0" fontId="49" fillId="0" borderId="100" xfId="4" applyFont="1" applyBorder="1" applyAlignment="1">
      <alignment horizontal="center" vertical="center"/>
    </xf>
    <xf numFmtId="0" fontId="52" fillId="0" borderId="0" xfId="4" applyFont="1" applyAlignment="1" applyProtection="1">
      <alignment horizontal="center" vertical="center"/>
      <protection locked="0"/>
    </xf>
    <xf numFmtId="41" fontId="52" fillId="0" borderId="0" xfId="4" applyNumberFormat="1" applyFont="1" applyAlignment="1" applyProtection="1">
      <alignment horizontal="center" vertical="center"/>
      <protection locked="0"/>
    </xf>
    <xf numFmtId="0" fontId="52" fillId="0" borderId="61" xfId="4" applyFont="1" applyBorder="1" applyAlignment="1" applyProtection="1">
      <alignment horizontal="center" vertical="center"/>
      <protection locked="0"/>
    </xf>
    <xf numFmtId="186" fontId="52" fillId="0" borderId="61" xfId="4" applyNumberFormat="1" applyFont="1" applyBorder="1" applyAlignment="1" applyProtection="1">
      <alignment horizontal="center" vertical="center"/>
      <protection locked="0"/>
    </xf>
    <xf numFmtId="0" fontId="74" fillId="0" borderId="66" xfId="4" applyFont="1" applyBorder="1" applyAlignment="1" applyProtection="1">
      <alignment horizontal="center" vertical="center"/>
      <protection locked="0"/>
    </xf>
    <xf numFmtId="0" fontId="74" fillId="0" borderId="63" xfId="4" applyFont="1" applyBorder="1" applyAlignment="1" applyProtection="1">
      <alignment horizontal="center" vertical="center"/>
      <protection locked="0"/>
    </xf>
    <xf numFmtId="0" fontId="74" fillId="0" borderId="64" xfId="4" applyFont="1" applyBorder="1" applyAlignment="1" applyProtection="1">
      <alignment horizontal="center" vertical="center"/>
      <protection locked="0"/>
    </xf>
    <xf numFmtId="0" fontId="72" fillId="0" borderId="57" xfId="4" applyFont="1" applyBorder="1" applyAlignment="1" applyProtection="1">
      <alignment horizontal="left" vertical="center"/>
      <protection locked="0"/>
    </xf>
    <xf numFmtId="0" fontId="72" fillId="0" borderId="58" xfId="4" applyFont="1" applyBorder="1" applyAlignment="1" applyProtection="1">
      <alignment horizontal="left" vertical="center"/>
      <protection locked="0"/>
    </xf>
    <xf numFmtId="0" fontId="72" fillId="0" borderId="59" xfId="4" applyFont="1" applyBorder="1" applyAlignment="1" applyProtection="1">
      <alignment horizontal="left" vertical="center"/>
      <protection locked="0"/>
    </xf>
    <xf numFmtId="0" fontId="71" fillId="0" borderId="66" xfId="4" applyFont="1" applyBorder="1" applyAlignment="1" applyProtection="1">
      <alignment horizontal="center" vertical="center"/>
      <protection locked="0"/>
    </xf>
    <xf numFmtId="0" fontId="71" fillId="0" borderId="63" xfId="4" applyFont="1" applyBorder="1" applyAlignment="1" applyProtection="1">
      <alignment horizontal="center" vertical="center"/>
      <protection locked="0"/>
    </xf>
    <xf numFmtId="0" fontId="71" fillId="0" borderId="64" xfId="4" applyFont="1" applyBorder="1" applyAlignment="1" applyProtection="1">
      <alignment horizontal="center" vertical="center"/>
      <protection locked="0"/>
    </xf>
    <xf numFmtId="187" fontId="49" fillId="0" borderId="67" xfId="4" quotePrefix="1" applyNumberFormat="1" applyFont="1" applyBorder="1" applyAlignment="1" applyProtection="1">
      <alignment horizontal="center" vertical="center"/>
      <protection locked="0"/>
    </xf>
    <xf numFmtId="187" fontId="49" fillId="0" borderId="0" xfId="4" quotePrefix="1" applyNumberFormat="1" applyFont="1" applyAlignment="1" applyProtection="1">
      <alignment horizontal="center" vertical="center"/>
      <protection locked="0"/>
    </xf>
    <xf numFmtId="187" fontId="49" fillId="0" borderId="68" xfId="4" quotePrefix="1" applyNumberFormat="1" applyFont="1" applyBorder="1" applyAlignment="1" applyProtection="1">
      <alignment horizontal="center" vertical="center"/>
      <protection locked="0"/>
    </xf>
    <xf numFmtId="184" fontId="52" fillId="0" borderId="0" xfId="4" applyNumberFormat="1" applyFont="1" applyAlignment="1" applyProtection="1">
      <alignment horizontal="center" vertical="center"/>
      <protection locked="0"/>
    </xf>
    <xf numFmtId="184" fontId="52" fillId="0" borderId="68" xfId="4" applyNumberFormat="1" applyFont="1" applyBorder="1" applyAlignment="1" applyProtection="1">
      <alignment horizontal="center" vertical="center"/>
      <protection locked="0"/>
    </xf>
    <xf numFmtId="41" fontId="63" fillId="0" borderId="0" xfId="4" applyNumberFormat="1" applyFont="1" applyAlignment="1" applyProtection="1">
      <alignment horizontal="center" vertical="center"/>
      <protection locked="0"/>
    </xf>
    <xf numFmtId="0" fontId="63" fillId="0" borderId="0" xfId="4" applyFont="1" applyAlignment="1" applyProtection="1">
      <alignment horizontal="center" vertical="center"/>
      <protection locked="0"/>
    </xf>
    <xf numFmtId="0" fontId="72" fillId="0" borderId="57" xfId="4" applyFont="1" applyBorder="1" applyAlignment="1" applyProtection="1">
      <alignment horizontal="center" vertical="center"/>
      <protection locked="0"/>
    </xf>
    <xf numFmtId="0" fontId="72" fillId="0" borderId="58" xfId="4" applyFont="1" applyBorder="1" applyAlignment="1" applyProtection="1">
      <alignment horizontal="center" vertical="center"/>
      <protection locked="0"/>
    </xf>
    <xf numFmtId="0" fontId="72" fillId="0" borderId="59" xfId="4" applyFont="1" applyBorder="1" applyAlignment="1" applyProtection="1">
      <alignment horizontal="center" vertical="center"/>
      <protection locked="0"/>
    </xf>
    <xf numFmtId="0" fontId="49" fillId="0" borderId="61" xfId="4" applyFont="1" applyBorder="1" applyAlignment="1" applyProtection="1">
      <alignment horizontal="right" vertical="center"/>
      <protection locked="0"/>
    </xf>
    <xf numFmtId="0" fontId="56" fillId="0" borderId="66" xfId="4" applyFont="1" applyBorder="1" applyAlignment="1" applyProtection="1">
      <alignment horizontal="left" vertical="center" wrapText="1"/>
      <protection locked="0"/>
    </xf>
    <xf numFmtId="0" fontId="56" fillId="0" borderId="63" xfId="4" applyFont="1" applyBorder="1" applyAlignment="1" applyProtection="1">
      <alignment horizontal="left" vertical="center" wrapText="1"/>
      <protection locked="0"/>
    </xf>
    <xf numFmtId="0" fontId="56" fillId="0" borderId="64" xfId="4" applyFont="1" applyBorder="1" applyAlignment="1" applyProtection="1">
      <alignment horizontal="left" vertical="center" wrapText="1"/>
      <protection locked="0"/>
    </xf>
    <xf numFmtId="0" fontId="56" fillId="0" borderId="60" xfId="4" applyFont="1" applyBorder="1" applyAlignment="1" applyProtection="1">
      <alignment horizontal="left" vertical="center" wrapText="1"/>
      <protection locked="0"/>
    </xf>
    <xf numFmtId="0" fontId="56" fillId="0" borderId="61" xfId="4" applyFont="1" applyBorder="1" applyAlignment="1" applyProtection="1">
      <alignment horizontal="left" vertical="center" wrapText="1"/>
      <protection locked="0"/>
    </xf>
    <xf numFmtId="0" fontId="56" fillId="0" borderId="62" xfId="4" applyFont="1" applyBorder="1" applyAlignment="1" applyProtection="1">
      <alignment horizontal="left" vertical="center" wrapText="1"/>
      <protection locked="0"/>
    </xf>
    <xf numFmtId="0" fontId="76" fillId="0" borderId="66" xfId="4" applyFont="1" applyBorder="1" applyAlignment="1" applyProtection="1">
      <alignment horizontal="center" vertical="center"/>
      <protection locked="0"/>
    </xf>
    <xf numFmtId="0" fontId="76" fillId="0" borderId="63" xfId="4" applyFont="1" applyBorder="1" applyAlignment="1" applyProtection="1">
      <alignment horizontal="center" vertical="center"/>
      <protection locked="0"/>
    </xf>
    <xf numFmtId="0" fontId="56" fillId="0" borderId="67" xfId="4" applyFont="1" applyBorder="1" applyAlignment="1" applyProtection="1">
      <alignment horizontal="left" vertical="center" wrapText="1"/>
      <protection locked="0"/>
    </xf>
    <xf numFmtId="0" fontId="56" fillId="0" borderId="0" xfId="4" applyFont="1" applyAlignment="1" applyProtection="1">
      <alignment horizontal="left" vertical="center" wrapText="1"/>
      <protection locked="0"/>
    </xf>
    <xf numFmtId="0" fontId="56" fillId="0" borderId="68" xfId="4" applyFont="1" applyBorder="1" applyAlignment="1" applyProtection="1">
      <alignment horizontal="left" vertical="center" wrapText="1"/>
      <protection locked="0"/>
    </xf>
    <xf numFmtId="0" fontId="39" fillId="2" borderId="19" xfId="0" applyFont="1" applyFill="1" applyBorder="1" applyAlignment="1">
      <alignment horizontal="center" vertical="center"/>
    </xf>
    <xf numFmtId="0" fontId="39" fillId="2" borderId="20" xfId="0" applyFont="1" applyFill="1" applyBorder="1" applyAlignment="1">
      <alignment horizontal="center" vertical="center"/>
    </xf>
    <xf numFmtId="0" fontId="39" fillId="2" borderId="50" xfId="0" applyFont="1" applyFill="1" applyBorder="1" applyAlignment="1">
      <alignment horizontal="center" vertical="center"/>
    </xf>
    <xf numFmtId="0" fontId="39" fillId="2" borderId="9" xfId="0" applyFont="1" applyFill="1" applyBorder="1" applyAlignment="1">
      <alignment horizontal="center" vertical="center"/>
    </xf>
    <xf numFmtId="0" fontId="39" fillId="2" borderId="10" xfId="0" applyFont="1" applyFill="1" applyBorder="1" applyAlignment="1">
      <alignment horizontal="center" vertical="center"/>
    </xf>
    <xf numFmtId="0" fontId="39" fillId="2" borderId="11" xfId="0" applyFont="1" applyFill="1" applyBorder="1" applyAlignment="1">
      <alignment horizontal="center" vertical="center"/>
    </xf>
    <xf numFmtId="0" fontId="34" fillId="2" borderId="12" xfId="0" applyFont="1" applyFill="1" applyBorder="1" applyAlignment="1">
      <alignment horizontal="center" vertical="center" wrapText="1"/>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distributed" vertical="center" indent="2"/>
    </xf>
    <xf numFmtId="0" fontId="2" fillId="2" borderId="1" xfId="0" applyFont="1" applyFill="1" applyBorder="1" applyAlignment="1">
      <alignment horizontal="distributed" vertical="center" indent="2"/>
    </xf>
    <xf numFmtId="41" fontId="2" fillId="2" borderId="1" xfId="5" applyFont="1" applyFill="1" applyBorder="1" applyAlignment="1">
      <alignment horizontal="center" vertical="center"/>
    </xf>
    <xf numFmtId="0" fontId="2" fillId="2" borderId="18" xfId="5"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34" fillId="37" borderId="14" xfId="0" applyFont="1" applyFill="1" applyBorder="1" applyAlignment="1">
      <alignment horizontal="center" vertical="center"/>
    </xf>
    <xf numFmtId="0" fontId="34" fillId="37"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3" xfId="0" applyFont="1" applyFill="1" applyBorder="1" applyAlignment="1">
      <alignment horizontal="center" vertical="center"/>
    </xf>
    <xf numFmtId="41" fontId="2" fillId="2" borderId="14" xfId="5" applyFont="1" applyFill="1" applyBorder="1" applyAlignment="1">
      <alignment horizontal="center" vertical="center"/>
    </xf>
    <xf numFmtId="41" fontId="2" fillId="2" borderId="16" xfId="5" applyFont="1" applyFill="1" applyBorder="1" applyAlignment="1">
      <alignment horizontal="center" vertical="center"/>
    </xf>
    <xf numFmtId="0" fontId="34" fillId="40" borderId="17" xfId="0" applyFont="1" applyFill="1" applyBorder="1" applyAlignment="1">
      <alignment horizontal="center" vertical="center"/>
    </xf>
    <xf numFmtId="0" fontId="34" fillId="40" borderId="1" xfId="0" applyFont="1" applyFill="1" applyBorder="1" applyAlignment="1">
      <alignment horizontal="center" vertical="center"/>
    </xf>
    <xf numFmtId="0" fontId="34" fillId="40" borderId="14" xfId="0" applyFont="1" applyFill="1" applyBorder="1" applyAlignment="1">
      <alignment horizontal="center" vertical="center"/>
    </xf>
    <xf numFmtId="0" fontId="34" fillId="40" borderId="15" xfId="0" applyFont="1" applyFill="1" applyBorder="1" applyAlignment="1">
      <alignment horizontal="center" vertical="center"/>
    </xf>
    <xf numFmtId="0" fontId="34" fillId="40" borderId="16" xfId="0" applyFont="1" applyFill="1" applyBorder="1" applyAlignment="1">
      <alignment horizontal="center" vertical="center"/>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14" xfId="5" applyNumberFormat="1" applyFont="1" applyFill="1" applyBorder="1" applyAlignment="1">
      <alignment horizontal="distributed" vertical="center" indent="2"/>
    </xf>
    <xf numFmtId="0" fontId="2" fillId="2" borderId="13" xfId="5" applyNumberFormat="1" applyFont="1" applyFill="1" applyBorder="1" applyAlignment="1">
      <alignment horizontal="distributed" vertical="center" indent="2"/>
    </xf>
    <xf numFmtId="0" fontId="2" fillId="2" borderId="14" xfId="0" applyFont="1" applyFill="1" applyBorder="1" applyAlignment="1">
      <alignment horizontal="distributed" vertical="center" indent="2"/>
    </xf>
    <xf numFmtId="0" fontId="2" fillId="2" borderId="13" xfId="0" applyFont="1" applyFill="1" applyBorder="1" applyAlignment="1">
      <alignment horizontal="distributed" vertical="center" indent="2"/>
    </xf>
    <xf numFmtId="41" fontId="2" fillId="2" borderId="15" xfId="5" applyFont="1" applyFill="1" applyBorder="1" applyAlignment="1">
      <alignment horizontal="center" vertical="center"/>
    </xf>
    <xf numFmtId="41" fontId="34" fillId="37" borderId="1" xfId="5" applyFont="1" applyFill="1" applyBorder="1" applyAlignment="1">
      <alignment horizontal="center" vertical="center"/>
    </xf>
    <xf numFmtId="41" fontId="34" fillId="37" borderId="18" xfId="5" applyFont="1" applyFill="1" applyBorder="1" applyAlignment="1">
      <alignment horizontal="center" vertical="center"/>
    </xf>
    <xf numFmtId="0" fontId="34" fillId="37" borderId="17" xfId="0" applyFont="1" applyFill="1" applyBorder="1" applyAlignment="1">
      <alignment horizontal="left" vertical="center" indent="2"/>
    </xf>
    <xf numFmtId="0" fontId="34" fillId="37" borderId="1" xfId="0" applyFont="1" applyFill="1" applyBorder="1" applyAlignment="1">
      <alignment horizontal="left" vertical="center" indent="2"/>
    </xf>
    <xf numFmtId="0" fontId="34" fillId="37" borderId="14" xfId="0" applyFont="1" applyFill="1" applyBorder="1" applyAlignment="1">
      <alignment horizontal="left" vertical="center" indent="2"/>
    </xf>
    <xf numFmtId="0" fontId="34" fillId="37" borderId="13" xfId="0" applyFont="1" applyFill="1" applyBorder="1" applyAlignment="1">
      <alignment horizontal="left" vertical="center" indent="2"/>
    </xf>
    <xf numFmtId="0" fontId="2" fillId="2" borderId="17" xfId="0" applyFont="1" applyFill="1" applyBorder="1" applyAlignment="1">
      <alignment horizontal="center" vertical="center"/>
    </xf>
    <xf numFmtId="0" fontId="2" fillId="2" borderId="14" xfId="0" applyFont="1" applyFill="1" applyBorder="1" applyAlignment="1">
      <alignment horizontal="right" vertical="center"/>
    </xf>
    <xf numFmtId="0" fontId="2" fillId="2" borderId="15" xfId="0" applyFont="1" applyFill="1" applyBorder="1" applyAlignment="1">
      <alignment horizontal="right" vertical="center"/>
    </xf>
    <xf numFmtId="0" fontId="2" fillId="2" borderId="14" xfId="5" applyNumberFormat="1" applyFont="1" applyFill="1" applyBorder="1" applyAlignment="1">
      <alignment horizontal="center" vertical="center"/>
    </xf>
    <xf numFmtId="0" fontId="2" fillId="2" borderId="13" xfId="5" applyNumberFormat="1" applyFont="1" applyFill="1" applyBorder="1" applyAlignment="1">
      <alignment horizontal="center" vertical="center"/>
    </xf>
    <xf numFmtId="41" fontId="2" fillId="2" borderId="18" xfId="5" applyFont="1" applyFill="1" applyBorder="1" applyAlignment="1">
      <alignment horizontal="center" vertical="center"/>
    </xf>
    <xf numFmtId="0" fontId="24" fillId="2" borderId="0" xfId="0" applyFont="1" applyFill="1" applyAlignment="1">
      <alignment horizont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2" fillId="2" borderId="12" xfId="0" applyFont="1" applyFill="1" applyBorder="1" applyAlignment="1">
      <alignment horizontal="distributed" vertical="center" indent="2"/>
    </xf>
    <xf numFmtId="0" fontId="34" fillId="37" borderId="15" xfId="0" applyFont="1" applyFill="1" applyBorder="1" applyAlignment="1">
      <alignment horizontal="center" vertical="center"/>
    </xf>
    <xf numFmtId="0" fontId="34" fillId="37" borderId="16" xfId="0" applyFont="1" applyFill="1" applyBorder="1" applyAlignment="1">
      <alignment horizontal="center" vertical="center"/>
    </xf>
    <xf numFmtId="14" fontId="2" fillId="2" borderId="1" xfId="0" applyNumberFormat="1" applyFont="1" applyFill="1" applyBorder="1" applyAlignment="1">
      <alignment horizontal="center" vertical="center"/>
    </xf>
    <xf numFmtId="14" fontId="2" fillId="2" borderId="18" xfId="0" applyNumberFormat="1" applyFont="1" applyFill="1" applyBorder="1" applyAlignment="1">
      <alignment horizontal="center" vertical="center"/>
    </xf>
    <xf numFmtId="41" fontId="34" fillId="37" borderId="1" xfId="0" applyNumberFormat="1" applyFont="1" applyFill="1" applyBorder="1" applyAlignment="1">
      <alignment horizontal="center" vertical="center"/>
    </xf>
    <xf numFmtId="0" fontId="34" fillId="37" borderId="1" xfId="0" applyFont="1" applyFill="1" applyBorder="1" applyAlignment="1">
      <alignment horizontal="center" vertical="center"/>
    </xf>
    <xf numFmtId="177" fontId="2" fillId="2" borderId="1" xfId="0" applyNumberFormat="1" applyFont="1" applyFill="1" applyBorder="1" applyAlignment="1">
      <alignment horizontal="center" vertical="center"/>
    </xf>
    <xf numFmtId="177" fontId="2" fillId="2" borderId="18" xfId="0" applyNumberFormat="1" applyFont="1" applyFill="1" applyBorder="1" applyAlignment="1">
      <alignment horizontal="center" vertical="center"/>
    </xf>
    <xf numFmtId="0" fontId="2" fillId="2" borderId="15" xfId="0" applyFont="1" applyFill="1" applyBorder="1" applyAlignment="1">
      <alignment horizontal="distributed" vertical="center" indent="2"/>
    </xf>
    <xf numFmtId="182" fontId="2" fillId="2" borderId="1" xfId="0" applyNumberFormat="1" applyFont="1" applyFill="1" applyBorder="1" applyAlignment="1">
      <alignment horizontal="center" vertical="center"/>
    </xf>
    <xf numFmtId="182" fontId="2" fillId="2" borderId="18"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1" fontId="2" fillId="2" borderId="13" xfId="5" applyFont="1" applyFill="1" applyBorder="1" applyAlignment="1">
      <alignment horizontal="center" vertical="center"/>
    </xf>
    <xf numFmtId="0" fontId="2" fillId="2" borderId="14" xfId="5" applyNumberFormat="1" applyFont="1" applyFill="1" applyBorder="1" applyAlignment="1">
      <alignment horizontal="distributed" vertical="center" wrapText="1" indent="2"/>
    </xf>
    <xf numFmtId="0" fontId="34" fillId="2" borderId="19" xfId="0" applyFont="1" applyFill="1" applyBorder="1" applyAlignment="1">
      <alignment horizontal="center" vertical="center"/>
    </xf>
    <xf numFmtId="0" fontId="34" fillId="2" borderId="20" xfId="0" applyFont="1" applyFill="1" applyBorder="1" applyAlignment="1">
      <alignment horizontal="center" vertical="center"/>
    </xf>
    <xf numFmtId="0" fontId="34" fillId="37" borderId="17" xfId="0" applyFont="1" applyFill="1" applyBorder="1" applyAlignment="1">
      <alignment horizontal="center" vertical="center"/>
    </xf>
    <xf numFmtId="179" fontId="2" fillId="2" borderId="14" xfId="5" applyNumberFormat="1" applyFont="1" applyFill="1" applyBorder="1" applyAlignment="1">
      <alignment horizontal="center" vertical="center"/>
    </xf>
    <xf numFmtId="179" fontId="2" fillId="2" borderId="16" xfId="5" applyNumberFormat="1" applyFont="1" applyFill="1" applyBorder="1" applyAlignment="1">
      <alignment horizontal="center" vertical="center"/>
    </xf>
    <xf numFmtId="0" fontId="2" fillId="2" borderId="12" xfId="0" applyFont="1" applyFill="1" applyBorder="1" applyAlignment="1">
      <alignment horizontal="center" vertical="center"/>
    </xf>
    <xf numFmtId="0" fontId="2" fillId="2" borderId="16" xfId="5" applyNumberFormat="1" applyFont="1" applyFill="1" applyBorder="1" applyAlignment="1">
      <alignment horizontal="center" vertical="center"/>
    </xf>
    <xf numFmtId="41" fontId="52" fillId="0" borderId="92" xfId="4" applyNumberFormat="1" applyFont="1" applyBorder="1" applyAlignment="1">
      <alignment horizontal="center" vertical="center"/>
    </xf>
    <xf numFmtId="0" fontId="93" fillId="2" borderId="0" xfId="1" quotePrefix="1" applyFont="1" applyFill="1" applyAlignment="1">
      <alignment horizontal="center"/>
    </xf>
    <xf numFmtId="0" fontId="94" fillId="2" borderId="99" xfId="1" applyFont="1" applyFill="1" applyBorder="1" applyAlignment="1">
      <alignment horizontal="center" vertical="center" wrapText="1"/>
    </xf>
    <xf numFmtId="0" fontId="94" fillId="2" borderId="106" xfId="1" applyFont="1" applyFill="1" applyBorder="1" applyAlignment="1">
      <alignment horizontal="center" vertical="center" wrapText="1"/>
    </xf>
    <xf numFmtId="0" fontId="94" fillId="2" borderId="107" xfId="1" applyFont="1" applyFill="1" applyBorder="1" applyAlignment="1">
      <alignment horizontal="center" vertical="center" wrapText="1"/>
    </xf>
    <xf numFmtId="0" fontId="94" fillId="2" borderId="108" xfId="1" applyFont="1" applyFill="1" applyBorder="1" applyAlignment="1">
      <alignment horizontal="center" vertical="center" wrapText="1"/>
    </xf>
    <xf numFmtId="0" fontId="94" fillId="2" borderId="55" xfId="1" applyFont="1" applyFill="1" applyBorder="1" applyAlignment="1">
      <alignment horizontal="center" vertical="center"/>
    </xf>
    <xf numFmtId="0" fontId="94" fillId="2" borderId="46" xfId="1" applyFont="1" applyFill="1" applyBorder="1" applyAlignment="1">
      <alignment horizontal="center" vertical="center"/>
    </xf>
    <xf numFmtId="0" fontId="95" fillId="2" borderId="14" xfId="4" applyFont="1" applyFill="1" applyBorder="1" applyAlignment="1">
      <alignment horizontal="center" vertical="center"/>
    </xf>
    <xf numFmtId="0" fontId="95" fillId="2" borderId="13" xfId="4" applyFont="1" applyFill="1" applyBorder="1" applyAlignment="1">
      <alignment horizontal="center" vertical="center"/>
    </xf>
    <xf numFmtId="3" fontId="0" fillId="0" borderId="14" xfId="0" applyNumberFormat="1" applyBorder="1" applyAlignment="1">
      <alignment horizontal="center" vertical="center" shrinkToFit="1"/>
    </xf>
    <xf numFmtId="3" fontId="0" fillId="0" borderId="15" xfId="0" applyNumberFormat="1" applyBorder="1" applyAlignment="1">
      <alignment horizontal="center" vertical="center" shrinkToFit="1"/>
    </xf>
    <xf numFmtId="3" fontId="0" fillId="0" borderId="13" xfId="0" applyNumberFormat="1" applyBorder="1" applyAlignment="1">
      <alignment horizontal="center" vertical="center" shrinkToFit="1"/>
    </xf>
    <xf numFmtId="0" fontId="98" fillId="2" borderId="14" xfId="4" applyFont="1" applyFill="1" applyBorder="1" applyAlignment="1">
      <alignment horizontal="center" vertical="center"/>
    </xf>
    <xf numFmtId="0" fontId="98" fillId="2" borderId="13" xfId="4" applyFont="1" applyFill="1" applyBorder="1" applyAlignment="1">
      <alignment horizontal="center" vertical="center"/>
    </xf>
    <xf numFmtId="0" fontId="0" fillId="0" borderId="99" xfId="0" applyBorder="1" applyAlignment="1">
      <alignment horizontal="center" vertical="center"/>
    </xf>
    <xf numFmtId="0" fontId="0" fillId="0" borderId="20" xfId="0" applyBorder="1" applyAlignment="1">
      <alignment horizontal="center" vertical="center"/>
    </xf>
    <xf numFmtId="0" fontId="0" fillId="0" borderId="106" xfId="0" applyBorder="1" applyAlignment="1">
      <alignment horizontal="center" vertical="center"/>
    </xf>
    <xf numFmtId="0" fontId="0" fillId="0" borderId="107" xfId="0" applyBorder="1" applyAlignment="1">
      <alignment horizontal="center" vertical="center"/>
    </xf>
    <xf numFmtId="0" fontId="0" fillId="0" borderId="10" xfId="0" applyBorder="1" applyAlignment="1">
      <alignment horizontal="center" vertical="center"/>
    </xf>
    <xf numFmtId="0" fontId="0" fillId="0" borderId="108" xfId="0" applyBorder="1" applyAlignment="1">
      <alignment horizontal="center" vertical="center"/>
    </xf>
    <xf numFmtId="0" fontId="2" fillId="2" borderId="1" xfId="5" applyNumberFormat="1" applyFont="1" applyFill="1" applyBorder="1" applyAlignment="1">
      <alignment horizontal="center" vertical="center"/>
    </xf>
    <xf numFmtId="0" fontId="34" fillId="2" borderId="9" xfId="0" applyFont="1" applyFill="1" applyBorder="1" applyAlignment="1">
      <alignment horizontal="center" vertical="center"/>
    </xf>
    <xf numFmtId="0" fontId="34" fillId="2" borderId="10" xfId="0" applyFont="1" applyFill="1" applyBorder="1" applyAlignment="1">
      <alignment horizontal="center" vertical="center"/>
    </xf>
    <xf numFmtId="0" fontId="34" fillId="2" borderId="11" xfId="0" applyFont="1" applyFill="1" applyBorder="1" applyAlignment="1">
      <alignment horizontal="center" vertical="center"/>
    </xf>
    <xf numFmtId="0" fontId="2" fillId="2" borderId="21" xfId="0" applyFont="1" applyFill="1" applyBorder="1" applyAlignment="1">
      <alignment horizontal="distributed" vertical="center" wrapText="1" indent="2"/>
    </xf>
    <xf numFmtId="0" fontId="2" fillId="2" borderId="22" xfId="0" applyFont="1" applyFill="1" applyBorder="1" applyAlignment="1">
      <alignment horizontal="distributed" vertical="center" wrapText="1" indent="2"/>
    </xf>
    <xf numFmtId="0" fontId="2" fillId="2" borderId="23" xfId="0" applyFont="1" applyFill="1" applyBorder="1" applyAlignment="1">
      <alignment horizontal="distributed" vertical="center" wrapText="1" indent="2"/>
    </xf>
    <xf numFmtId="41"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xf>
    <xf numFmtId="178" fontId="2" fillId="2" borderId="18" xfId="0" applyNumberFormat="1" applyFont="1" applyFill="1" applyBorder="1" applyAlignment="1">
      <alignment horizontal="center" vertical="center"/>
    </xf>
    <xf numFmtId="49" fontId="2" fillId="2" borderId="14" xfId="5" applyNumberFormat="1" applyFont="1" applyFill="1" applyBorder="1" applyAlignment="1">
      <alignment horizontal="center" vertical="center"/>
    </xf>
    <xf numFmtId="49" fontId="2" fillId="2" borderId="16" xfId="5" applyNumberFormat="1" applyFont="1" applyFill="1" applyBorder="1" applyAlignment="1">
      <alignment horizontal="center" vertical="center"/>
    </xf>
  </cellXfs>
  <cellStyles count="71">
    <cellStyle name="20% - 강조색1" xfId="24" builtinId="30" customBuiltin="1"/>
    <cellStyle name="20% - 강조색2" xfId="28" builtinId="34" customBuiltin="1"/>
    <cellStyle name="20% - 강조색3" xfId="32" builtinId="38" customBuiltin="1"/>
    <cellStyle name="20% - 강조색4" xfId="36" builtinId="42" customBuiltin="1"/>
    <cellStyle name="20% - 강조색5" xfId="40" builtinId="46" customBuiltin="1"/>
    <cellStyle name="20% - 강조색6" xfId="44" builtinId="50" customBuiltin="1"/>
    <cellStyle name="40% - 강조색1" xfId="25" builtinId="31" customBuiltin="1"/>
    <cellStyle name="40% - 강조색2" xfId="29" builtinId="35" customBuiltin="1"/>
    <cellStyle name="40% - 강조색3" xfId="33" builtinId="39" customBuiltin="1"/>
    <cellStyle name="40% - 강조색4" xfId="37" builtinId="43" customBuiltin="1"/>
    <cellStyle name="40% - 강조색5" xfId="41" builtinId="47" customBuiltin="1"/>
    <cellStyle name="40% - 강조색6" xfId="45" builtinId="51" customBuiltin="1"/>
    <cellStyle name="60% - 강조색1" xfId="26" builtinId="32" customBuiltin="1"/>
    <cellStyle name="60% - 강조색2" xfId="30" builtinId="36" customBuiltin="1"/>
    <cellStyle name="60% - 강조색3" xfId="34" builtinId="40" customBuiltin="1"/>
    <cellStyle name="60% - 강조색4" xfId="38" builtinId="44" customBuiltin="1"/>
    <cellStyle name="60% - 강조색5" xfId="42" builtinId="48" customBuiltin="1"/>
    <cellStyle name="60% - 강조색6" xfId="46" builtinId="52" customBuiltin="1"/>
    <cellStyle name="강조색1" xfId="23" builtinId="29" customBuiltin="1"/>
    <cellStyle name="강조색2" xfId="27" builtinId="33" customBuiltin="1"/>
    <cellStyle name="강조색3" xfId="31" builtinId="37" customBuiltin="1"/>
    <cellStyle name="강조색4" xfId="35" builtinId="41" customBuiltin="1"/>
    <cellStyle name="강조색5" xfId="39" builtinId="45" customBuiltin="1"/>
    <cellStyle name="강조색6" xfId="43" builtinId="49" customBuiltin="1"/>
    <cellStyle name="경고문" xfId="19" builtinId="11" customBuiltin="1"/>
    <cellStyle name="계산" xfId="16" builtinId="22" customBuiltin="1"/>
    <cellStyle name="나쁨" xfId="12" builtinId="27" customBuiltin="1"/>
    <cellStyle name="메모" xfId="20" builtinId="10" customBuiltin="1"/>
    <cellStyle name="보통" xfId="13" builtinId="28" customBuiltin="1"/>
    <cellStyle name="설명 텍스트" xfId="21" builtinId="53" customBuiltin="1"/>
    <cellStyle name="셀 확인" xfId="18" builtinId="23" customBuiltin="1"/>
    <cellStyle name="쉼표 [0]" xfId="51" builtinId="6"/>
    <cellStyle name="쉼표 [0] 11" xfId="54" xr:uid="{8435BAD5-E18E-495E-8C27-DFFCEEC8FB96}"/>
    <cellStyle name="쉼표 [0] 2" xfId="2" xr:uid="{41E66BBC-54D8-47BA-9D8D-8C625EC20AE1}"/>
    <cellStyle name="쉼표 [0] 2 2" xfId="58" xr:uid="{6E36ABB7-D10E-42E6-BB3A-46E8CD9832D8}"/>
    <cellStyle name="쉼표 [0] 3" xfId="5" xr:uid="{A6DB2013-DECA-4564-8728-D633022A6227}"/>
    <cellStyle name="쉼표 [0] 4" xfId="52" xr:uid="{E8E1A09A-FF88-44FD-B6B0-B9F66A94DD96}"/>
    <cellStyle name="쉼표 [0] 4 2 10" xfId="56" xr:uid="{8F5B19D3-2232-46CB-889E-51D786009DA7}"/>
    <cellStyle name="쉼표 [0] 5" xfId="63" xr:uid="{3F14CD72-415B-4880-AEA8-C51411F47F5C}"/>
    <cellStyle name="연결된 셀" xfId="17" builtinId="24" customBuiltin="1"/>
    <cellStyle name="요약" xfId="22" builtinId="25" customBuiltin="1"/>
    <cellStyle name="입력" xfId="14" builtinId="20" customBuiltin="1"/>
    <cellStyle name="제목" xfId="6" builtinId="15" customBuiltin="1"/>
    <cellStyle name="제목 1" xfId="7" builtinId="16" customBuiltin="1"/>
    <cellStyle name="제목 2" xfId="8" builtinId="17" customBuiltin="1"/>
    <cellStyle name="제목 3" xfId="9" builtinId="18" customBuiltin="1"/>
    <cellStyle name="제목 4" xfId="10" builtinId="19" customBuiltin="1"/>
    <cellStyle name="좋음" xfId="11" builtinId="26" customBuiltin="1"/>
    <cellStyle name="출력" xfId="15" builtinId="21" customBuiltin="1"/>
    <cellStyle name="표준" xfId="0" builtinId="0"/>
    <cellStyle name="표준 10" xfId="70" xr:uid="{28253A20-DF9B-45D2-B4FC-980867CB8133}"/>
    <cellStyle name="표준 12" xfId="1" xr:uid="{172E32EB-47BF-4FCD-8F12-F42151DFA330}"/>
    <cellStyle name="표준 15" xfId="3" xr:uid="{0344D90B-856D-4F18-8F3F-5A5BFC076B99}"/>
    <cellStyle name="표준 18" xfId="53" xr:uid="{CD8B37BD-2F2C-4E2F-950E-B1CFA2374FBF}"/>
    <cellStyle name="표준 2" xfId="4" xr:uid="{12564C21-077E-488B-B9CC-2B829C13BE30}"/>
    <cellStyle name="표준 20" xfId="55" xr:uid="{22F6B3D1-AD24-4E90-9806-C15C6AFF2F66}"/>
    <cellStyle name="표준 20 2" xfId="57" xr:uid="{1AB94717-FED8-46A2-9410-97DC838BD72F}"/>
    <cellStyle name="표준 3" xfId="47" xr:uid="{45200485-F2CE-4551-AC95-0441086E4A1A}"/>
    <cellStyle name="표준 3 2 3 7" xfId="62" xr:uid="{F456420D-7693-44E4-BF73-3661CA0CB3D8}"/>
    <cellStyle name="표준 3 2 7 2" xfId="61" xr:uid="{2EF6A133-91B8-4575-ADEE-FA390672CC9C}"/>
    <cellStyle name="표준 3 3" xfId="59" xr:uid="{CF94A969-FD2C-4979-9689-C38C6467CBFE}"/>
    <cellStyle name="표준 3 3 2 5 2" xfId="60" xr:uid="{6744C956-7821-46B6-83AF-05ECE8870F58}"/>
    <cellStyle name="표준 3 3 3 2 2" xfId="65" xr:uid="{71613E0A-1D07-4A62-9BF3-DC82093F5348}"/>
    <cellStyle name="표준 3 3 3 3" xfId="66" xr:uid="{435F25B3-919B-4FD8-8A7A-8919F14C844F}"/>
    <cellStyle name="표준 3 3 3 4" xfId="69" xr:uid="{ECC8D55C-681D-4D73-ACE2-08DAD8F7B856}"/>
    <cellStyle name="표준 3 3 7" xfId="68" xr:uid="{F0F0F9CF-D59D-4E00-BD28-DF52AC584A91}"/>
    <cellStyle name="표준 3 3 9" xfId="67" xr:uid="{19F02C3A-6B87-4871-A4BD-12082F0AEADB}"/>
    <cellStyle name="표준 4" xfId="49" xr:uid="{6292006A-34B0-4256-BFBD-2EC738EC9CA6}"/>
    <cellStyle name="표준 5" xfId="48" xr:uid="{A92103EA-398A-4A1C-ABFA-EF91869D67FF}"/>
    <cellStyle name="표준 6" xfId="50" xr:uid="{5E69919C-74EE-458C-8252-66EF855FFD7E}"/>
    <cellStyle name="표준 7" xfId="64" xr:uid="{E580DE8C-6222-41F6-8A49-99FCACB578C6}"/>
  </cellStyles>
  <dxfs count="12">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1000125</xdr:colOff>
      <xdr:row>10</xdr:row>
      <xdr:rowOff>19050</xdr:rowOff>
    </xdr:from>
    <xdr:to>
      <xdr:col>7</xdr:col>
      <xdr:colOff>819407</xdr:colOff>
      <xdr:row>12</xdr:row>
      <xdr:rowOff>123951</xdr:rowOff>
    </xdr:to>
    <xdr:pic>
      <xdr:nvPicPr>
        <xdr:cNvPr id="2" name="그림 1">
          <a:extLst>
            <a:ext uri="{FF2B5EF4-FFF2-40B4-BE49-F238E27FC236}">
              <a16:creationId xmlns:a16="http://schemas.microsoft.com/office/drawing/2014/main" id="{DDFB08B1-0A62-AB95-8CBB-67E9904F835C}"/>
            </a:ext>
          </a:extLst>
        </xdr:cNvPr>
        <xdr:cNvPicPr>
          <a:picLocks noChangeAspect="1"/>
        </xdr:cNvPicPr>
      </xdr:nvPicPr>
      <xdr:blipFill>
        <a:blip xmlns:r="http://schemas.openxmlformats.org/officeDocument/2006/relationships" r:embed="rId1"/>
        <a:stretch>
          <a:fillRect/>
        </a:stretch>
      </xdr:blipFill>
      <xdr:spPr>
        <a:xfrm>
          <a:off x="6048375" y="2714625"/>
          <a:ext cx="1838582" cy="9050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4616;&#51221;&#54861;2\SHAREDDOCS\&#49444;&#48708;&#48512;\&#49444;&#48708;&#45800;&#44032;\&#51088;&#51116;&#54801;&#44032;&#54364;.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07\Desktop\&#49345;&#50857;&#51649;%20&#44540;&#47196;&#44228;&#50557;&#49436;_&#49436;&#48512;&amp;&#50640;&#49828;&#46356;.xlsx" TargetMode="External"/><Relationship Id="rId1" Type="http://schemas.openxmlformats.org/officeDocument/2006/relationships/externalLinkPath" Target="file:///\\4-pc\&#44277;&#50976;&#45936;&#51060;&#53552;\Users\user-07\Desktop\&#49345;&#50857;&#51649;%20&#44540;&#47196;&#44228;&#50557;&#49436;_&#49436;&#48512;&amp;&#50640;&#49828;&#463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ycom\1.&#44553;&#50668;\1.&#44553;&#50668;\25&#51068;\(&#51452;)&#54644;&#47560;&#47336;\2012\&#44553;&#50668;&#45824;&#51109;(2012)\2012.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pc\&#44277;&#50976;&#45936;&#51060;&#53552;\1.&#44553;&#50668;\25&#51068;\(&#51452;)&#54644;&#47560;&#47336;\2014\&#44553;&#50668;&#45824;&#51109;14\2014.03%20&#44553;&#50668;-140221&#49548;&#46301;&#49464;%20&#48320;&#44221;&#50756;&#47308;_&#52572;&#5133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ck-pc\&#44277;&#50976;&#54260;&#45908;\Users\user\Documents\2-2.%20&#54788;&#50504;&#50629;&#47924;\1.14-24.%20&#51064;&#49324;&#51228;&#46020;&#44592;&#52488;&#52968;&#49444;&#54021;_(&#51452;)&#52285;&#45824;&#50976;&#53685;\2.%20&#51076;&#44552;&#53580;&#51060;&#48660;&#48143;%20&#44553;&#50668;&#45824;&#51109;\1.%20&#51076;&#44552;&#53580;&#51060;&#48660;&#48143;%20&#44553;&#45964;&#45824;&#51109;%20&#52572;&#51333;&#54869;&#51221;&#50504;\0.%20&#51076;&#44552;&#53580;&#51060;&#48660;%20&#48143;%20&#44553;&#50668;&#45824;&#51109;_(&#51452;)%20&#52285;&#45824;&#50976;&#5368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5432;&#47924;&#48277;&#51064;&#51064;&#54868;\&#50629;&#47924;&#54260;&#45908;\2007\lg_svc\&#51088;&#47928;%20&#49324;&#54637;%20&#51221;&#47532;\lg%20svc%20&#45432;&#47924;&#49368;&#54540;\1_2&#49888;&#44508;%20&#49468;&#53552;%20&#44540;&#47196;&#44228;&#50557;\2007%20lg%20svc%20&#49888;&#44508;%20&#49468;&#53552;%20&#44540;&#47196;&#44228;&#50557;_&#51453;&#512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pc\g\Documents%20and%20Settings\aaa\&#48148;&#53461;%20&#54868;&#47732;\Documents%20and%20Settings\sec\&#48148;&#53461;%20&#54868;&#47732;\&#51312;&#48120;&#50672;\09&#50900;(4&#45824;&#48372;&#54744;&#50577;&#49885;)&#51221;&#4837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pc\h2\&#44288;&#47532;&#54016;\&#44608;&#44552;&#47168;\&#45432;&#51076;&#45824;&#51109;,%20&#44148;&#48149;%20&#51068;&#44292;&#50629;&#47196;&#46300;&#49368;&#54540;\&#51088;&#50868;&#45824;&#45432;&#51076;&#45824;&#51109;%208&#509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0.6\&#53685;&#54633;&#51088;&#47308;\Users\user01\Downloads\&#44608;&#52285;&#54872;&#45432;&#47924;&#49324;&#45784;\&#44540;&#47196;&#44228;&#50557;&#49436;_&#45908;&#48184;&#47088;&#49828;&#54620;&#51032;&#50896;_&#44160;&#5366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pc\g\Documents%20and%20Settings\&#51221;&#50857;&#52268;\My%20Documents\&#45348;&#51060;&#53944;&#50728;%20&#48155;&#51008;%20&#54028;&#51068;\&#45824;&#44257;&#54788;&#51109;\Documents%20and%20Settings\sec\&#48148;&#53461;%20&#54868;&#47732;\&#51312;&#48120;&#50672;\09&#50900;(4&#45824;&#48372;&#54744;&#50577;&#49885;)&#51221;&#48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pc\g\Program%20Files\WebHard\WebHardExplorerPlus\Webhard_OpenFile\(&#45824;&#51204;)&#45432;&#51076;&#45824;&#51109;%203&#509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m10-&#51204;&#54812;&#44221;\&#44553;&#50668;\Documents%20and%20Settings\Owner\Local%20Settings\Temp\_AZTMP7_\&#50629;&#47924;\&#51088;&#47928;&#49324;\(&#51452;)&#47532;&#46300;&#51312;&#47749;\&#44553;&#50668;&#45824;&#51109;&#51088;&#46041;&#44228;&#49328;(1)1202%20(0501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pc\h2\&#50689;&#50629;&#54016;\&#50689;&#50629;&#44277;&#50976;\&#51088;&#50868;&#45824;&#45432;&#51076;&#45824;&#51109;%208&#50900;.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48320;&#48124;&#44592;\Desktop\&#44553;&#50668;&#49444;&#44228;%20&#48143;%20&#44540;&#47196;&#44228;&#50557;&#49436;-&#44592;&#51316;%20&#49688;&#45817;%20&#50976;&#51648;.xlsx" TargetMode="External"/><Relationship Id="rId1" Type="http://schemas.openxmlformats.org/officeDocument/2006/relationships/externalLinkPath" Target="file:///C:\Users\&#48320;&#48124;&#44592;\Desktop\&#44553;&#50668;&#49444;&#44228;%20&#48143;%20&#44540;&#47196;&#44228;&#50557;&#49436;-&#44592;&#51316;%20&#49688;&#45817;%20&#50976;&#51648;.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48320;&#48124;&#44592;\Desktop\(&#49688;&#51221;2)&#51228;&#51060;&#50656;&#44148;&#52629;&#46356;&#51088;&#51064;_%201&#50900;%20&#44553;&#50668;%20&#45824;&#51109;.xlsx" TargetMode="External"/><Relationship Id="rId1" Type="http://schemas.openxmlformats.org/officeDocument/2006/relationships/externalLinkPath" Target="file:///C:\Users\&#48320;&#48124;&#44592;\Desktop\(&#49688;&#51221;2)&#51228;&#51060;&#50656;&#44148;&#52629;&#46356;&#51088;&#51064;_%201&#50900;%20&#44553;&#50668;%20&#45824;&#511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협가표"/>
      <sheetName val="01.백강관"/>
      <sheetName val="02.PFP관"/>
      <sheetName val="03.흑강관"/>
      <sheetName val="04.동관"/>
      <sheetName val="05.스텐관"/>
      <sheetName val="06.가스비교"/>
      <sheetName val="07.주철관"/>
      <sheetName val="08.PVC관"/>
      <sheetName val="09.PBPIPE"/>
      <sheetName val="10.PPCPIPE"/>
      <sheetName val="11.XL PIPE"/>
      <sheetName val="12.밸브류"/>
      <sheetName val="밸브비교"/>
      <sheetName val="BUTT비교"/>
      <sheetName val="삼성기업"/>
      <sheetName val="13소방자재"/>
      <sheetName val="14.위생기구"/>
      <sheetName val="15.보온재"/>
      <sheetName val="16.닥트재료"/>
      <sheetName val="17.유량계"/>
      <sheetName val="18.기타수지"/>
      <sheetName val="19.난방기구류"/>
      <sheetName val="20.지지철물외"/>
      <sheetName val="21.기타"/>
      <sheetName val="22.잡자재"/>
      <sheetName val="23.일위대가자재"/>
      <sheetName val="노무비"/>
    </sheetNames>
    <sheetDataSet>
      <sheetData sheetId="0">
        <row r="336">
          <cell r="C336" t="str">
            <v>PEP 플랜지(에폭시,용접)</v>
          </cell>
        </row>
        <row r="337">
          <cell r="C337" t="str">
            <v>PM 엘보(에폭시,소켓이음)</v>
          </cell>
        </row>
        <row r="338">
          <cell r="C338" t="str">
            <v>PM 엘보(에폭시,소켓이음)</v>
          </cell>
        </row>
        <row r="339">
          <cell r="C339" t="str">
            <v>PM 엘보(에폭시,소켓이음)</v>
          </cell>
        </row>
        <row r="340">
          <cell r="C340" t="str">
            <v>PM 엘보(에폭시,소켓이음)</v>
          </cell>
        </row>
        <row r="341">
          <cell r="C341" t="str">
            <v>PM 엘보(에폭시,소켓이음)</v>
          </cell>
        </row>
        <row r="342">
          <cell r="C342" t="str">
            <v>PM 엘보(에폭시,소켓이음)</v>
          </cell>
        </row>
        <row r="343">
          <cell r="C343" t="str">
            <v>PM 엘보(에폭시,소켓이음)</v>
          </cell>
        </row>
        <row r="344">
          <cell r="C344" t="str">
            <v>PM 엘보(에폭시,후렌지이음)</v>
          </cell>
        </row>
        <row r="345">
          <cell r="C345" t="str">
            <v>PM 엘보(에폭시,후렌지이음)</v>
          </cell>
        </row>
        <row r="346">
          <cell r="C346" t="str">
            <v>PM 소켓(에폭시,소켓이음)</v>
          </cell>
        </row>
        <row r="347">
          <cell r="C347" t="str">
            <v>PM 소켓(에폭시,소켓이음)</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포괄 급여계산(간략계산방식)"/>
      <sheetName val="급여대장"/>
      <sheetName val="급여테이블"/>
      <sheetName val="연봉근로계약서 (작성예시)"/>
      <sheetName val="연봉근로계약서_2"/>
      <sheetName val="연봉근로계약서_3"/>
      <sheetName val="연봉근로계약서_4"/>
      <sheetName val="연봉근로계약서_5"/>
      <sheetName val="연봉근로계약서_6"/>
      <sheetName val="연봉근로계약서_7"/>
      <sheetName val="연봉근로계약서_8"/>
      <sheetName val="연봉근로계약서_9"/>
      <sheetName val="연봉근로계약서_10"/>
      <sheetName val="개인정보수집동의서"/>
      <sheetName val="일급근로계약서_1"/>
      <sheetName val="간이세액표"/>
      <sheetName val="간이세액(2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C6">
            <v>770000</v>
          </cell>
          <cell r="D6">
            <v>0</v>
          </cell>
          <cell r="E6">
            <v>0</v>
          </cell>
          <cell r="F6">
            <v>0</v>
          </cell>
          <cell r="G6">
            <v>0</v>
          </cell>
          <cell r="H6">
            <v>0</v>
          </cell>
          <cell r="I6">
            <v>0</v>
          </cell>
          <cell r="J6">
            <v>0</v>
          </cell>
          <cell r="K6">
            <v>0</v>
          </cell>
          <cell r="L6">
            <v>0</v>
          </cell>
          <cell r="M6">
            <v>0</v>
          </cell>
          <cell r="N6">
            <v>0</v>
          </cell>
        </row>
        <row r="7">
          <cell r="C7">
            <v>775000</v>
          </cell>
          <cell r="D7">
            <v>0</v>
          </cell>
          <cell r="E7">
            <v>0</v>
          </cell>
          <cell r="F7">
            <v>0</v>
          </cell>
          <cell r="G7">
            <v>0</v>
          </cell>
          <cell r="H7">
            <v>0</v>
          </cell>
          <cell r="I7">
            <v>0</v>
          </cell>
          <cell r="J7">
            <v>0</v>
          </cell>
          <cell r="K7">
            <v>0</v>
          </cell>
          <cell r="L7">
            <v>0</v>
          </cell>
          <cell r="M7">
            <v>0</v>
          </cell>
          <cell r="N7">
            <v>0</v>
          </cell>
        </row>
        <row r="8">
          <cell r="C8">
            <v>780000</v>
          </cell>
          <cell r="D8">
            <v>0</v>
          </cell>
          <cell r="E8">
            <v>0</v>
          </cell>
          <cell r="F8">
            <v>0</v>
          </cell>
          <cell r="G8">
            <v>0</v>
          </cell>
          <cell r="H8">
            <v>0</v>
          </cell>
          <cell r="I8">
            <v>0</v>
          </cell>
          <cell r="J8">
            <v>0</v>
          </cell>
          <cell r="K8">
            <v>0</v>
          </cell>
          <cell r="L8">
            <v>0</v>
          </cell>
          <cell r="M8">
            <v>0</v>
          </cell>
          <cell r="N8">
            <v>0</v>
          </cell>
        </row>
        <row r="9">
          <cell r="C9">
            <v>785000</v>
          </cell>
          <cell r="D9">
            <v>0</v>
          </cell>
          <cell r="E9">
            <v>0</v>
          </cell>
          <cell r="F9">
            <v>0</v>
          </cell>
          <cell r="G9">
            <v>0</v>
          </cell>
          <cell r="H9">
            <v>0</v>
          </cell>
          <cell r="I9">
            <v>0</v>
          </cell>
          <cell r="J9">
            <v>0</v>
          </cell>
          <cell r="K9">
            <v>0</v>
          </cell>
          <cell r="L9">
            <v>0</v>
          </cell>
          <cell r="M9">
            <v>0</v>
          </cell>
          <cell r="N9">
            <v>0</v>
          </cell>
        </row>
        <row r="10">
          <cell r="C10">
            <v>790000</v>
          </cell>
          <cell r="D10">
            <v>0</v>
          </cell>
          <cell r="E10">
            <v>0</v>
          </cell>
          <cell r="F10">
            <v>0</v>
          </cell>
          <cell r="G10">
            <v>0</v>
          </cell>
          <cell r="H10">
            <v>0</v>
          </cell>
          <cell r="I10">
            <v>0</v>
          </cell>
          <cell r="J10">
            <v>0</v>
          </cell>
          <cell r="K10">
            <v>0</v>
          </cell>
          <cell r="L10">
            <v>0</v>
          </cell>
          <cell r="M10">
            <v>0</v>
          </cell>
          <cell r="N10">
            <v>0</v>
          </cell>
        </row>
        <row r="11">
          <cell r="C11">
            <v>795000</v>
          </cell>
          <cell r="D11">
            <v>0</v>
          </cell>
          <cell r="E11">
            <v>0</v>
          </cell>
          <cell r="F11">
            <v>0</v>
          </cell>
          <cell r="G11">
            <v>0</v>
          </cell>
          <cell r="H11">
            <v>0</v>
          </cell>
          <cell r="I11">
            <v>0</v>
          </cell>
          <cell r="J11">
            <v>0</v>
          </cell>
          <cell r="K11">
            <v>0</v>
          </cell>
          <cell r="L11">
            <v>0</v>
          </cell>
          <cell r="M11">
            <v>0</v>
          </cell>
          <cell r="N11">
            <v>0</v>
          </cell>
        </row>
        <row r="12">
          <cell r="C12">
            <v>800000</v>
          </cell>
          <cell r="D12">
            <v>0</v>
          </cell>
          <cell r="E12">
            <v>0</v>
          </cell>
          <cell r="F12">
            <v>0</v>
          </cell>
          <cell r="G12">
            <v>0</v>
          </cell>
          <cell r="H12">
            <v>0</v>
          </cell>
          <cell r="I12">
            <v>0</v>
          </cell>
          <cell r="J12">
            <v>0</v>
          </cell>
          <cell r="K12">
            <v>0</v>
          </cell>
          <cell r="L12">
            <v>0</v>
          </cell>
          <cell r="M12">
            <v>0</v>
          </cell>
          <cell r="N12">
            <v>0</v>
          </cell>
        </row>
        <row r="13">
          <cell r="C13">
            <v>805000</v>
          </cell>
          <cell r="D13">
            <v>0</v>
          </cell>
          <cell r="E13">
            <v>0</v>
          </cell>
          <cell r="F13">
            <v>0</v>
          </cell>
          <cell r="G13">
            <v>0</v>
          </cell>
          <cell r="H13">
            <v>0</v>
          </cell>
          <cell r="I13">
            <v>0</v>
          </cell>
          <cell r="J13">
            <v>0</v>
          </cell>
          <cell r="K13">
            <v>0</v>
          </cell>
          <cell r="L13">
            <v>0</v>
          </cell>
          <cell r="M13">
            <v>0</v>
          </cell>
          <cell r="N13">
            <v>0</v>
          </cell>
        </row>
        <row r="14">
          <cell r="C14">
            <v>810000</v>
          </cell>
          <cell r="D14">
            <v>0</v>
          </cell>
          <cell r="E14">
            <v>0</v>
          </cell>
          <cell r="F14">
            <v>0</v>
          </cell>
          <cell r="G14">
            <v>0</v>
          </cell>
          <cell r="H14">
            <v>0</v>
          </cell>
          <cell r="I14">
            <v>0</v>
          </cell>
          <cell r="J14">
            <v>0</v>
          </cell>
          <cell r="K14">
            <v>0</v>
          </cell>
          <cell r="L14">
            <v>0</v>
          </cell>
          <cell r="M14">
            <v>0</v>
          </cell>
          <cell r="N14">
            <v>0</v>
          </cell>
        </row>
        <row r="15">
          <cell r="C15">
            <v>815000</v>
          </cell>
          <cell r="D15">
            <v>0</v>
          </cell>
          <cell r="E15">
            <v>0</v>
          </cell>
          <cell r="F15">
            <v>0</v>
          </cell>
          <cell r="G15">
            <v>0</v>
          </cell>
          <cell r="H15">
            <v>0</v>
          </cell>
          <cell r="I15">
            <v>0</v>
          </cell>
          <cell r="J15">
            <v>0</v>
          </cell>
          <cell r="K15">
            <v>0</v>
          </cell>
          <cell r="L15">
            <v>0</v>
          </cell>
          <cell r="M15">
            <v>0</v>
          </cell>
          <cell r="N15">
            <v>0</v>
          </cell>
        </row>
        <row r="16">
          <cell r="C16">
            <v>820000</v>
          </cell>
          <cell r="D16">
            <v>0</v>
          </cell>
          <cell r="E16">
            <v>0</v>
          </cell>
          <cell r="F16">
            <v>0</v>
          </cell>
          <cell r="G16">
            <v>0</v>
          </cell>
          <cell r="H16">
            <v>0</v>
          </cell>
          <cell r="I16">
            <v>0</v>
          </cell>
          <cell r="J16">
            <v>0</v>
          </cell>
          <cell r="K16">
            <v>0</v>
          </cell>
          <cell r="L16">
            <v>0</v>
          </cell>
          <cell r="M16">
            <v>0</v>
          </cell>
          <cell r="N16">
            <v>0</v>
          </cell>
        </row>
        <row r="17">
          <cell r="C17">
            <v>825000</v>
          </cell>
          <cell r="D17">
            <v>0</v>
          </cell>
          <cell r="E17">
            <v>0</v>
          </cell>
          <cell r="F17">
            <v>0</v>
          </cell>
          <cell r="G17">
            <v>0</v>
          </cell>
          <cell r="H17">
            <v>0</v>
          </cell>
          <cell r="I17">
            <v>0</v>
          </cell>
          <cell r="J17">
            <v>0</v>
          </cell>
          <cell r="K17">
            <v>0</v>
          </cell>
          <cell r="L17">
            <v>0</v>
          </cell>
          <cell r="M17">
            <v>0</v>
          </cell>
          <cell r="N17">
            <v>0</v>
          </cell>
        </row>
        <row r="18">
          <cell r="C18">
            <v>830000</v>
          </cell>
          <cell r="D18">
            <v>0</v>
          </cell>
          <cell r="E18">
            <v>0</v>
          </cell>
          <cell r="F18">
            <v>0</v>
          </cell>
          <cell r="G18">
            <v>0</v>
          </cell>
          <cell r="H18">
            <v>0</v>
          </cell>
          <cell r="I18">
            <v>0</v>
          </cell>
          <cell r="J18">
            <v>0</v>
          </cell>
          <cell r="K18">
            <v>0</v>
          </cell>
          <cell r="L18">
            <v>0</v>
          </cell>
          <cell r="M18">
            <v>0</v>
          </cell>
          <cell r="N18">
            <v>0</v>
          </cell>
        </row>
        <row r="19">
          <cell r="C19">
            <v>835000</v>
          </cell>
          <cell r="D19">
            <v>0</v>
          </cell>
          <cell r="E19">
            <v>0</v>
          </cell>
          <cell r="F19">
            <v>0</v>
          </cell>
          <cell r="G19">
            <v>0</v>
          </cell>
          <cell r="H19">
            <v>0</v>
          </cell>
          <cell r="I19">
            <v>0</v>
          </cell>
          <cell r="J19">
            <v>0</v>
          </cell>
          <cell r="K19">
            <v>0</v>
          </cell>
          <cell r="L19">
            <v>0</v>
          </cell>
          <cell r="M19">
            <v>0</v>
          </cell>
          <cell r="N19">
            <v>0</v>
          </cell>
        </row>
        <row r="20">
          <cell r="C20">
            <v>840000</v>
          </cell>
          <cell r="D20">
            <v>0</v>
          </cell>
          <cell r="E20">
            <v>0</v>
          </cell>
          <cell r="F20">
            <v>0</v>
          </cell>
          <cell r="G20">
            <v>0</v>
          </cell>
          <cell r="H20">
            <v>0</v>
          </cell>
          <cell r="I20">
            <v>0</v>
          </cell>
          <cell r="J20">
            <v>0</v>
          </cell>
          <cell r="K20">
            <v>0</v>
          </cell>
          <cell r="L20">
            <v>0</v>
          </cell>
          <cell r="M20">
            <v>0</v>
          </cell>
          <cell r="N20">
            <v>0</v>
          </cell>
        </row>
        <row r="21">
          <cell r="C21">
            <v>845000</v>
          </cell>
          <cell r="D21">
            <v>0</v>
          </cell>
          <cell r="E21">
            <v>0</v>
          </cell>
          <cell r="F21">
            <v>0</v>
          </cell>
          <cell r="G21">
            <v>0</v>
          </cell>
          <cell r="H21">
            <v>0</v>
          </cell>
          <cell r="I21">
            <v>0</v>
          </cell>
          <cell r="J21">
            <v>0</v>
          </cell>
          <cell r="K21">
            <v>0</v>
          </cell>
          <cell r="L21">
            <v>0</v>
          </cell>
          <cell r="M21">
            <v>0</v>
          </cell>
          <cell r="N21">
            <v>0</v>
          </cell>
        </row>
        <row r="22">
          <cell r="C22">
            <v>850000</v>
          </cell>
          <cell r="D22">
            <v>0</v>
          </cell>
          <cell r="E22">
            <v>0</v>
          </cell>
          <cell r="F22">
            <v>0</v>
          </cell>
          <cell r="G22">
            <v>0</v>
          </cell>
          <cell r="H22">
            <v>0</v>
          </cell>
          <cell r="I22">
            <v>0</v>
          </cell>
          <cell r="J22">
            <v>0</v>
          </cell>
          <cell r="K22">
            <v>0</v>
          </cell>
          <cell r="L22">
            <v>0</v>
          </cell>
          <cell r="M22">
            <v>0</v>
          </cell>
          <cell r="N22">
            <v>0</v>
          </cell>
        </row>
        <row r="23">
          <cell r="C23">
            <v>855000</v>
          </cell>
          <cell r="D23">
            <v>0</v>
          </cell>
          <cell r="E23">
            <v>0</v>
          </cell>
          <cell r="F23">
            <v>0</v>
          </cell>
          <cell r="G23">
            <v>0</v>
          </cell>
          <cell r="H23">
            <v>0</v>
          </cell>
          <cell r="I23">
            <v>0</v>
          </cell>
          <cell r="J23">
            <v>0</v>
          </cell>
          <cell r="K23">
            <v>0</v>
          </cell>
          <cell r="L23">
            <v>0</v>
          </cell>
          <cell r="M23">
            <v>0</v>
          </cell>
          <cell r="N23">
            <v>0</v>
          </cell>
        </row>
        <row r="24">
          <cell r="C24">
            <v>860000</v>
          </cell>
          <cell r="D24">
            <v>0</v>
          </cell>
          <cell r="E24">
            <v>0</v>
          </cell>
          <cell r="F24">
            <v>0</v>
          </cell>
          <cell r="G24">
            <v>0</v>
          </cell>
          <cell r="H24">
            <v>0</v>
          </cell>
          <cell r="I24">
            <v>0</v>
          </cell>
          <cell r="J24">
            <v>0</v>
          </cell>
          <cell r="K24">
            <v>0</v>
          </cell>
          <cell r="L24">
            <v>0</v>
          </cell>
          <cell r="M24">
            <v>0</v>
          </cell>
          <cell r="N24">
            <v>0</v>
          </cell>
        </row>
        <row r="25">
          <cell r="C25">
            <v>865000</v>
          </cell>
          <cell r="D25">
            <v>0</v>
          </cell>
          <cell r="E25">
            <v>0</v>
          </cell>
          <cell r="F25">
            <v>0</v>
          </cell>
          <cell r="G25">
            <v>0</v>
          </cell>
          <cell r="H25">
            <v>0</v>
          </cell>
          <cell r="I25">
            <v>0</v>
          </cell>
          <cell r="J25">
            <v>0</v>
          </cell>
          <cell r="K25">
            <v>0</v>
          </cell>
          <cell r="L25">
            <v>0</v>
          </cell>
          <cell r="M25">
            <v>0</v>
          </cell>
          <cell r="N25">
            <v>0</v>
          </cell>
        </row>
        <row r="26">
          <cell r="C26">
            <v>870000</v>
          </cell>
          <cell r="D26">
            <v>0</v>
          </cell>
          <cell r="E26">
            <v>0</v>
          </cell>
          <cell r="F26">
            <v>0</v>
          </cell>
          <cell r="G26">
            <v>0</v>
          </cell>
          <cell r="H26">
            <v>0</v>
          </cell>
          <cell r="I26">
            <v>0</v>
          </cell>
          <cell r="J26">
            <v>0</v>
          </cell>
          <cell r="K26">
            <v>0</v>
          </cell>
          <cell r="L26">
            <v>0</v>
          </cell>
          <cell r="M26">
            <v>0</v>
          </cell>
          <cell r="N26">
            <v>0</v>
          </cell>
        </row>
        <row r="27">
          <cell r="C27">
            <v>875000</v>
          </cell>
          <cell r="D27">
            <v>0</v>
          </cell>
          <cell r="E27">
            <v>0</v>
          </cell>
          <cell r="F27">
            <v>0</v>
          </cell>
          <cell r="G27">
            <v>0</v>
          </cell>
          <cell r="H27">
            <v>0</v>
          </cell>
          <cell r="I27">
            <v>0</v>
          </cell>
          <cell r="J27">
            <v>0</v>
          </cell>
          <cell r="K27">
            <v>0</v>
          </cell>
          <cell r="L27">
            <v>0</v>
          </cell>
          <cell r="M27">
            <v>0</v>
          </cell>
          <cell r="N27">
            <v>0</v>
          </cell>
        </row>
        <row r="28">
          <cell r="C28">
            <v>880000</v>
          </cell>
          <cell r="D28">
            <v>0</v>
          </cell>
          <cell r="E28">
            <v>0</v>
          </cell>
          <cell r="F28">
            <v>0</v>
          </cell>
          <cell r="G28">
            <v>0</v>
          </cell>
          <cell r="H28">
            <v>0</v>
          </cell>
          <cell r="I28">
            <v>0</v>
          </cell>
          <cell r="J28">
            <v>0</v>
          </cell>
          <cell r="K28">
            <v>0</v>
          </cell>
          <cell r="L28">
            <v>0</v>
          </cell>
          <cell r="M28">
            <v>0</v>
          </cell>
          <cell r="N28">
            <v>0</v>
          </cell>
        </row>
        <row r="29">
          <cell r="C29">
            <v>885000</v>
          </cell>
          <cell r="D29">
            <v>0</v>
          </cell>
          <cell r="E29">
            <v>0</v>
          </cell>
          <cell r="F29">
            <v>0</v>
          </cell>
          <cell r="G29">
            <v>0</v>
          </cell>
          <cell r="H29">
            <v>0</v>
          </cell>
          <cell r="I29">
            <v>0</v>
          </cell>
          <cell r="J29">
            <v>0</v>
          </cell>
          <cell r="K29">
            <v>0</v>
          </cell>
          <cell r="L29">
            <v>0</v>
          </cell>
          <cell r="M29">
            <v>0</v>
          </cell>
          <cell r="N29">
            <v>0</v>
          </cell>
        </row>
        <row r="30">
          <cell r="C30">
            <v>890000</v>
          </cell>
          <cell r="D30">
            <v>0</v>
          </cell>
          <cell r="E30">
            <v>0</v>
          </cell>
          <cell r="F30">
            <v>0</v>
          </cell>
          <cell r="G30">
            <v>0</v>
          </cell>
          <cell r="H30">
            <v>0</v>
          </cell>
          <cell r="I30">
            <v>0</v>
          </cell>
          <cell r="J30">
            <v>0</v>
          </cell>
          <cell r="K30">
            <v>0</v>
          </cell>
          <cell r="L30">
            <v>0</v>
          </cell>
          <cell r="M30">
            <v>0</v>
          </cell>
          <cell r="N30">
            <v>0</v>
          </cell>
        </row>
        <row r="31">
          <cell r="C31">
            <v>895000</v>
          </cell>
          <cell r="D31">
            <v>0</v>
          </cell>
          <cell r="E31">
            <v>0</v>
          </cell>
          <cell r="F31">
            <v>0</v>
          </cell>
          <cell r="G31">
            <v>0</v>
          </cell>
          <cell r="H31">
            <v>0</v>
          </cell>
          <cell r="I31">
            <v>0</v>
          </cell>
          <cell r="J31">
            <v>0</v>
          </cell>
          <cell r="K31">
            <v>0</v>
          </cell>
          <cell r="L31">
            <v>0</v>
          </cell>
          <cell r="M31">
            <v>0</v>
          </cell>
          <cell r="N31">
            <v>0</v>
          </cell>
        </row>
        <row r="32">
          <cell r="C32">
            <v>900000</v>
          </cell>
          <cell r="D32">
            <v>0</v>
          </cell>
          <cell r="E32">
            <v>0</v>
          </cell>
          <cell r="F32">
            <v>0</v>
          </cell>
          <cell r="G32">
            <v>0</v>
          </cell>
          <cell r="H32">
            <v>0</v>
          </cell>
          <cell r="I32">
            <v>0</v>
          </cell>
          <cell r="J32">
            <v>0</v>
          </cell>
          <cell r="K32">
            <v>0</v>
          </cell>
          <cell r="L32">
            <v>0</v>
          </cell>
          <cell r="M32">
            <v>0</v>
          </cell>
          <cell r="N32">
            <v>0</v>
          </cell>
        </row>
        <row r="33">
          <cell r="C33">
            <v>905000</v>
          </cell>
          <cell r="D33">
            <v>0</v>
          </cell>
          <cell r="E33">
            <v>0</v>
          </cell>
          <cell r="F33">
            <v>0</v>
          </cell>
          <cell r="G33">
            <v>0</v>
          </cell>
          <cell r="H33">
            <v>0</v>
          </cell>
          <cell r="I33">
            <v>0</v>
          </cell>
          <cell r="J33">
            <v>0</v>
          </cell>
          <cell r="K33">
            <v>0</v>
          </cell>
          <cell r="L33">
            <v>0</v>
          </cell>
          <cell r="M33">
            <v>0</v>
          </cell>
          <cell r="N33">
            <v>0</v>
          </cell>
        </row>
        <row r="34">
          <cell r="C34">
            <v>910000</v>
          </cell>
          <cell r="D34">
            <v>0</v>
          </cell>
          <cell r="E34">
            <v>0</v>
          </cell>
          <cell r="F34">
            <v>0</v>
          </cell>
          <cell r="G34">
            <v>0</v>
          </cell>
          <cell r="H34">
            <v>0</v>
          </cell>
          <cell r="I34">
            <v>0</v>
          </cell>
          <cell r="J34">
            <v>0</v>
          </cell>
          <cell r="K34">
            <v>0</v>
          </cell>
          <cell r="L34">
            <v>0</v>
          </cell>
          <cell r="M34">
            <v>0</v>
          </cell>
          <cell r="N34">
            <v>0</v>
          </cell>
        </row>
        <row r="35">
          <cell r="C35">
            <v>915000</v>
          </cell>
          <cell r="D35">
            <v>0</v>
          </cell>
          <cell r="E35">
            <v>0</v>
          </cell>
          <cell r="F35">
            <v>0</v>
          </cell>
          <cell r="G35">
            <v>0</v>
          </cell>
          <cell r="H35">
            <v>0</v>
          </cell>
          <cell r="I35">
            <v>0</v>
          </cell>
          <cell r="J35">
            <v>0</v>
          </cell>
          <cell r="K35">
            <v>0</v>
          </cell>
          <cell r="L35">
            <v>0</v>
          </cell>
          <cell r="M35">
            <v>0</v>
          </cell>
          <cell r="N35">
            <v>0</v>
          </cell>
        </row>
        <row r="36">
          <cell r="C36">
            <v>920000</v>
          </cell>
          <cell r="D36">
            <v>0</v>
          </cell>
          <cell r="E36">
            <v>0</v>
          </cell>
          <cell r="F36">
            <v>0</v>
          </cell>
          <cell r="G36">
            <v>0</v>
          </cell>
          <cell r="H36">
            <v>0</v>
          </cell>
          <cell r="I36">
            <v>0</v>
          </cell>
          <cell r="J36">
            <v>0</v>
          </cell>
          <cell r="K36">
            <v>0</v>
          </cell>
          <cell r="L36">
            <v>0</v>
          </cell>
          <cell r="M36">
            <v>0</v>
          </cell>
          <cell r="N36">
            <v>0</v>
          </cell>
        </row>
        <row r="37">
          <cell r="C37">
            <v>925000</v>
          </cell>
          <cell r="D37">
            <v>0</v>
          </cell>
          <cell r="E37">
            <v>0</v>
          </cell>
          <cell r="F37">
            <v>0</v>
          </cell>
          <cell r="G37">
            <v>0</v>
          </cell>
          <cell r="H37">
            <v>0</v>
          </cell>
          <cell r="I37">
            <v>0</v>
          </cell>
          <cell r="J37">
            <v>0</v>
          </cell>
          <cell r="K37">
            <v>0</v>
          </cell>
          <cell r="L37">
            <v>0</v>
          </cell>
          <cell r="M37">
            <v>0</v>
          </cell>
          <cell r="N37">
            <v>0</v>
          </cell>
        </row>
        <row r="38">
          <cell r="C38">
            <v>930000</v>
          </cell>
          <cell r="D38">
            <v>0</v>
          </cell>
          <cell r="E38">
            <v>0</v>
          </cell>
          <cell r="F38">
            <v>0</v>
          </cell>
          <cell r="G38">
            <v>0</v>
          </cell>
          <cell r="H38">
            <v>0</v>
          </cell>
          <cell r="I38">
            <v>0</v>
          </cell>
          <cell r="J38">
            <v>0</v>
          </cell>
          <cell r="K38">
            <v>0</v>
          </cell>
          <cell r="L38">
            <v>0</v>
          </cell>
          <cell r="M38">
            <v>0</v>
          </cell>
          <cell r="N38">
            <v>0</v>
          </cell>
        </row>
        <row r="39">
          <cell r="C39">
            <v>935000</v>
          </cell>
          <cell r="D39">
            <v>0</v>
          </cell>
          <cell r="E39">
            <v>0</v>
          </cell>
          <cell r="F39">
            <v>0</v>
          </cell>
          <cell r="G39">
            <v>0</v>
          </cell>
          <cell r="H39">
            <v>0</v>
          </cell>
          <cell r="I39">
            <v>0</v>
          </cell>
          <cell r="J39">
            <v>0</v>
          </cell>
          <cell r="K39">
            <v>0</v>
          </cell>
          <cell r="L39">
            <v>0</v>
          </cell>
          <cell r="M39">
            <v>0</v>
          </cell>
          <cell r="N39">
            <v>0</v>
          </cell>
        </row>
        <row r="40">
          <cell r="C40">
            <v>940000</v>
          </cell>
          <cell r="D40">
            <v>0</v>
          </cell>
          <cell r="E40">
            <v>0</v>
          </cell>
          <cell r="F40">
            <v>0</v>
          </cell>
          <cell r="G40">
            <v>0</v>
          </cell>
          <cell r="H40">
            <v>0</v>
          </cell>
          <cell r="I40">
            <v>0</v>
          </cell>
          <cell r="J40">
            <v>0</v>
          </cell>
          <cell r="K40">
            <v>0</v>
          </cell>
          <cell r="L40">
            <v>0</v>
          </cell>
          <cell r="M40">
            <v>0</v>
          </cell>
          <cell r="N40">
            <v>0</v>
          </cell>
        </row>
        <row r="41">
          <cell r="C41">
            <v>945000</v>
          </cell>
          <cell r="D41">
            <v>0</v>
          </cell>
          <cell r="E41">
            <v>0</v>
          </cell>
          <cell r="F41">
            <v>0</v>
          </cell>
          <cell r="G41">
            <v>0</v>
          </cell>
          <cell r="H41">
            <v>0</v>
          </cell>
          <cell r="I41">
            <v>0</v>
          </cell>
          <cell r="J41">
            <v>0</v>
          </cell>
          <cell r="K41">
            <v>0</v>
          </cell>
          <cell r="L41">
            <v>0</v>
          </cell>
          <cell r="M41">
            <v>0</v>
          </cell>
          <cell r="N41">
            <v>0</v>
          </cell>
        </row>
        <row r="42">
          <cell r="C42">
            <v>950000</v>
          </cell>
          <cell r="D42">
            <v>0</v>
          </cell>
          <cell r="E42">
            <v>0</v>
          </cell>
          <cell r="F42">
            <v>0</v>
          </cell>
          <cell r="G42">
            <v>0</v>
          </cell>
          <cell r="H42">
            <v>0</v>
          </cell>
          <cell r="I42">
            <v>0</v>
          </cell>
          <cell r="J42">
            <v>0</v>
          </cell>
          <cell r="K42">
            <v>0</v>
          </cell>
          <cell r="L42">
            <v>0</v>
          </cell>
          <cell r="M42">
            <v>0</v>
          </cell>
          <cell r="N42">
            <v>0</v>
          </cell>
        </row>
        <row r="43">
          <cell r="C43">
            <v>955000</v>
          </cell>
          <cell r="D43">
            <v>0</v>
          </cell>
          <cell r="E43">
            <v>0</v>
          </cell>
          <cell r="F43">
            <v>0</v>
          </cell>
          <cell r="G43">
            <v>0</v>
          </cell>
          <cell r="H43">
            <v>0</v>
          </cell>
          <cell r="I43">
            <v>0</v>
          </cell>
          <cell r="J43">
            <v>0</v>
          </cell>
          <cell r="K43">
            <v>0</v>
          </cell>
          <cell r="L43">
            <v>0</v>
          </cell>
          <cell r="M43">
            <v>0</v>
          </cell>
          <cell r="N43">
            <v>0</v>
          </cell>
        </row>
        <row r="44">
          <cell r="C44">
            <v>960000</v>
          </cell>
          <cell r="D44">
            <v>0</v>
          </cell>
          <cell r="E44">
            <v>0</v>
          </cell>
          <cell r="F44">
            <v>0</v>
          </cell>
          <cell r="G44">
            <v>0</v>
          </cell>
          <cell r="H44">
            <v>0</v>
          </cell>
          <cell r="I44">
            <v>0</v>
          </cell>
          <cell r="J44">
            <v>0</v>
          </cell>
          <cell r="K44">
            <v>0</v>
          </cell>
          <cell r="L44">
            <v>0</v>
          </cell>
          <cell r="M44">
            <v>0</v>
          </cell>
          <cell r="N44">
            <v>0</v>
          </cell>
        </row>
        <row r="45">
          <cell r="C45">
            <v>965000</v>
          </cell>
          <cell r="D45">
            <v>0</v>
          </cell>
          <cell r="E45">
            <v>0</v>
          </cell>
          <cell r="F45">
            <v>0</v>
          </cell>
          <cell r="G45">
            <v>0</v>
          </cell>
          <cell r="H45">
            <v>0</v>
          </cell>
          <cell r="I45">
            <v>0</v>
          </cell>
          <cell r="J45">
            <v>0</v>
          </cell>
          <cell r="K45">
            <v>0</v>
          </cell>
          <cell r="L45">
            <v>0</v>
          </cell>
          <cell r="M45">
            <v>0</v>
          </cell>
          <cell r="N45">
            <v>0</v>
          </cell>
        </row>
        <row r="46">
          <cell r="C46">
            <v>970000</v>
          </cell>
          <cell r="D46">
            <v>0</v>
          </cell>
          <cell r="E46">
            <v>0</v>
          </cell>
          <cell r="F46">
            <v>0</v>
          </cell>
          <cell r="G46">
            <v>0</v>
          </cell>
          <cell r="H46">
            <v>0</v>
          </cell>
          <cell r="I46">
            <v>0</v>
          </cell>
          <cell r="J46">
            <v>0</v>
          </cell>
          <cell r="K46">
            <v>0</v>
          </cell>
          <cell r="L46">
            <v>0</v>
          </cell>
          <cell r="M46">
            <v>0</v>
          </cell>
          <cell r="N46">
            <v>0</v>
          </cell>
        </row>
        <row r="47">
          <cell r="C47">
            <v>975000</v>
          </cell>
          <cell r="D47">
            <v>0</v>
          </cell>
          <cell r="E47">
            <v>0</v>
          </cell>
          <cell r="F47">
            <v>0</v>
          </cell>
          <cell r="G47">
            <v>0</v>
          </cell>
          <cell r="H47">
            <v>0</v>
          </cell>
          <cell r="I47">
            <v>0</v>
          </cell>
          <cell r="J47">
            <v>0</v>
          </cell>
          <cell r="K47">
            <v>0</v>
          </cell>
          <cell r="L47">
            <v>0</v>
          </cell>
          <cell r="M47">
            <v>0</v>
          </cell>
          <cell r="N47">
            <v>0</v>
          </cell>
        </row>
        <row r="48">
          <cell r="C48">
            <v>980000</v>
          </cell>
          <cell r="D48">
            <v>0</v>
          </cell>
          <cell r="E48">
            <v>0</v>
          </cell>
          <cell r="F48">
            <v>0</v>
          </cell>
          <cell r="G48">
            <v>0</v>
          </cell>
          <cell r="H48">
            <v>0</v>
          </cell>
          <cell r="I48">
            <v>0</v>
          </cell>
          <cell r="J48">
            <v>0</v>
          </cell>
          <cell r="K48">
            <v>0</v>
          </cell>
          <cell r="L48">
            <v>0</v>
          </cell>
          <cell r="M48">
            <v>0</v>
          </cell>
          <cell r="N48">
            <v>0</v>
          </cell>
        </row>
        <row r="49">
          <cell r="C49">
            <v>985000</v>
          </cell>
          <cell r="D49">
            <v>0</v>
          </cell>
          <cell r="E49">
            <v>0</v>
          </cell>
          <cell r="F49">
            <v>0</v>
          </cell>
          <cell r="G49">
            <v>0</v>
          </cell>
          <cell r="H49">
            <v>0</v>
          </cell>
          <cell r="I49">
            <v>0</v>
          </cell>
          <cell r="J49">
            <v>0</v>
          </cell>
          <cell r="K49">
            <v>0</v>
          </cell>
          <cell r="L49">
            <v>0</v>
          </cell>
          <cell r="M49">
            <v>0</v>
          </cell>
          <cell r="N49">
            <v>0</v>
          </cell>
        </row>
        <row r="50">
          <cell r="C50">
            <v>990000</v>
          </cell>
          <cell r="D50">
            <v>0</v>
          </cell>
          <cell r="E50">
            <v>0</v>
          </cell>
          <cell r="F50">
            <v>0</v>
          </cell>
          <cell r="G50">
            <v>0</v>
          </cell>
          <cell r="H50">
            <v>0</v>
          </cell>
          <cell r="I50">
            <v>0</v>
          </cell>
          <cell r="J50">
            <v>0</v>
          </cell>
          <cell r="K50">
            <v>0</v>
          </cell>
          <cell r="L50">
            <v>0</v>
          </cell>
          <cell r="M50">
            <v>0</v>
          </cell>
          <cell r="N50">
            <v>0</v>
          </cell>
        </row>
        <row r="51">
          <cell r="C51">
            <v>995000</v>
          </cell>
          <cell r="D51">
            <v>0</v>
          </cell>
          <cell r="E51">
            <v>0</v>
          </cell>
          <cell r="F51">
            <v>0</v>
          </cell>
          <cell r="G51">
            <v>0</v>
          </cell>
          <cell r="H51">
            <v>0</v>
          </cell>
          <cell r="I51">
            <v>0</v>
          </cell>
          <cell r="J51">
            <v>0</v>
          </cell>
          <cell r="K51">
            <v>0</v>
          </cell>
          <cell r="L51">
            <v>0</v>
          </cell>
          <cell r="M51">
            <v>0</v>
          </cell>
          <cell r="N51">
            <v>0</v>
          </cell>
        </row>
        <row r="52">
          <cell r="C52">
            <v>1000000</v>
          </cell>
          <cell r="D52">
            <v>0</v>
          </cell>
          <cell r="E52">
            <v>0</v>
          </cell>
          <cell r="F52">
            <v>0</v>
          </cell>
          <cell r="G52">
            <v>0</v>
          </cell>
          <cell r="H52">
            <v>0</v>
          </cell>
          <cell r="I52">
            <v>0</v>
          </cell>
          <cell r="J52">
            <v>0</v>
          </cell>
          <cell r="K52">
            <v>0</v>
          </cell>
          <cell r="L52">
            <v>0</v>
          </cell>
          <cell r="M52">
            <v>0</v>
          </cell>
          <cell r="N52">
            <v>0</v>
          </cell>
        </row>
        <row r="53">
          <cell r="C53">
            <v>1005000</v>
          </cell>
          <cell r="D53">
            <v>0</v>
          </cell>
          <cell r="E53">
            <v>0</v>
          </cell>
          <cell r="F53">
            <v>0</v>
          </cell>
          <cell r="G53">
            <v>0</v>
          </cell>
          <cell r="H53">
            <v>0</v>
          </cell>
          <cell r="I53">
            <v>0</v>
          </cell>
          <cell r="J53">
            <v>0</v>
          </cell>
          <cell r="K53">
            <v>0</v>
          </cell>
          <cell r="L53">
            <v>0</v>
          </cell>
          <cell r="M53">
            <v>0</v>
          </cell>
          <cell r="N53">
            <v>0</v>
          </cell>
        </row>
        <row r="54">
          <cell r="C54">
            <v>1010000</v>
          </cell>
          <cell r="D54">
            <v>0</v>
          </cell>
          <cell r="E54">
            <v>0</v>
          </cell>
          <cell r="F54">
            <v>0</v>
          </cell>
          <cell r="G54">
            <v>0</v>
          </cell>
          <cell r="H54">
            <v>0</v>
          </cell>
          <cell r="I54">
            <v>0</v>
          </cell>
          <cell r="J54">
            <v>0</v>
          </cell>
          <cell r="K54">
            <v>0</v>
          </cell>
          <cell r="L54">
            <v>0</v>
          </cell>
          <cell r="M54">
            <v>0</v>
          </cell>
          <cell r="N54">
            <v>0</v>
          </cell>
        </row>
        <row r="55">
          <cell r="C55">
            <v>1015000</v>
          </cell>
          <cell r="D55">
            <v>0</v>
          </cell>
          <cell r="E55">
            <v>0</v>
          </cell>
          <cell r="F55">
            <v>0</v>
          </cell>
          <cell r="G55">
            <v>0</v>
          </cell>
          <cell r="H55">
            <v>0</v>
          </cell>
          <cell r="I55">
            <v>0</v>
          </cell>
          <cell r="J55">
            <v>0</v>
          </cell>
          <cell r="K55">
            <v>0</v>
          </cell>
          <cell r="L55">
            <v>0</v>
          </cell>
          <cell r="M55">
            <v>0</v>
          </cell>
          <cell r="N55">
            <v>0</v>
          </cell>
        </row>
        <row r="56">
          <cell r="C56">
            <v>1020000</v>
          </cell>
          <cell r="D56">
            <v>0</v>
          </cell>
          <cell r="E56">
            <v>0</v>
          </cell>
          <cell r="F56">
            <v>0</v>
          </cell>
          <cell r="G56">
            <v>0</v>
          </cell>
          <cell r="H56">
            <v>0</v>
          </cell>
          <cell r="I56">
            <v>0</v>
          </cell>
          <cell r="J56">
            <v>0</v>
          </cell>
          <cell r="K56">
            <v>0</v>
          </cell>
          <cell r="L56">
            <v>0</v>
          </cell>
          <cell r="M56">
            <v>0</v>
          </cell>
          <cell r="N56">
            <v>0</v>
          </cell>
        </row>
        <row r="57">
          <cell r="C57">
            <v>1025000</v>
          </cell>
          <cell r="D57">
            <v>0</v>
          </cell>
          <cell r="E57">
            <v>0</v>
          </cell>
          <cell r="F57">
            <v>0</v>
          </cell>
          <cell r="G57">
            <v>0</v>
          </cell>
          <cell r="H57">
            <v>0</v>
          </cell>
          <cell r="I57">
            <v>0</v>
          </cell>
          <cell r="J57">
            <v>0</v>
          </cell>
          <cell r="K57">
            <v>0</v>
          </cell>
          <cell r="L57">
            <v>0</v>
          </cell>
          <cell r="M57">
            <v>0</v>
          </cell>
          <cell r="N57">
            <v>0</v>
          </cell>
        </row>
        <row r="58">
          <cell r="C58">
            <v>1030000</v>
          </cell>
          <cell r="D58">
            <v>0</v>
          </cell>
          <cell r="E58">
            <v>0</v>
          </cell>
          <cell r="F58">
            <v>0</v>
          </cell>
          <cell r="G58">
            <v>0</v>
          </cell>
          <cell r="H58">
            <v>0</v>
          </cell>
          <cell r="I58">
            <v>0</v>
          </cell>
          <cell r="J58">
            <v>0</v>
          </cell>
          <cell r="K58">
            <v>0</v>
          </cell>
          <cell r="L58">
            <v>0</v>
          </cell>
          <cell r="M58">
            <v>0</v>
          </cell>
          <cell r="N58">
            <v>0</v>
          </cell>
        </row>
        <row r="59">
          <cell r="C59">
            <v>1035000</v>
          </cell>
          <cell r="D59">
            <v>0</v>
          </cell>
          <cell r="E59">
            <v>0</v>
          </cell>
          <cell r="F59">
            <v>0</v>
          </cell>
          <cell r="G59">
            <v>0</v>
          </cell>
          <cell r="H59">
            <v>0</v>
          </cell>
          <cell r="I59">
            <v>0</v>
          </cell>
          <cell r="J59">
            <v>0</v>
          </cell>
          <cell r="K59">
            <v>0</v>
          </cell>
          <cell r="L59">
            <v>0</v>
          </cell>
          <cell r="M59">
            <v>0</v>
          </cell>
          <cell r="N59">
            <v>0</v>
          </cell>
        </row>
        <row r="60">
          <cell r="C60">
            <v>1040000</v>
          </cell>
          <cell r="D60">
            <v>0</v>
          </cell>
          <cell r="E60">
            <v>0</v>
          </cell>
          <cell r="F60">
            <v>0</v>
          </cell>
          <cell r="G60">
            <v>0</v>
          </cell>
          <cell r="H60">
            <v>0</v>
          </cell>
          <cell r="I60">
            <v>0</v>
          </cell>
          <cell r="J60">
            <v>0</v>
          </cell>
          <cell r="K60">
            <v>0</v>
          </cell>
          <cell r="L60">
            <v>0</v>
          </cell>
          <cell r="M60">
            <v>0</v>
          </cell>
          <cell r="N60">
            <v>0</v>
          </cell>
        </row>
        <row r="61">
          <cell r="C61">
            <v>1045000</v>
          </cell>
          <cell r="D61">
            <v>0</v>
          </cell>
          <cell r="E61">
            <v>0</v>
          </cell>
          <cell r="F61">
            <v>0</v>
          </cell>
          <cell r="G61">
            <v>0</v>
          </cell>
          <cell r="H61">
            <v>0</v>
          </cell>
          <cell r="I61">
            <v>0</v>
          </cell>
          <cell r="J61">
            <v>0</v>
          </cell>
          <cell r="K61">
            <v>0</v>
          </cell>
          <cell r="L61">
            <v>0</v>
          </cell>
          <cell r="M61">
            <v>0</v>
          </cell>
          <cell r="N61">
            <v>0</v>
          </cell>
        </row>
        <row r="62">
          <cell r="C62">
            <v>1050000</v>
          </cell>
          <cell r="D62">
            <v>0</v>
          </cell>
          <cell r="E62">
            <v>0</v>
          </cell>
          <cell r="F62">
            <v>0</v>
          </cell>
          <cell r="G62">
            <v>0</v>
          </cell>
          <cell r="H62">
            <v>0</v>
          </cell>
          <cell r="I62">
            <v>0</v>
          </cell>
          <cell r="J62">
            <v>0</v>
          </cell>
          <cell r="K62">
            <v>0</v>
          </cell>
          <cell r="L62">
            <v>0</v>
          </cell>
          <cell r="M62">
            <v>0</v>
          </cell>
          <cell r="N62">
            <v>0</v>
          </cell>
        </row>
        <row r="63">
          <cell r="C63">
            <v>1055000</v>
          </cell>
          <cell r="D63">
            <v>0</v>
          </cell>
          <cell r="E63">
            <v>0</v>
          </cell>
          <cell r="F63">
            <v>0</v>
          </cell>
          <cell r="G63">
            <v>0</v>
          </cell>
          <cell r="H63">
            <v>0</v>
          </cell>
          <cell r="I63">
            <v>0</v>
          </cell>
          <cell r="J63">
            <v>0</v>
          </cell>
          <cell r="K63">
            <v>0</v>
          </cell>
          <cell r="L63">
            <v>0</v>
          </cell>
          <cell r="M63">
            <v>0</v>
          </cell>
          <cell r="N63">
            <v>0</v>
          </cell>
        </row>
        <row r="64">
          <cell r="C64">
            <v>1060000</v>
          </cell>
          <cell r="D64">
            <v>1040</v>
          </cell>
          <cell r="E64">
            <v>0</v>
          </cell>
          <cell r="F64">
            <v>0</v>
          </cell>
          <cell r="G64">
            <v>0</v>
          </cell>
          <cell r="H64">
            <v>0</v>
          </cell>
          <cell r="I64">
            <v>0</v>
          </cell>
          <cell r="J64">
            <v>0</v>
          </cell>
          <cell r="K64">
            <v>0</v>
          </cell>
          <cell r="L64">
            <v>0</v>
          </cell>
          <cell r="M64">
            <v>0</v>
          </cell>
          <cell r="N64">
            <v>0</v>
          </cell>
        </row>
        <row r="65">
          <cell r="C65">
            <v>1065000</v>
          </cell>
          <cell r="D65">
            <v>1110</v>
          </cell>
          <cell r="E65">
            <v>0</v>
          </cell>
          <cell r="F65">
            <v>0</v>
          </cell>
          <cell r="G65">
            <v>0</v>
          </cell>
          <cell r="H65">
            <v>0</v>
          </cell>
          <cell r="I65">
            <v>0</v>
          </cell>
          <cell r="J65">
            <v>0</v>
          </cell>
          <cell r="K65">
            <v>0</v>
          </cell>
          <cell r="L65">
            <v>0</v>
          </cell>
          <cell r="M65">
            <v>0</v>
          </cell>
          <cell r="N65">
            <v>0</v>
          </cell>
        </row>
        <row r="66">
          <cell r="C66">
            <v>1070000</v>
          </cell>
          <cell r="D66">
            <v>1180</v>
          </cell>
          <cell r="E66">
            <v>0</v>
          </cell>
          <cell r="F66">
            <v>0</v>
          </cell>
          <cell r="G66">
            <v>0</v>
          </cell>
          <cell r="H66">
            <v>0</v>
          </cell>
          <cell r="I66">
            <v>0</v>
          </cell>
          <cell r="J66">
            <v>0</v>
          </cell>
          <cell r="K66">
            <v>0</v>
          </cell>
          <cell r="L66">
            <v>0</v>
          </cell>
          <cell r="M66">
            <v>0</v>
          </cell>
          <cell r="N66">
            <v>0</v>
          </cell>
        </row>
        <row r="67">
          <cell r="C67">
            <v>1075000</v>
          </cell>
          <cell r="D67">
            <v>1250</v>
          </cell>
          <cell r="E67">
            <v>0</v>
          </cell>
          <cell r="F67">
            <v>0</v>
          </cell>
          <cell r="G67">
            <v>0</v>
          </cell>
          <cell r="H67">
            <v>0</v>
          </cell>
          <cell r="I67">
            <v>0</v>
          </cell>
          <cell r="J67">
            <v>0</v>
          </cell>
          <cell r="K67">
            <v>0</v>
          </cell>
          <cell r="L67">
            <v>0</v>
          </cell>
          <cell r="M67">
            <v>0</v>
          </cell>
          <cell r="N67">
            <v>0</v>
          </cell>
        </row>
        <row r="68">
          <cell r="C68">
            <v>1080000</v>
          </cell>
          <cell r="D68">
            <v>1320</v>
          </cell>
          <cell r="E68">
            <v>0</v>
          </cell>
          <cell r="F68">
            <v>0</v>
          </cell>
          <cell r="G68">
            <v>0</v>
          </cell>
          <cell r="H68">
            <v>0</v>
          </cell>
          <cell r="I68">
            <v>0</v>
          </cell>
          <cell r="J68">
            <v>0</v>
          </cell>
          <cell r="K68">
            <v>0</v>
          </cell>
          <cell r="L68">
            <v>0</v>
          </cell>
          <cell r="M68">
            <v>0</v>
          </cell>
          <cell r="N68">
            <v>0</v>
          </cell>
        </row>
        <row r="69">
          <cell r="C69">
            <v>1085000</v>
          </cell>
          <cell r="D69">
            <v>1390</v>
          </cell>
          <cell r="E69">
            <v>0</v>
          </cell>
          <cell r="F69">
            <v>0</v>
          </cell>
          <cell r="G69">
            <v>0</v>
          </cell>
          <cell r="H69">
            <v>0</v>
          </cell>
          <cell r="I69">
            <v>0</v>
          </cell>
          <cell r="J69">
            <v>0</v>
          </cell>
          <cell r="K69">
            <v>0</v>
          </cell>
          <cell r="L69">
            <v>0</v>
          </cell>
          <cell r="M69">
            <v>0</v>
          </cell>
          <cell r="N69">
            <v>0</v>
          </cell>
        </row>
        <row r="70">
          <cell r="C70">
            <v>1090000</v>
          </cell>
          <cell r="D70">
            <v>1460</v>
          </cell>
          <cell r="E70">
            <v>0</v>
          </cell>
          <cell r="F70">
            <v>0</v>
          </cell>
          <cell r="G70">
            <v>0</v>
          </cell>
          <cell r="H70">
            <v>0</v>
          </cell>
          <cell r="I70">
            <v>0</v>
          </cell>
          <cell r="J70">
            <v>0</v>
          </cell>
          <cell r="K70">
            <v>0</v>
          </cell>
          <cell r="L70">
            <v>0</v>
          </cell>
          <cell r="M70">
            <v>0</v>
          </cell>
          <cell r="N70">
            <v>0</v>
          </cell>
        </row>
        <row r="71">
          <cell r="C71">
            <v>1095000</v>
          </cell>
          <cell r="D71">
            <v>1530</v>
          </cell>
          <cell r="E71">
            <v>0</v>
          </cell>
          <cell r="F71">
            <v>0</v>
          </cell>
          <cell r="G71">
            <v>0</v>
          </cell>
          <cell r="H71">
            <v>0</v>
          </cell>
          <cell r="I71">
            <v>0</v>
          </cell>
          <cell r="J71">
            <v>0</v>
          </cell>
          <cell r="K71">
            <v>0</v>
          </cell>
          <cell r="L71">
            <v>0</v>
          </cell>
          <cell r="M71">
            <v>0</v>
          </cell>
          <cell r="N71">
            <v>0</v>
          </cell>
        </row>
        <row r="72">
          <cell r="C72">
            <v>1100000</v>
          </cell>
          <cell r="D72">
            <v>1600</v>
          </cell>
          <cell r="E72">
            <v>0</v>
          </cell>
          <cell r="F72">
            <v>0</v>
          </cell>
          <cell r="G72">
            <v>0</v>
          </cell>
          <cell r="H72">
            <v>0</v>
          </cell>
          <cell r="I72">
            <v>0</v>
          </cell>
          <cell r="J72">
            <v>0</v>
          </cell>
          <cell r="K72">
            <v>0</v>
          </cell>
          <cell r="L72">
            <v>0</v>
          </cell>
          <cell r="M72">
            <v>0</v>
          </cell>
          <cell r="N72">
            <v>0</v>
          </cell>
        </row>
        <row r="73">
          <cell r="C73">
            <v>1105000</v>
          </cell>
          <cell r="D73">
            <v>1670</v>
          </cell>
          <cell r="E73">
            <v>0</v>
          </cell>
          <cell r="F73">
            <v>0</v>
          </cell>
          <cell r="G73">
            <v>0</v>
          </cell>
          <cell r="H73">
            <v>0</v>
          </cell>
          <cell r="I73">
            <v>0</v>
          </cell>
          <cell r="J73">
            <v>0</v>
          </cell>
          <cell r="K73">
            <v>0</v>
          </cell>
          <cell r="L73">
            <v>0</v>
          </cell>
          <cell r="M73">
            <v>0</v>
          </cell>
          <cell r="N73">
            <v>0</v>
          </cell>
        </row>
        <row r="74">
          <cell r="C74">
            <v>1110000</v>
          </cell>
          <cell r="D74">
            <v>1740</v>
          </cell>
          <cell r="E74">
            <v>0</v>
          </cell>
          <cell r="F74">
            <v>0</v>
          </cell>
          <cell r="G74">
            <v>0</v>
          </cell>
          <cell r="H74">
            <v>0</v>
          </cell>
          <cell r="I74">
            <v>0</v>
          </cell>
          <cell r="J74">
            <v>0</v>
          </cell>
          <cell r="K74">
            <v>0</v>
          </cell>
          <cell r="L74">
            <v>0</v>
          </cell>
          <cell r="M74">
            <v>0</v>
          </cell>
          <cell r="N74">
            <v>0</v>
          </cell>
        </row>
        <row r="75">
          <cell r="C75">
            <v>1115000</v>
          </cell>
          <cell r="D75">
            <v>1810</v>
          </cell>
          <cell r="E75">
            <v>0</v>
          </cell>
          <cell r="F75">
            <v>0</v>
          </cell>
          <cell r="G75">
            <v>0</v>
          </cell>
          <cell r="H75">
            <v>0</v>
          </cell>
          <cell r="I75">
            <v>0</v>
          </cell>
          <cell r="J75">
            <v>0</v>
          </cell>
          <cell r="K75">
            <v>0</v>
          </cell>
          <cell r="L75">
            <v>0</v>
          </cell>
          <cell r="M75">
            <v>0</v>
          </cell>
          <cell r="N75">
            <v>0</v>
          </cell>
        </row>
        <row r="76">
          <cell r="C76">
            <v>1120000</v>
          </cell>
          <cell r="D76">
            <v>1880</v>
          </cell>
          <cell r="E76">
            <v>0</v>
          </cell>
          <cell r="F76">
            <v>0</v>
          </cell>
          <cell r="G76">
            <v>0</v>
          </cell>
          <cell r="H76">
            <v>0</v>
          </cell>
          <cell r="I76">
            <v>0</v>
          </cell>
          <cell r="J76">
            <v>0</v>
          </cell>
          <cell r="K76">
            <v>0</v>
          </cell>
          <cell r="L76">
            <v>0</v>
          </cell>
          <cell r="M76">
            <v>0</v>
          </cell>
          <cell r="N76">
            <v>0</v>
          </cell>
        </row>
        <row r="77">
          <cell r="C77">
            <v>1125000</v>
          </cell>
          <cell r="D77">
            <v>1950</v>
          </cell>
          <cell r="E77">
            <v>0</v>
          </cell>
          <cell r="F77">
            <v>0</v>
          </cell>
          <cell r="G77">
            <v>0</v>
          </cell>
          <cell r="H77">
            <v>0</v>
          </cell>
          <cell r="I77">
            <v>0</v>
          </cell>
          <cell r="J77">
            <v>0</v>
          </cell>
          <cell r="K77">
            <v>0</v>
          </cell>
          <cell r="L77">
            <v>0</v>
          </cell>
          <cell r="M77">
            <v>0</v>
          </cell>
          <cell r="N77">
            <v>0</v>
          </cell>
        </row>
        <row r="78">
          <cell r="C78">
            <v>1130000</v>
          </cell>
          <cell r="D78">
            <v>2020</v>
          </cell>
          <cell r="E78">
            <v>0</v>
          </cell>
          <cell r="F78">
            <v>0</v>
          </cell>
          <cell r="G78">
            <v>0</v>
          </cell>
          <cell r="H78">
            <v>0</v>
          </cell>
          <cell r="I78">
            <v>0</v>
          </cell>
          <cell r="J78">
            <v>0</v>
          </cell>
          <cell r="K78">
            <v>0</v>
          </cell>
          <cell r="L78">
            <v>0</v>
          </cell>
          <cell r="M78">
            <v>0</v>
          </cell>
          <cell r="N78">
            <v>0</v>
          </cell>
        </row>
        <row r="79">
          <cell r="C79">
            <v>1135000</v>
          </cell>
          <cell r="D79">
            <v>2090</v>
          </cell>
          <cell r="E79">
            <v>0</v>
          </cell>
          <cell r="F79">
            <v>0</v>
          </cell>
          <cell r="G79">
            <v>0</v>
          </cell>
          <cell r="H79">
            <v>0</v>
          </cell>
          <cell r="I79">
            <v>0</v>
          </cell>
          <cell r="J79">
            <v>0</v>
          </cell>
          <cell r="K79">
            <v>0</v>
          </cell>
          <cell r="L79">
            <v>0</v>
          </cell>
          <cell r="M79">
            <v>0</v>
          </cell>
          <cell r="N79">
            <v>0</v>
          </cell>
        </row>
        <row r="80">
          <cell r="C80">
            <v>1140000</v>
          </cell>
          <cell r="D80">
            <v>2160</v>
          </cell>
          <cell r="E80">
            <v>0</v>
          </cell>
          <cell r="F80">
            <v>0</v>
          </cell>
          <cell r="G80">
            <v>0</v>
          </cell>
          <cell r="H80">
            <v>0</v>
          </cell>
          <cell r="I80">
            <v>0</v>
          </cell>
          <cell r="J80">
            <v>0</v>
          </cell>
          <cell r="K80">
            <v>0</v>
          </cell>
          <cell r="L80">
            <v>0</v>
          </cell>
          <cell r="M80">
            <v>0</v>
          </cell>
          <cell r="N80">
            <v>0</v>
          </cell>
        </row>
        <row r="81">
          <cell r="C81">
            <v>1145000</v>
          </cell>
          <cell r="D81">
            <v>2230</v>
          </cell>
          <cell r="E81">
            <v>0</v>
          </cell>
          <cell r="F81">
            <v>0</v>
          </cell>
          <cell r="G81">
            <v>0</v>
          </cell>
          <cell r="H81">
            <v>0</v>
          </cell>
          <cell r="I81">
            <v>0</v>
          </cell>
          <cell r="J81">
            <v>0</v>
          </cell>
          <cell r="K81">
            <v>0</v>
          </cell>
          <cell r="L81">
            <v>0</v>
          </cell>
          <cell r="M81">
            <v>0</v>
          </cell>
          <cell r="N81">
            <v>0</v>
          </cell>
        </row>
        <row r="82">
          <cell r="C82">
            <v>1150000</v>
          </cell>
          <cell r="D82">
            <v>2300</v>
          </cell>
          <cell r="E82">
            <v>0</v>
          </cell>
          <cell r="F82">
            <v>0</v>
          </cell>
          <cell r="G82">
            <v>0</v>
          </cell>
          <cell r="H82">
            <v>0</v>
          </cell>
          <cell r="I82">
            <v>0</v>
          </cell>
          <cell r="J82">
            <v>0</v>
          </cell>
          <cell r="K82">
            <v>0</v>
          </cell>
          <cell r="L82">
            <v>0</v>
          </cell>
          <cell r="M82">
            <v>0</v>
          </cell>
          <cell r="N82">
            <v>0</v>
          </cell>
        </row>
        <row r="83">
          <cell r="C83">
            <v>1155000</v>
          </cell>
          <cell r="D83">
            <v>2370</v>
          </cell>
          <cell r="E83">
            <v>0</v>
          </cell>
          <cell r="F83">
            <v>0</v>
          </cell>
          <cell r="G83">
            <v>0</v>
          </cell>
          <cell r="H83">
            <v>0</v>
          </cell>
          <cell r="I83">
            <v>0</v>
          </cell>
          <cell r="J83">
            <v>0</v>
          </cell>
          <cell r="K83">
            <v>0</v>
          </cell>
          <cell r="L83">
            <v>0</v>
          </cell>
          <cell r="M83">
            <v>0</v>
          </cell>
          <cell r="N83">
            <v>0</v>
          </cell>
        </row>
        <row r="84">
          <cell r="C84">
            <v>1160000</v>
          </cell>
          <cell r="D84">
            <v>2440</v>
          </cell>
          <cell r="E84">
            <v>0</v>
          </cell>
          <cell r="F84">
            <v>0</v>
          </cell>
          <cell r="G84">
            <v>0</v>
          </cell>
          <cell r="H84">
            <v>0</v>
          </cell>
          <cell r="I84">
            <v>0</v>
          </cell>
          <cell r="J84">
            <v>0</v>
          </cell>
          <cell r="K84">
            <v>0</v>
          </cell>
          <cell r="L84">
            <v>0</v>
          </cell>
          <cell r="M84">
            <v>0</v>
          </cell>
          <cell r="N84">
            <v>0</v>
          </cell>
        </row>
        <row r="85">
          <cell r="C85">
            <v>1165000</v>
          </cell>
          <cell r="D85">
            <v>2500</v>
          </cell>
          <cell r="E85">
            <v>0</v>
          </cell>
          <cell r="F85">
            <v>0</v>
          </cell>
          <cell r="G85">
            <v>0</v>
          </cell>
          <cell r="H85">
            <v>0</v>
          </cell>
          <cell r="I85">
            <v>0</v>
          </cell>
          <cell r="J85">
            <v>0</v>
          </cell>
          <cell r="K85">
            <v>0</v>
          </cell>
          <cell r="L85">
            <v>0</v>
          </cell>
          <cell r="M85">
            <v>0</v>
          </cell>
          <cell r="N85">
            <v>0</v>
          </cell>
        </row>
        <row r="86">
          <cell r="C86">
            <v>1170000</v>
          </cell>
          <cell r="D86">
            <v>2570</v>
          </cell>
          <cell r="E86">
            <v>0</v>
          </cell>
          <cell r="F86">
            <v>0</v>
          </cell>
          <cell r="G86">
            <v>0</v>
          </cell>
          <cell r="H86">
            <v>0</v>
          </cell>
          <cell r="I86">
            <v>0</v>
          </cell>
          <cell r="J86">
            <v>0</v>
          </cell>
          <cell r="K86">
            <v>0</v>
          </cell>
          <cell r="L86">
            <v>0</v>
          </cell>
          <cell r="M86">
            <v>0</v>
          </cell>
          <cell r="N86">
            <v>0</v>
          </cell>
        </row>
        <row r="87">
          <cell r="C87">
            <v>1175000</v>
          </cell>
          <cell r="D87">
            <v>2640</v>
          </cell>
          <cell r="E87">
            <v>0</v>
          </cell>
          <cell r="F87">
            <v>0</v>
          </cell>
          <cell r="G87">
            <v>0</v>
          </cell>
          <cell r="H87">
            <v>0</v>
          </cell>
          <cell r="I87">
            <v>0</v>
          </cell>
          <cell r="J87">
            <v>0</v>
          </cell>
          <cell r="K87">
            <v>0</v>
          </cell>
          <cell r="L87">
            <v>0</v>
          </cell>
          <cell r="M87">
            <v>0</v>
          </cell>
          <cell r="N87">
            <v>0</v>
          </cell>
        </row>
        <row r="88">
          <cell r="C88">
            <v>1180000</v>
          </cell>
          <cell r="D88">
            <v>2710</v>
          </cell>
          <cell r="E88">
            <v>0</v>
          </cell>
          <cell r="F88">
            <v>0</v>
          </cell>
          <cell r="G88">
            <v>0</v>
          </cell>
          <cell r="H88">
            <v>0</v>
          </cell>
          <cell r="I88">
            <v>0</v>
          </cell>
          <cell r="J88">
            <v>0</v>
          </cell>
          <cell r="K88">
            <v>0</v>
          </cell>
          <cell r="L88">
            <v>0</v>
          </cell>
          <cell r="M88">
            <v>0</v>
          </cell>
          <cell r="N88">
            <v>0</v>
          </cell>
        </row>
        <row r="89">
          <cell r="C89">
            <v>1185000</v>
          </cell>
          <cell r="D89">
            <v>2780</v>
          </cell>
          <cell r="E89">
            <v>0</v>
          </cell>
          <cell r="F89">
            <v>0</v>
          </cell>
          <cell r="G89">
            <v>0</v>
          </cell>
          <cell r="H89">
            <v>0</v>
          </cell>
          <cell r="I89">
            <v>0</v>
          </cell>
          <cell r="J89">
            <v>0</v>
          </cell>
          <cell r="K89">
            <v>0</v>
          </cell>
          <cell r="L89">
            <v>0</v>
          </cell>
          <cell r="M89">
            <v>0</v>
          </cell>
          <cell r="N89">
            <v>0</v>
          </cell>
        </row>
        <row r="90">
          <cell r="C90">
            <v>1190000</v>
          </cell>
          <cell r="D90">
            <v>2850</v>
          </cell>
          <cell r="E90">
            <v>0</v>
          </cell>
          <cell r="F90">
            <v>0</v>
          </cell>
          <cell r="G90">
            <v>0</v>
          </cell>
          <cell r="H90">
            <v>0</v>
          </cell>
          <cell r="I90">
            <v>0</v>
          </cell>
          <cell r="J90">
            <v>0</v>
          </cell>
          <cell r="K90">
            <v>0</v>
          </cell>
          <cell r="L90">
            <v>0</v>
          </cell>
          <cell r="M90">
            <v>0</v>
          </cell>
          <cell r="N90">
            <v>0</v>
          </cell>
        </row>
        <row r="91">
          <cell r="C91">
            <v>1195000</v>
          </cell>
          <cell r="D91">
            <v>2920</v>
          </cell>
          <cell r="E91">
            <v>0</v>
          </cell>
          <cell r="F91">
            <v>0</v>
          </cell>
          <cell r="G91">
            <v>0</v>
          </cell>
          <cell r="H91">
            <v>0</v>
          </cell>
          <cell r="I91">
            <v>0</v>
          </cell>
          <cell r="J91">
            <v>0</v>
          </cell>
          <cell r="K91">
            <v>0</v>
          </cell>
          <cell r="L91">
            <v>0</v>
          </cell>
          <cell r="M91">
            <v>0</v>
          </cell>
          <cell r="N91">
            <v>0</v>
          </cell>
        </row>
        <row r="92">
          <cell r="C92">
            <v>1200000</v>
          </cell>
          <cell r="D92">
            <v>2990</v>
          </cell>
          <cell r="E92">
            <v>0</v>
          </cell>
          <cell r="F92">
            <v>0</v>
          </cell>
          <cell r="G92">
            <v>0</v>
          </cell>
          <cell r="H92">
            <v>0</v>
          </cell>
          <cell r="I92">
            <v>0</v>
          </cell>
          <cell r="J92">
            <v>0</v>
          </cell>
          <cell r="K92">
            <v>0</v>
          </cell>
          <cell r="L92">
            <v>0</v>
          </cell>
          <cell r="M92">
            <v>0</v>
          </cell>
          <cell r="N92">
            <v>0</v>
          </cell>
        </row>
        <row r="93">
          <cell r="C93">
            <v>1205000</v>
          </cell>
          <cell r="D93">
            <v>3060</v>
          </cell>
          <cell r="E93">
            <v>0</v>
          </cell>
          <cell r="F93">
            <v>0</v>
          </cell>
          <cell r="G93">
            <v>0</v>
          </cell>
          <cell r="H93">
            <v>0</v>
          </cell>
          <cell r="I93">
            <v>0</v>
          </cell>
          <cell r="J93">
            <v>0</v>
          </cell>
          <cell r="K93">
            <v>0</v>
          </cell>
          <cell r="L93">
            <v>0</v>
          </cell>
          <cell r="M93">
            <v>0</v>
          </cell>
          <cell r="N93">
            <v>0</v>
          </cell>
        </row>
        <row r="94">
          <cell r="C94">
            <v>1210000</v>
          </cell>
          <cell r="D94">
            <v>3130</v>
          </cell>
          <cell r="E94">
            <v>0</v>
          </cell>
          <cell r="F94">
            <v>0</v>
          </cell>
          <cell r="G94">
            <v>0</v>
          </cell>
          <cell r="H94">
            <v>0</v>
          </cell>
          <cell r="I94">
            <v>0</v>
          </cell>
          <cell r="J94">
            <v>0</v>
          </cell>
          <cell r="K94">
            <v>0</v>
          </cell>
          <cell r="L94">
            <v>0</v>
          </cell>
          <cell r="M94">
            <v>0</v>
          </cell>
          <cell r="N94">
            <v>0</v>
          </cell>
        </row>
        <row r="95">
          <cell r="C95">
            <v>1215000</v>
          </cell>
          <cell r="D95">
            <v>3200</v>
          </cell>
          <cell r="E95">
            <v>0</v>
          </cell>
          <cell r="F95">
            <v>0</v>
          </cell>
          <cell r="G95">
            <v>0</v>
          </cell>
          <cell r="H95">
            <v>0</v>
          </cell>
          <cell r="I95">
            <v>0</v>
          </cell>
          <cell r="J95">
            <v>0</v>
          </cell>
          <cell r="K95">
            <v>0</v>
          </cell>
          <cell r="L95">
            <v>0</v>
          </cell>
          <cell r="M95">
            <v>0</v>
          </cell>
          <cell r="N95">
            <v>0</v>
          </cell>
        </row>
        <row r="96">
          <cell r="C96">
            <v>1220000</v>
          </cell>
          <cell r="D96">
            <v>3270</v>
          </cell>
          <cell r="E96">
            <v>0</v>
          </cell>
          <cell r="F96">
            <v>0</v>
          </cell>
          <cell r="G96">
            <v>0</v>
          </cell>
          <cell r="H96">
            <v>0</v>
          </cell>
          <cell r="I96">
            <v>0</v>
          </cell>
          <cell r="J96">
            <v>0</v>
          </cell>
          <cell r="K96">
            <v>0</v>
          </cell>
          <cell r="L96">
            <v>0</v>
          </cell>
          <cell r="M96">
            <v>0</v>
          </cell>
          <cell r="N96">
            <v>0</v>
          </cell>
        </row>
        <row r="97">
          <cell r="C97">
            <v>1225000</v>
          </cell>
          <cell r="D97">
            <v>3340</v>
          </cell>
          <cell r="E97">
            <v>0</v>
          </cell>
          <cell r="F97">
            <v>0</v>
          </cell>
          <cell r="G97">
            <v>0</v>
          </cell>
          <cell r="H97">
            <v>0</v>
          </cell>
          <cell r="I97">
            <v>0</v>
          </cell>
          <cell r="J97">
            <v>0</v>
          </cell>
          <cell r="K97">
            <v>0</v>
          </cell>
          <cell r="L97">
            <v>0</v>
          </cell>
          <cell r="M97">
            <v>0</v>
          </cell>
          <cell r="N97">
            <v>0</v>
          </cell>
        </row>
        <row r="98">
          <cell r="C98">
            <v>1230000</v>
          </cell>
          <cell r="D98">
            <v>3410</v>
          </cell>
          <cell r="E98">
            <v>0</v>
          </cell>
          <cell r="F98">
            <v>0</v>
          </cell>
          <cell r="G98">
            <v>0</v>
          </cell>
          <cell r="H98">
            <v>0</v>
          </cell>
          <cell r="I98">
            <v>0</v>
          </cell>
          <cell r="J98">
            <v>0</v>
          </cell>
          <cell r="K98">
            <v>0</v>
          </cell>
          <cell r="L98">
            <v>0</v>
          </cell>
          <cell r="M98">
            <v>0</v>
          </cell>
          <cell r="N98">
            <v>0</v>
          </cell>
        </row>
        <row r="99">
          <cell r="C99">
            <v>1235000</v>
          </cell>
          <cell r="D99">
            <v>3480</v>
          </cell>
          <cell r="E99">
            <v>0</v>
          </cell>
          <cell r="F99">
            <v>0</v>
          </cell>
          <cell r="G99">
            <v>0</v>
          </cell>
          <cell r="H99">
            <v>0</v>
          </cell>
          <cell r="I99">
            <v>0</v>
          </cell>
          <cell r="J99">
            <v>0</v>
          </cell>
          <cell r="K99">
            <v>0</v>
          </cell>
          <cell r="L99">
            <v>0</v>
          </cell>
          <cell r="M99">
            <v>0</v>
          </cell>
          <cell r="N99">
            <v>0</v>
          </cell>
        </row>
        <row r="100">
          <cell r="C100">
            <v>1240000</v>
          </cell>
          <cell r="D100">
            <v>3550</v>
          </cell>
          <cell r="E100">
            <v>0</v>
          </cell>
          <cell r="F100">
            <v>0</v>
          </cell>
          <cell r="G100">
            <v>0</v>
          </cell>
          <cell r="H100">
            <v>0</v>
          </cell>
          <cell r="I100">
            <v>0</v>
          </cell>
          <cell r="J100">
            <v>0</v>
          </cell>
          <cell r="K100">
            <v>0</v>
          </cell>
          <cell r="L100">
            <v>0</v>
          </cell>
          <cell r="M100">
            <v>0</v>
          </cell>
          <cell r="N100">
            <v>0</v>
          </cell>
        </row>
        <row r="101">
          <cell r="C101">
            <v>1245000</v>
          </cell>
          <cell r="D101">
            <v>3620</v>
          </cell>
          <cell r="E101">
            <v>0</v>
          </cell>
          <cell r="F101">
            <v>0</v>
          </cell>
          <cell r="G101">
            <v>0</v>
          </cell>
          <cell r="H101">
            <v>0</v>
          </cell>
          <cell r="I101">
            <v>0</v>
          </cell>
          <cell r="J101">
            <v>0</v>
          </cell>
          <cell r="K101">
            <v>0</v>
          </cell>
          <cell r="L101">
            <v>0</v>
          </cell>
          <cell r="M101">
            <v>0</v>
          </cell>
          <cell r="N101">
            <v>0</v>
          </cell>
        </row>
        <row r="102">
          <cell r="C102">
            <v>1250000</v>
          </cell>
          <cell r="D102">
            <v>3700</v>
          </cell>
          <cell r="E102">
            <v>0</v>
          </cell>
          <cell r="F102">
            <v>0</v>
          </cell>
          <cell r="G102">
            <v>0</v>
          </cell>
          <cell r="H102">
            <v>0</v>
          </cell>
          <cell r="I102">
            <v>0</v>
          </cell>
          <cell r="J102">
            <v>0</v>
          </cell>
          <cell r="K102">
            <v>0</v>
          </cell>
          <cell r="L102">
            <v>0</v>
          </cell>
          <cell r="M102">
            <v>0</v>
          </cell>
          <cell r="N102">
            <v>0</v>
          </cell>
        </row>
        <row r="103">
          <cell r="C103">
            <v>1255000</v>
          </cell>
          <cell r="D103">
            <v>3810</v>
          </cell>
          <cell r="E103">
            <v>0</v>
          </cell>
          <cell r="F103">
            <v>0</v>
          </cell>
          <cell r="G103">
            <v>0</v>
          </cell>
          <cell r="H103">
            <v>0</v>
          </cell>
          <cell r="I103">
            <v>0</v>
          </cell>
          <cell r="J103">
            <v>0</v>
          </cell>
          <cell r="K103">
            <v>0</v>
          </cell>
          <cell r="L103">
            <v>0</v>
          </cell>
          <cell r="M103">
            <v>0</v>
          </cell>
          <cell r="N103">
            <v>0</v>
          </cell>
        </row>
        <row r="104">
          <cell r="C104">
            <v>1260000</v>
          </cell>
          <cell r="D104">
            <v>3910</v>
          </cell>
          <cell r="E104">
            <v>0</v>
          </cell>
          <cell r="F104">
            <v>0</v>
          </cell>
          <cell r="G104">
            <v>0</v>
          </cell>
          <cell r="H104">
            <v>0</v>
          </cell>
          <cell r="I104">
            <v>0</v>
          </cell>
          <cell r="J104">
            <v>0</v>
          </cell>
          <cell r="K104">
            <v>0</v>
          </cell>
          <cell r="L104">
            <v>0</v>
          </cell>
          <cell r="M104">
            <v>0</v>
          </cell>
          <cell r="N104">
            <v>0</v>
          </cell>
        </row>
        <row r="105">
          <cell r="C105">
            <v>1265000</v>
          </cell>
          <cell r="D105">
            <v>4010</v>
          </cell>
          <cell r="E105">
            <v>0</v>
          </cell>
          <cell r="F105">
            <v>0</v>
          </cell>
          <cell r="G105">
            <v>0</v>
          </cell>
          <cell r="H105">
            <v>0</v>
          </cell>
          <cell r="I105">
            <v>0</v>
          </cell>
          <cell r="J105">
            <v>0</v>
          </cell>
          <cell r="K105">
            <v>0</v>
          </cell>
          <cell r="L105">
            <v>0</v>
          </cell>
          <cell r="M105">
            <v>0</v>
          </cell>
          <cell r="N105">
            <v>0</v>
          </cell>
        </row>
        <row r="106">
          <cell r="C106">
            <v>1270000</v>
          </cell>
          <cell r="D106">
            <v>4120</v>
          </cell>
          <cell r="E106">
            <v>0</v>
          </cell>
          <cell r="F106">
            <v>0</v>
          </cell>
          <cell r="G106">
            <v>0</v>
          </cell>
          <cell r="H106">
            <v>0</v>
          </cell>
          <cell r="I106">
            <v>0</v>
          </cell>
          <cell r="J106">
            <v>0</v>
          </cell>
          <cell r="K106">
            <v>0</v>
          </cell>
          <cell r="L106">
            <v>0</v>
          </cell>
          <cell r="M106">
            <v>0</v>
          </cell>
          <cell r="N106">
            <v>0</v>
          </cell>
        </row>
        <row r="107">
          <cell r="C107">
            <v>1275000</v>
          </cell>
          <cell r="D107">
            <v>4220</v>
          </cell>
          <cell r="E107">
            <v>0</v>
          </cell>
          <cell r="F107">
            <v>0</v>
          </cell>
          <cell r="G107">
            <v>0</v>
          </cell>
          <cell r="H107">
            <v>0</v>
          </cell>
          <cell r="I107">
            <v>0</v>
          </cell>
          <cell r="J107">
            <v>0</v>
          </cell>
          <cell r="K107">
            <v>0</v>
          </cell>
          <cell r="L107">
            <v>0</v>
          </cell>
          <cell r="M107">
            <v>0</v>
          </cell>
          <cell r="N107">
            <v>0</v>
          </cell>
        </row>
        <row r="108">
          <cell r="C108">
            <v>1280000</v>
          </cell>
          <cell r="D108">
            <v>4320</v>
          </cell>
          <cell r="E108">
            <v>0</v>
          </cell>
          <cell r="F108">
            <v>0</v>
          </cell>
          <cell r="G108">
            <v>0</v>
          </cell>
          <cell r="H108">
            <v>0</v>
          </cell>
          <cell r="I108">
            <v>0</v>
          </cell>
          <cell r="J108">
            <v>0</v>
          </cell>
          <cell r="K108">
            <v>0</v>
          </cell>
          <cell r="L108">
            <v>0</v>
          </cell>
          <cell r="M108">
            <v>0</v>
          </cell>
          <cell r="N108">
            <v>0</v>
          </cell>
        </row>
        <row r="109">
          <cell r="C109">
            <v>1285000</v>
          </cell>
          <cell r="D109">
            <v>4430</v>
          </cell>
          <cell r="E109">
            <v>0</v>
          </cell>
          <cell r="F109">
            <v>0</v>
          </cell>
          <cell r="G109">
            <v>0</v>
          </cell>
          <cell r="H109">
            <v>0</v>
          </cell>
          <cell r="I109">
            <v>0</v>
          </cell>
          <cell r="J109">
            <v>0</v>
          </cell>
          <cell r="K109">
            <v>0</v>
          </cell>
          <cell r="L109">
            <v>0</v>
          </cell>
          <cell r="M109">
            <v>0</v>
          </cell>
          <cell r="N109">
            <v>0</v>
          </cell>
        </row>
        <row r="110">
          <cell r="C110">
            <v>1290000</v>
          </cell>
          <cell r="D110">
            <v>4530</v>
          </cell>
          <cell r="E110">
            <v>0</v>
          </cell>
          <cell r="F110">
            <v>0</v>
          </cell>
          <cell r="G110">
            <v>0</v>
          </cell>
          <cell r="H110">
            <v>0</v>
          </cell>
          <cell r="I110">
            <v>0</v>
          </cell>
          <cell r="J110">
            <v>0</v>
          </cell>
          <cell r="K110">
            <v>0</v>
          </cell>
          <cell r="L110">
            <v>0</v>
          </cell>
          <cell r="M110">
            <v>0</v>
          </cell>
          <cell r="N110">
            <v>0</v>
          </cell>
        </row>
        <row r="111">
          <cell r="C111">
            <v>1295000</v>
          </cell>
          <cell r="D111">
            <v>4630</v>
          </cell>
          <cell r="E111">
            <v>0</v>
          </cell>
          <cell r="F111">
            <v>0</v>
          </cell>
          <cell r="G111">
            <v>0</v>
          </cell>
          <cell r="H111">
            <v>0</v>
          </cell>
          <cell r="I111">
            <v>0</v>
          </cell>
          <cell r="J111">
            <v>0</v>
          </cell>
          <cell r="K111">
            <v>0</v>
          </cell>
          <cell r="L111">
            <v>0</v>
          </cell>
          <cell r="M111">
            <v>0</v>
          </cell>
          <cell r="N111">
            <v>0</v>
          </cell>
        </row>
        <row r="112">
          <cell r="C112">
            <v>1300000</v>
          </cell>
          <cell r="D112">
            <v>4740</v>
          </cell>
          <cell r="E112">
            <v>0</v>
          </cell>
          <cell r="F112">
            <v>0</v>
          </cell>
          <cell r="G112">
            <v>0</v>
          </cell>
          <cell r="H112">
            <v>0</v>
          </cell>
          <cell r="I112">
            <v>0</v>
          </cell>
          <cell r="J112">
            <v>0</v>
          </cell>
          <cell r="K112">
            <v>0</v>
          </cell>
          <cell r="L112">
            <v>0</v>
          </cell>
          <cell r="M112">
            <v>0</v>
          </cell>
          <cell r="N112">
            <v>0</v>
          </cell>
        </row>
        <row r="113">
          <cell r="C113">
            <v>1305000</v>
          </cell>
          <cell r="D113">
            <v>4840</v>
          </cell>
          <cell r="E113">
            <v>0</v>
          </cell>
          <cell r="F113">
            <v>0</v>
          </cell>
          <cell r="G113">
            <v>0</v>
          </cell>
          <cell r="H113">
            <v>0</v>
          </cell>
          <cell r="I113">
            <v>0</v>
          </cell>
          <cell r="J113">
            <v>0</v>
          </cell>
          <cell r="K113">
            <v>0</v>
          </cell>
          <cell r="L113">
            <v>0</v>
          </cell>
          <cell r="M113">
            <v>0</v>
          </cell>
          <cell r="N113">
            <v>0</v>
          </cell>
        </row>
        <row r="114">
          <cell r="C114">
            <v>1310000</v>
          </cell>
          <cell r="D114">
            <v>4940</v>
          </cell>
          <cell r="E114">
            <v>0</v>
          </cell>
          <cell r="F114">
            <v>0</v>
          </cell>
          <cell r="G114">
            <v>0</v>
          </cell>
          <cell r="H114">
            <v>0</v>
          </cell>
          <cell r="I114">
            <v>0</v>
          </cell>
          <cell r="J114">
            <v>0</v>
          </cell>
          <cell r="K114">
            <v>0</v>
          </cell>
          <cell r="L114">
            <v>0</v>
          </cell>
          <cell r="M114">
            <v>0</v>
          </cell>
          <cell r="N114">
            <v>0</v>
          </cell>
        </row>
        <row r="115">
          <cell r="C115">
            <v>1315000</v>
          </cell>
          <cell r="D115">
            <v>5050</v>
          </cell>
          <cell r="E115">
            <v>0</v>
          </cell>
          <cell r="F115">
            <v>0</v>
          </cell>
          <cell r="G115">
            <v>0</v>
          </cell>
          <cell r="H115">
            <v>0</v>
          </cell>
          <cell r="I115">
            <v>0</v>
          </cell>
          <cell r="J115">
            <v>0</v>
          </cell>
          <cell r="K115">
            <v>0</v>
          </cell>
          <cell r="L115">
            <v>0</v>
          </cell>
          <cell r="M115">
            <v>0</v>
          </cell>
          <cell r="N115">
            <v>0</v>
          </cell>
        </row>
        <row r="116">
          <cell r="C116">
            <v>1320000</v>
          </cell>
          <cell r="D116">
            <v>5150</v>
          </cell>
          <cell r="E116">
            <v>0</v>
          </cell>
          <cell r="F116">
            <v>0</v>
          </cell>
          <cell r="G116">
            <v>0</v>
          </cell>
          <cell r="H116">
            <v>0</v>
          </cell>
          <cell r="I116">
            <v>0</v>
          </cell>
          <cell r="J116">
            <v>0</v>
          </cell>
          <cell r="K116">
            <v>0</v>
          </cell>
          <cell r="L116">
            <v>0</v>
          </cell>
          <cell r="M116">
            <v>0</v>
          </cell>
          <cell r="N116">
            <v>0</v>
          </cell>
        </row>
        <row r="117">
          <cell r="C117">
            <v>1325000</v>
          </cell>
          <cell r="D117">
            <v>5250</v>
          </cell>
          <cell r="E117">
            <v>0</v>
          </cell>
          <cell r="F117">
            <v>0</v>
          </cell>
          <cell r="G117">
            <v>0</v>
          </cell>
          <cell r="H117">
            <v>0</v>
          </cell>
          <cell r="I117">
            <v>0</v>
          </cell>
          <cell r="J117">
            <v>0</v>
          </cell>
          <cell r="K117">
            <v>0</v>
          </cell>
          <cell r="L117">
            <v>0</v>
          </cell>
          <cell r="M117">
            <v>0</v>
          </cell>
          <cell r="N117">
            <v>0</v>
          </cell>
        </row>
        <row r="118">
          <cell r="C118">
            <v>1330000</v>
          </cell>
          <cell r="D118">
            <v>5360</v>
          </cell>
          <cell r="E118">
            <v>0</v>
          </cell>
          <cell r="F118">
            <v>0</v>
          </cell>
          <cell r="G118">
            <v>0</v>
          </cell>
          <cell r="H118">
            <v>0</v>
          </cell>
          <cell r="I118">
            <v>0</v>
          </cell>
          <cell r="J118">
            <v>0</v>
          </cell>
          <cell r="K118">
            <v>0</v>
          </cell>
          <cell r="L118">
            <v>0</v>
          </cell>
          <cell r="M118">
            <v>0</v>
          </cell>
          <cell r="N118">
            <v>0</v>
          </cell>
        </row>
        <row r="119">
          <cell r="C119">
            <v>1335000</v>
          </cell>
          <cell r="D119">
            <v>5460</v>
          </cell>
          <cell r="E119">
            <v>0</v>
          </cell>
          <cell r="F119">
            <v>0</v>
          </cell>
          <cell r="G119">
            <v>0</v>
          </cell>
          <cell r="H119">
            <v>0</v>
          </cell>
          <cell r="I119">
            <v>0</v>
          </cell>
          <cell r="J119">
            <v>0</v>
          </cell>
          <cell r="K119">
            <v>0</v>
          </cell>
          <cell r="L119">
            <v>0</v>
          </cell>
          <cell r="M119">
            <v>0</v>
          </cell>
          <cell r="N119">
            <v>0</v>
          </cell>
        </row>
        <row r="120">
          <cell r="C120">
            <v>1340000</v>
          </cell>
          <cell r="D120">
            <v>5560</v>
          </cell>
          <cell r="E120">
            <v>1060</v>
          </cell>
          <cell r="F120">
            <v>0</v>
          </cell>
          <cell r="G120">
            <v>0</v>
          </cell>
          <cell r="H120">
            <v>0</v>
          </cell>
          <cell r="I120">
            <v>0</v>
          </cell>
          <cell r="J120">
            <v>0</v>
          </cell>
          <cell r="K120">
            <v>0</v>
          </cell>
          <cell r="L120">
            <v>0</v>
          </cell>
          <cell r="M120">
            <v>0</v>
          </cell>
          <cell r="N120">
            <v>0</v>
          </cell>
        </row>
        <row r="121">
          <cell r="C121">
            <v>1345000</v>
          </cell>
          <cell r="D121">
            <v>5670</v>
          </cell>
          <cell r="E121">
            <v>1170</v>
          </cell>
          <cell r="F121">
            <v>0</v>
          </cell>
          <cell r="G121">
            <v>0</v>
          </cell>
          <cell r="H121">
            <v>0</v>
          </cell>
          <cell r="I121">
            <v>0</v>
          </cell>
          <cell r="J121">
            <v>0</v>
          </cell>
          <cell r="K121">
            <v>0</v>
          </cell>
          <cell r="L121">
            <v>0</v>
          </cell>
          <cell r="M121">
            <v>0</v>
          </cell>
          <cell r="N121">
            <v>0</v>
          </cell>
        </row>
        <row r="122">
          <cell r="C122">
            <v>1350000</v>
          </cell>
          <cell r="D122">
            <v>5770</v>
          </cell>
          <cell r="E122">
            <v>1270</v>
          </cell>
          <cell r="F122">
            <v>0</v>
          </cell>
          <cell r="G122">
            <v>0</v>
          </cell>
          <cell r="H122">
            <v>0</v>
          </cell>
          <cell r="I122">
            <v>0</v>
          </cell>
          <cell r="J122">
            <v>0</v>
          </cell>
          <cell r="K122">
            <v>0</v>
          </cell>
          <cell r="L122">
            <v>0</v>
          </cell>
          <cell r="M122">
            <v>0</v>
          </cell>
          <cell r="N122">
            <v>0</v>
          </cell>
        </row>
        <row r="123">
          <cell r="C123">
            <v>1355000</v>
          </cell>
          <cell r="D123">
            <v>5870</v>
          </cell>
          <cell r="E123">
            <v>1370</v>
          </cell>
          <cell r="F123">
            <v>0</v>
          </cell>
          <cell r="G123">
            <v>0</v>
          </cell>
          <cell r="H123">
            <v>0</v>
          </cell>
          <cell r="I123">
            <v>0</v>
          </cell>
          <cell r="J123">
            <v>0</v>
          </cell>
          <cell r="K123">
            <v>0</v>
          </cell>
          <cell r="L123">
            <v>0</v>
          </cell>
          <cell r="M123">
            <v>0</v>
          </cell>
          <cell r="N123">
            <v>0</v>
          </cell>
        </row>
        <row r="124">
          <cell r="C124">
            <v>1360000</v>
          </cell>
          <cell r="D124">
            <v>5980</v>
          </cell>
          <cell r="E124">
            <v>1480</v>
          </cell>
          <cell r="F124">
            <v>0</v>
          </cell>
          <cell r="G124">
            <v>0</v>
          </cell>
          <cell r="H124">
            <v>0</v>
          </cell>
          <cell r="I124">
            <v>0</v>
          </cell>
          <cell r="J124">
            <v>0</v>
          </cell>
          <cell r="K124">
            <v>0</v>
          </cell>
          <cell r="L124">
            <v>0</v>
          </cell>
          <cell r="M124">
            <v>0</v>
          </cell>
          <cell r="N124">
            <v>0</v>
          </cell>
        </row>
        <row r="125">
          <cell r="C125">
            <v>1365000</v>
          </cell>
          <cell r="D125">
            <v>6080</v>
          </cell>
          <cell r="E125">
            <v>1580</v>
          </cell>
          <cell r="F125">
            <v>0</v>
          </cell>
          <cell r="G125">
            <v>0</v>
          </cell>
          <cell r="H125">
            <v>0</v>
          </cell>
          <cell r="I125">
            <v>0</v>
          </cell>
          <cell r="J125">
            <v>0</v>
          </cell>
          <cell r="K125">
            <v>0</v>
          </cell>
          <cell r="L125">
            <v>0</v>
          </cell>
          <cell r="M125">
            <v>0</v>
          </cell>
          <cell r="N125">
            <v>0</v>
          </cell>
        </row>
        <row r="126">
          <cell r="C126">
            <v>1370000</v>
          </cell>
          <cell r="D126">
            <v>6180</v>
          </cell>
          <cell r="E126">
            <v>1680</v>
          </cell>
          <cell r="F126">
            <v>0</v>
          </cell>
          <cell r="G126">
            <v>0</v>
          </cell>
          <cell r="H126">
            <v>0</v>
          </cell>
          <cell r="I126">
            <v>0</v>
          </cell>
          <cell r="J126">
            <v>0</v>
          </cell>
          <cell r="K126">
            <v>0</v>
          </cell>
          <cell r="L126">
            <v>0</v>
          </cell>
          <cell r="M126">
            <v>0</v>
          </cell>
          <cell r="N126">
            <v>0</v>
          </cell>
        </row>
        <row r="127">
          <cell r="C127">
            <v>1375000</v>
          </cell>
          <cell r="D127">
            <v>6290</v>
          </cell>
          <cell r="E127">
            <v>1790</v>
          </cell>
          <cell r="F127">
            <v>0</v>
          </cell>
          <cell r="G127">
            <v>0</v>
          </cell>
          <cell r="H127">
            <v>0</v>
          </cell>
          <cell r="I127">
            <v>0</v>
          </cell>
          <cell r="J127">
            <v>0</v>
          </cell>
          <cell r="K127">
            <v>0</v>
          </cell>
          <cell r="L127">
            <v>0</v>
          </cell>
          <cell r="M127">
            <v>0</v>
          </cell>
          <cell r="N127">
            <v>0</v>
          </cell>
        </row>
        <row r="128">
          <cell r="C128">
            <v>1380000</v>
          </cell>
          <cell r="D128">
            <v>6390</v>
          </cell>
          <cell r="E128">
            <v>1890</v>
          </cell>
          <cell r="F128">
            <v>0</v>
          </cell>
          <cell r="G128">
            <v>0</v>
          </cell>
          <cell r="H128">
            <v>0</v>
          </cell>
          <cell r="I128">
            <v>0</v>
          </cell>
          <cell r="J128">
            <v>0</v>
          </cell>
          <cell r="K128">
            <v>0</v>
          </cell>
          <cell r="L128">
            <v>0</v>
          </cell>
          <cell r="M128">
            <v>0</v>
          </cell>
          <cell r="N128">
            <v>0</v>
          </cell>
        </row>
        <row r="129">
          <cell r="C129">
            <v>1385000</v>
          </cell>
          <cell r="D129">
            <v>6490</v>
          </cell>
          <cell r="E129">
            <v>1990</v>
          </cell>
          <cell r="F129">
            <v>0</v>
          </cell>
          <cell r="G129">
            <v>0</v>
          </cell>
          <cell r="H129">
            <v>0</v>
          </cell>
          <cell r="I129">
            <v>0</v>
          </cell>
          <cell r="J129">
            <v>0</v>
          </cell>
          <cell r="K129">
            <v>0</v>
          </cell>
          <cell r="L129">
            <v>0</v>
          </cell>
          <cell r="M129">
            <v>0</v>
          </cell>
          <cell r="N129">
            <v>0</v>
          </cell>
        </row>
        <row r="130">
          <cell r="C130">
            <v>1390000</v>
          </cell>
          <cell r="D130">
            <v>6600</v>
          </cell>
          <cell r="E130">
            <v>2100</v>
          </cell>
          <cell r="F130">
            <v>0</v>
          </cell>
          <cell r="G130">
            <v>0</v>
          </cell>
          <cell r="H130">
            <v>0</v>
          </cell>
          <cell r="I130">
            <v>0</v>
          </cell>
          <cell r="J130">
            <v>0</v>
          </cell>
          <cell r="K130">
            <v>0</v>
          </cell>
          <cell r="L130">
            <v>0</v>
          </cell>
          <cell r="M130">
            <v>0</v>
          </cell>
          <cell r="N130">
            <v>0</v>
          </cell>
        </row>
        <row r="131">
          <cell r="C131">
            <v>1395000</v>
          </cell>
          <cell r="D131">
            <v>6700</v>
          </cell>
          <cell r="E131">
            <v>2200</v>
          </cell>
          <cell r="F131">
            <v>0</v>
          </cell>
          <cell r="G131">
            <v>0</v>
          </cell>
          <cell r="H131">
            <v>0</v>
          </cell>
          <cell r="I131">
            <v>0</v>
          </cell>
          <cell r="J131">
            <v>0</v>
          </cell>
          <cell r="K131">
            <v>0</v>
          </cell>
          <cell r="L131">
            <v>0</v>
          </cell>
          <cell r="M131">
            <v>0</v>
          </cell>
          <cell r="N131">
            <v>0</v>
          </cell>
        </row>
        <row r="132">
          <cell r="C132">
            <v>1400000</v>
          </cell>
          <cell r="D132">
            <v>6800</v>
          </cell>
          <cell r="E132">
            <v>2300</v>
          </cell>
          <cell r="F132">
            <v>0</v>
          </cell>
          <cell r="G132">
            <v>0</v>
          </cell>
          <cell r="H132">
            <v>0</v>
          </cell>
          <cell r="I132">
            <v>0</v>
          </cell>
          <cell r="J132">
            <v>0</v>
          </cell>
          <cell r="K132">
            <v>0</v>
          </cell>
          <cell r="L132">
            <v>0</v>
          </cell>
          <cell r="M132">
            <v>0</v>
          </cell>
          <cell r="N132">
            <v>0</v>
          </cell>
        </row>
        <row r="133">
          <cell r="C133">
            <v>1405000</v>
          </cell>
          <cell r="D133">
            <v>6910</v>
          </cell>
          <cell r="E133">
            <v>2410</v>
          </cell>
          <cell r="F133">
            <v>0</v>
          </cell>
          <cell r="G133">
            <v>0</v>
          </cell>
          <cell r="H133">
            <v>0</v>
          </cell>
          <cell r="I133">
            <v>0</v>
          </cell>
          <cell r="J133">
            <v>0</v>
          </cell>
          <cell r="K133">
            <v>0</v>
          </cell>
          <cell r="L133">
            <v>0</v>
          </cell>
          <cell r="M133">
            <v>0</v>
          </cell>
          <cell r="N133">
            <v>0</v>
          </cell>
        </row>
        <row r="134">
          <cell r="C134">
            <v>1410000</v>
          </cell>
          <cell r="D134">
            <v>7010</v>
          </cell>
          <cell r="E134">
            <v>2510</v>
          </cell>
          <cell r="F134">
            <v>0</v>
          </cell>
          <cell r="G134">
            <v>0</v>
          </cell>
          <cell r="H134">
            <v>0</v>
          </cell>
          <cell r="I134">
            <v>0</v>
          </cell>
          <cell r="J134">
            <v>0</v>
          </cell>
          <cell r="K134">
            <v>0</v>
          </cell>
          <cell r="L134">
            <v>0</v>
          </cell>
          <cell r="M134">
            <v>0</v>
          </cell>
          <cell r="N134">
            <v>0</v>
          </cell>
        </row>
        <row r="135">
          <cell r="C135">
            <v>1415000</v>
          </cell>
          <cell r="D135">
            <v>7110</v>
          </cell>
          <cell r="E135">
            <v>2610</v>
          </cell>
          <cell r="F135">
            <v>0</v>
          </cell>
          <cell r="G135">
            <v>0</v>
          </cell>
          <cell r="H135">
            <v>0</v>
          </cell>
          <cell r="I135">
            <v>0</v>
          </cell>
          <cell r="J135">
            <v>0</v>
          </cell>
          <cell r="K135">
            <v>0</v>
          </cell>
          <cell r="L135">
            <v>0</v>
          </cell>
          <cell r="M135">
            <v>0</v>
          </cell>
          <cell r="N135">
            <v>0</v>
          </cell>
        </row>
        <row r="136">
          <cell r="C136">
            <v>1420000</v>
          </cell>
          <cell r="D136">
            <v>7210</v>
          </cell>
          <cell r="E136">
            <v>2710</v>
          </cell>
          <cell r="F136">
            <v>0</v>
          </cell>
          <cell r="G136">
            <v>0</v>
          </cell>
          <cell r="H136">
            <v>0</v>
          </cell>
          <cell r="I136">
            <v>0</v>
          </cell>
          <cell r="J136">
            <v>0</v>
          </cell>
          <cell r="K136">
            <v>0</v>
          </cell>
          <cell r="L136">
            <v>0</v>
          </cell>
          <cell r="M136">
            <v>0</v>
          </cell>
          <cell r="N136">
            <v>0</v>
          </cell>
        </row>
        <row r="137">
          <cell r="C137">
            <v>1425000</v>
          </cell>
          <cell r="D137">
            <v>7320</v>
          </cell>
          <cell r="E137">
            <v>2820</v>
          </cell>
          <cell r="F137">
            <v>0</v>
          </cell>
          <cell r="G137">
            <v>0</v>
          </cell>
          <cell r="H137">
            <v>0</v>
          </cell>
          <cell r="I137">
            <v>0</v>
          </cell>
          <cell r="J137">
            <v>0</v>
          </cell>
          <cell r="K137">
            <v>0</v>
          </cell>
          <cell r="L137">
            <v>0</v>
          </cell>
          <cell r="M137">
            <v>0</v>
          </cell>
          <cell r="N137">
            <v>0</v>
          </cell>
        </row>
        <row r="138">
          <cell r="C138">
            <v>1430000</v>
          </cell>
          <cell r="D138">
            <v>7420</v>
          </cell>
          <cell r="E138">
            <v>2920</v>
          </cell>
          <cell r="F138">
            <v>0</v>
          </cell>
          <cell r="G138">
            <v>0</v>
          </cell>
          <cell r="H138">
            <v>0</v>
          </cell>
          <cell r="I138">
            <v>0</v>
          </cell>
          <cell r="J138">
            <v>0</v>
          </cell>
          <cell r="K138">
            <v>0</v>
          </cell>
          <cell r="L138">
            <v>0</v>
          </cell>
          <cell r="M138">
            <v>0</v>
          </cell>
          <cell r="N138">
            <v>0</v>
          </cell>
        </row>
        <row r="139">
          <cell r="C139">
            <v>1435000</v>
          </cell>
          <cell r="D139">
            <v>7520</v>
          </cell>
          <cell r="E139">
            <v>3020</v>
          </cell>
          <cell r="F139">
            <v>0</v>
          </cell>
          <cell r="G139">
            <v>0</v>
          </cell>
          <cell r="H139">
            <v>0</v>
          </cell>
          <cell r="I139">
            <v>0</v>
          </cell>
          <cell r="J139">
            <v>0</v>
          </cell>
          <cell r="K139">
            <v>0</v>
          </cell>
          <cell r="L139">
            <v>0</v>
          </cell>
          <cell r="M139">
            <v>0</v>
          </cell>
          <cell r="N139">
            <v>0</v>
          </cell>
        </row>
        <row r="140">
          <cell r="C140">
            <v>1440000</v>
          </cell>
          <cell r="D140">
            <v>7630</v>
          </cell>
          <cell r="E140">
            <v>3130</v>
          </cell>
          <cell r="F140">
            <v>0</v>
          </cell>
          <cell r="G140">
            <v>0</v>
          </cell>
          <cell r="H140">
            <v>0</v>
          </cell>
          <cell r="I140">
            <v>0</v>
          </cell>
          <cell r="J140">
            <v>0</v>
          </cell>
          <cell r="K140">
            <v>0</v>
          </cell>
          <cell r="L140">
            <v>0</v>
          </cell>
          <cell r="M140">
            <v>0</v>
          </cell>
          <cell r="N140">
            <v>0</v>
          </cell>
        </row>
        <row r="141">
          <cell r="C141">
            <v>1445000</v>
          </cell>
          <cell r="D141">
            <v>7730</v>
          </cell>
          <cell r="E141">
            <v>3230</v>
          </cell>
          <cell r="F141">
            <v>0</v>
          </cell>
          <cell r="G141">
            <v>0</v>
          </cell>
          <cell r="H141">
            <v>0</v>
          </cell>
          <cell r="I141">
            <v>0</v>
          </cell>
          <cell r="J141">
            <v>0</v>
          </cell>
          <cell r="K141">
            <v>0</v>
          </cell>
          <cell r="L141">
            <v>0</v>
          </cell>
          <cell r="M141">
            <v>0</v>
          </cell>
          <cell r="N141">
            <v>0</v>
          </cell>
        </row>
        <row r="142">
          <cell r="C142">
            <v>1450000</v>
          </cell>
          <cell r="D142">
            <v>7830</v>
          </cell>
          <cell r="E142">
            <v>3330</v>
          </cell>
          <cell r="F142">
            <v>0</v>
          </cell>
          <cell r="G142">
            <v>0</v>
          </cell>
          <cell r="H142">
            <v>0</v>
          </cell>
          <cell r="I142">
            <v>0</v>
          </cell>
          <cell r="J142">
            <v>0</v>
          </cell>
          <cell r="K142">
            <v>0</v>
          </cell>
          <cell r="L142">
            <v>0</v>
          </cell>
          <cell r="M142">
            <v>0</v>
          </cell>
          <cell r="N142">
            <v>0</v>
          </cell>
        </row>
        <row r="143">
          <cell r="C143">
            <v>1455000</v>
          </cell>
          <cell r="D143">
            <v>7940</v>
          </cell>
          <cell r="E143">
            <v>3440</v>
          </cell>
          <cell r="F143">
            <v>0</v>
          </cell>
          <cell r="G143">
            <v>0</v>
          </cell>
          <cell r="H143">
            <v>0</v>
          </cell>
          <cell r="I143">
            <v>0</v>
          </cell>
          <cell r="J143">
            <v>0</v>
          </cell>
          <cell r="K143">
            <v>0</v>
          </cell>
          <cell r="L143">
            <v>0</v>
          </cell>
          <cell r="M143">
            <v>0</v>
          </cell>
          <cell r="N143">
            <v>0</v>
          </cell>
        </row>
        <row r="144">
          <cell r="C144">
            <v>1460000</v>
          </cell>
          <cell r="D144">
            <v>8040</v>
          </cell>
          <cell r="E144">
            <v>3540</v>
          </cell>
          <cell r="F144">
            <v>0</v>
          </cell>
          <cell r="G144">
            <v>0</v>
          </cell>
          <cell r="H144">
            <v>0</v>
          </cell>
          <cell r="I144">
            <v>0</v>
          </cell>
          <cell r="J144">
            <v>0</v>
          </cell>
          <cell r="K144">
            <v>0</v>
          </cell>
          <cell r="L144">
            <v>0</v>
          </cell>
          <cell r="M144">
            <v>0</v>
          </cell>
          <cell r="N144">
            <v>0</v>
          </cell>
        </row>
        <row r="145">
          <cell r="C145">
            <v>1465000</v>
          </cell>
          <cell r="D145">
            <v>8140</v>
          </cell>
          <cell r="E145">
            <v>3640</v>
          </cell>
          <cell r="F145">
            <v>0</v>
          </cell>
          <cell r="G145">
            <v>0</v>
          </cell>
          <cell r="H145">
            <v>0</v>
          </cell>
          <cell r="I145">
            <v>0</v>
          </cell>
          <cell r="J145">
            <v>0</v>
          </cell>
          <cell r="K145">
            <v>0</v>
          </cell>
          <cell r="L145">
            <v>0</v>
          </cell>
          <cell r="M145">
            <v>0</v>
          </cell>
          <cell r="N145">
            <v>0</v>
          </cell>
        </row>
        <row r="146">
          <cell r="C146">
            <v>1470000</v>
          </cell>
          <cell r="D146">
            <v>8250</v>
          </cell>
          <cell r="E146">
            <v>3750</v>
          </cell>
          <cell r="F146">
            <v>0</v>
          </cell>
          <cell r="G146">
            <v>0</v>
          </cell>
          <cell r="H146">
            <v>0</v>
          </cell>
          <cell r="I146">
            <v>0</v>
          </cell>
          <cell r="J146">
            <v>0</v>
          </cell>
          <cell r="K146">
            <v>0</v>
          </cell>
          <cell r="L146">
            <v>0</v>
          </cell>
          <cell r="M146">
            <v>0</v>
          </cell>
          <cell r="N146">
            <v>0</v>
          </cell>
        </row>
        <row r="147">
          <cell r="C147">
            <v>1475000</v>
          </cell>
          <cell r="D147">
            <v>8350</v>
          </cell>
          <cell r="E147">
            <v>3850</v>
          </cell>
          <cell r="F147">
            <v>0</v>
          </cell>
          <cell r="G147">
            <v>0</v>
          </cell>
          <cell r="H147">
            <v>0</v>
          </cell>
          <cell r="I147">
            <v>0</v>
          </cell>
          <cell r="J147">
            <v>0</v>
          </cell>
          <cell r="K147">
            <v>0</v>
          </cell>
          <cell r="L147">
            <v>0</v>
          </cell>
          <cell r="M147">
            <v>0</v>
          </cell>
          <cell r="N147">
            <v>0</v>
          </cell>
        </row>
        <row r="148">
          <cell r="C148">
            <v>1480000</v>
          </cell>
          <cell r="D148">
            <v>8450</v>
          </cell>
          <cell r="E148">
            <v>3950</v>
          </cell>
          <cell r="F148">
            <v>0</v>
          </cell>
          <cell r="G148">
            <v>0</v>
          </cell>
          <cell r="H148">
            <v>0</v>
          </cell>
          <cell r="I148">
            <v>0</v>
          </cell>
          <cell r="J148">
            <v>0</v>
          </cell>
          <cell r="K148">
            <v>0</v>
          </cell>
          <cell r="L148">
            <v>0</v>
          </cell>
          <cell r="M148">
            <v>0</v>
          </cell>
          <cell r="N148">
            <v>0</v>
          </cell>
        </row>
        <row r="149">
          <cell r="C149">
            <v>1485000</v>
          </cell>
          <cell r="D149">
            <v>8560</v>
          </cell>
          <cell r="E149">
            <v>4060</v>
          </cell>
          <cell r="F149">
            <v>0</v>
          </cell>
          <cell r="G149">
            <v>0</v>
          </cell>
          <cell r="H149">
            <v>0</v>
          </cell>
          <cell r="I149">
            <v>0</v>
          </cell>
          <cell r="J149">
            <v>0</v>
          </cell>
          <cell r="K149">
            <v>0</v>
          </cell>
          <cell r="L149">
            <v>0</v>
          </cell>
          <cell r="M149">
            <v>0</v>
          </cell>
          <cell r="N149">
            <v>0</v>
          </cell>
        </row>
        <row r="150">
          <cell r="C150">
            <v>1490000</v>
          </cell>
          <cell r="D150">
            <v>8660</v>
          </cell>
          <cell r="E150">
            <v>4160</v>
          </cell>
          <cell r="F150">
            <v>0</v>
          </cell>
          <cell r="G150">
            <v>0</v>
          </cell>
          <cell r="H150">
            <v>0</v>
          </cell>
          <cell r="I150">
            <v>0</v>
          </cell>
          <cell r="J150">
            <v>0</v>
          </cell>
          <cell r="K150">
            <v>0</v>
          </cell>
          <cell r="L150">
            <v>0</v>
          </cell>
          <cell r="M150">
            <v>0</v>
          </cell>
          <cell r="N150">
            <v>0</v>
          </cell>
        </row>
        <row r="151">
          <cell r="C151">
            <v>1495000</v>
          </cell>
          <cell r="D151">
            <v>8760</v>
          </cell>
          <cell r="E151">
            <v>4260</v>
          </cell>
          <cell r="F151">
            <v>0</v>
          </cell>
          <cell r="G151">
            <v>0</v>
          </cell>
          <cell r="H151">
            <v>0</v>
          </cell>
          <cell r="I151">
            <v>0</v>
          </cell>
          <cell r="J151">
            <v>0</v>
          </cell>
          <cell r="K151">
            <v>0</v>
          </cell>
          <cell r="L151">
            <v>0</v>
          </cell>
          <cell r="M151">
            <v>0</v>
          </cell>
          <cell r="N151">
            <v>0</v>
          </cell>
        </row>
        <row r="152">
          <cell r="C152">
            <v>1500000</v>
          </cell>
          <cell r="D152">
            <v>8920</v>
          </cell>
          <cell r="E152">
            <v>4420</v>
          </cell>
          <cell r="F152">
            <v>0</v>
          </cell>
          <cell r="G152">
            <v>0</v>
          </cell>
          <cell r="H152">
            <v>0</v>
          </cell>
          <cell r="I152">
            <v>0</v>
          </cell>
          <cell r="J152">
            <v>0</v>
          </cell>
          <cell r="K152">
            <v>0</v>
          </cell>
          <cell r="L152">
            <v>0</v>
          </cell>
          <cell r="M152">
            <v>0</v>
          </cell>
          <cell r="N152">
            <v>0</v>
          </cell>
        </row>
        <row r="153">
          <cell r="C153">
            <v>1510000</v>
          </cell>
          <cell r="D153">
            <v>9120</v>
          </cell>
          <cell r="E153">
            <v>4620</v>
          </cell>
          <cell r="F153">
            <v>0</v>
          </cell>
          <cell r="G153">
            <v>0</v>
          </cell>
          <cell r="H153">
            <v>0</v>
          </cell>
          <cell r="I153">
            <v>0</v>
          </cell>
          <cell r="J153">
            <v>0</v>
          </cell>
          <cell r="K153">
            <v>0</v>
          </cell>
          <cell r="L153">
            <v>0</v>
          </cell>
          <cell r="M153">
            <v>0</v>
          </cell>
          <cell r="N153">
            <v>0</v>
          </cell>
        </row>
        <row r="154">
          <cell r="C154">
            <v>1520000</v>
          </cell>
          <cell r="D154">
            <v>9330</v>
          </cell>
          <cell r="E154">
            <v>4830</v>
          </cell>
          <cell r="F154">
            <v>0</v>
          </cell>
          <cell r="G154">
            <v>0</v>
          </cell>
          <cell r="H154">
            <v>0</v>
          </cell>
          <cell r="I154">
            <v>0</v>
          </cell>
          <cell r="J154">
            <v>0</v>
          </cell>
          <cell r="K154">
            <v>0</v>
          </cell>
          <cell r="L154">
            <v>0</v>
          </cell>
          <cell r="M154">
            <v>0</v>
          </cell>
          <cell r="N154">
            <v>0</v>
          </cell>
        </row>
        <row r="155">
          <cell r="C155">
            <v>1530000</v>
          </cell>
          <cell r="D155">
            <v>9540</v>
          </cell>
          <cell r="E155">
            <v>5040</v>
          </cell>
          <cell r="F155">
            <v>0</v>
          </cell>
          <cell r="G155">
            <v>0</v>
          </cell>
          <cell r="H155">
            <v>0</v>
          </cell>
          <cell r="I155">
            <v>0</v>
          </cell>
          <cell r="J155">
            <v>0</v>
          </cell>
          <cell r="K155">
            <v>0</v>
          </cell>
          <cell r="L155">
            <v>0</v>
          </cell>
          <cell r="M155">
            <v>0</v>
          </cell>
          <cell r="N155">
            <v>0</v>
          </cell>
        </row>
        <row r="156">
          <cell r="C156">
            <v>1540000</v>
          </cell>
          <cell r="D156">
            <v>9740</v>
          </cell>
          <cell r="E156">
            <v>5240</v>
          </cell>
          <cell r="F156">
            <v>0</v>
          </cell>
          <cell r="G156">
            <v>0</v>
          </cell>
          <cell r="H156">
            <v>0</v>
          </cell>
          <cell r="I156">
            <v>0</v>
          </cell>
          <cell r="J156">
            <v>0</v>
          </cell>
          <cell r="K156">
            <v>0</v>
          </cell>
          <cell r="L156">
            <v>0</v>
          </cell>
          <cell r="M156">
            <v>0</v>
          </cell>
          <cell r="N156">
            <v>0</v>
          </cell>
        </row>
        <row r="157">
          <cell r="C157">
            <v>1550000</v>
          </cell>
          <cell r="D157">
            <v>9950</v>
          </cell>
          <cell r="E157">
            <v>5450</v>
          </cell>
          <cell r="F157">
            <v>0</v>
          </cell>
          <cell r="G157">
            <v>0</v>
          </cell>
          <cell r="H157">
            <v>0</v>
          </cell>
          <cell r="I157">
            <v>0</v>
          </cell>
          <cell r="J157">
            <v>0</v>
          </cell>
          <cell r="K157">
            <v>0</v>
          </cell>
          <cell r="L157">
            <v>0</v>
          </cell>
          <cell r="M157">
            <v>0</v>
          </cell>
          <cell r="N157">
            <v>0</v>
          </cell>
        </row>
        <row r="158">
          <cell r="C158">
            <v>1560000</v>
          </cell>
          <cell r="D158">
            <v>10160</v>
          </cell>
          <cell r="E158">
            <v>5660</v>
          </cell>
          <cell r="F158">
            <v>0</v>
          </cell>
          <cell r="G158">
            <v>0</v>
          </cell>
          <cell r="H158">
            <v>0</v>
          </cell>
          <cell r="I158">
            <v>0</v>
          </cell>
          <cell r="J158">
            <v>0</v>
          </cell>
          <cell r="K158">
            <v>0</v>
          </cell>
          <cell r="L158">
            <v>0</v>
          </cell>
          <cell r="M158">
            <v>0</v>
          </cell>
          <cell r="N158">
            <v>0</v>
          </cell>
        </row>
        <row r="159">
          <cell r="C159">
            <v>1570000</v>
          </cell>
          <cell r="D159">
            <v>10360</v>
          </cell>
          <cell r="E159">
            <v>5860</v>
          </cell>
          <cell r="F159">
            <v>0</v>
          </cell>
          <cell r="G159">
            <v>0</v>
          </cell>
          <cell r="H159">
            <v>0</v>
          </cell>
          <cell r="I159">
            <v>0</v>
          </cell>
          <cell r="J159">
            <v>0</v>
          </cell>
          <cell r="K159">
            <v>0</v>
          </cell>
          <cell r="L159">
            <v>0</v>
          </cell>
          <cell r="M159">
            <v>0</v>
          </cell>
          <cell r="N159">
            <v>0</v>
          </cell>
        </row>
        <row r="160">
          <cell r="C160">
            <v>1580000</v>
          </cell>
          <cell r="D160">
            <v>10570</v>
          </cell>
          <cell r="E160">
            <v>6070</v>
          </cell>
          <cell r="F160">
            <v>0</v>
          </cell>
          <cell r="G160">
            <v>0</v>
          </cell>
          <cell r="H160">
            <v>0</v>
          </cell>
          <cell r="I160">
            <v>0</v>
          </cell>
          <cell r="J160">
            <v>0</v>
          </cell>
          <cell r="K160">
            <v>0</v>
          </cell>
          <cell r="L160">
            <v>0</v>
          </cell>
          <cell r="M160">
            <v>0</v>
          </cell>
          <cell r="N160">
            <v>0</v>
          </cell>
        </row>
        <row r="161">
          <cell r="C161">
            <v>1590000</v>
          </cell>
          <cell r="D161">
            <v>10780</v>
          </cell>
          <cell r="E161">
            <v>6280</v>
          </cell>
          <cell r="F161">
            <v>0</v>
          </cell>
          <cell r="G161">
            <v>0</v>
          </cell>
          <cell r="H161">
            <v>0</v>
          </cell>
          <cell r="I161">
            <v>0</v>
          </cell>
          <cell r="J161">
            <v>0</v>
          </cell>
          <cell r="K161">
            <v>0</v>
          </cell>
          <cell r="L161">
            <v>0</v>
          </cell>
          <cell r="M161">
            <v>0</v>
          </cell>
          <cell r="N161">
            <v>0</v>
          </cell>
        </row>
        <row r="162">
          <cell r="C162">
            <v>1600000</v>
          </cell>
          <cell r="D162">
            <v>10980</v>
          </cell>
          <cell r="E162">
            <v>6480</v>
          </cell>
          <cell r="F162">
            <v>0</v>
          </cell>
          <cell r="G162">
            <v>0</v>
          </cell>
          <cell r="H162">
            <v>0</v>
          </cell>
          <cell r="I162">
            <v>0</v>
          </cell>
          <cell r="J162">
            <v>0</v>
          </cell>
          <cell r="K162">
            <v>0</v>
          </cell>
          <cell r="L162">
            <v>0</v>
          </cell>
          <cell r="M162">
            <v>0</v>
          </cell>
          <cell r="N162">
            <v>0</v>
          </cell>
        </row>
        <row r="163">
          <cell r="C163">
            <v>1610000</v>
          </cell>
          <cell r="D163">
            <v>11190</v>
          </cell>
          <cell r="E163">
            <v>6690</v>
          </cell>
          <cell r="F163">
            <v>0</v>
          </cell>
          <cell r="G163">
            <v>0</v>
          </cell>
          <cell r="H163">
            <v>0</v>
          </cell>
          <cell r="I163">
            <v>0</v>
          </cell>
          <cell r="J163">
            <v>0</v>
          </cell>
          <cell r="K163">
            <v>0</v>
          </cell>
          <cell r="L163">
            <v>0</v>
          </cell>
          <cell r="M163">
            <v>0</v>
          </cell>
          <cell r="N163">
            <v>0</v>
          </cell>
        </row>
        <row r="164">
          <cell r="C164">
            <v>1620000</v>
          </cell>
          <cell r="D164">
            <v>11400</v>
          </cell>
          <cell r="E164">
            <v>6900</v>
          </cell>
          <cell r="F164">
            <v>0</v>
          </cell>
          <cell r="G164">
            <v>0</v>
          </cell>
          <cell r="H164">
            <v>0</v>
          </cell>
          <cell r="I164">
            <v>0</v>
          </cell>
          <cell r="J164">
            <v>0</v>
          </cell>
          <cell r="K164">
            <v>0</v>
          </cell>
          <cell r="L164">
            <v>0</v>
          </cell>
          <cell r="M164">
            <v>0</v>
          </cell>
          <cell r="N164">
            <v>0</v>
          </cell>
        </row>
        <row r="165">
          <cell r="C165">
            <v>1630000</v>
          </cell>
          <cell r="D165">
            <v>11600</v>
          </cell>
          <cell r="E165">
            <v>7100</v>
          </cell>
          <cell r="F165">
            <v>0</v>
          </cell>
          <cell r="G165">
            <v>0</v>
          </cell>
          <cell r="H165">
            <v>0</v>
          </cell>
          <cell r="I165">
            <v>0</v>
          </cell>
          <cell r="J165">
            <v>0</v>
          </cell>
          <cell r="K165">
            <v>0</v>
          </cell>
          <cell r="L165">
            <v>0</v>
          </cell>
          <cell r="M165">
            <v>0</v>
          </cell>
          <cell r="N165">
            <v>0</v>
          </cell>
        </row>
        <row r="166">
          <cell r="C166">
            <v>1640000</v>
          </cell>
          <cell r="D166">
            <v>11810</v>
          </cell>
          <cell r="E166">
            <v>7310</v>
          </cell>
          <cell r="F166">
            <v>0</v>
          </cell>
          <cell r="G166">
            <v>0</v>
          </cell>
          <cell r="H166">
            <v>0</v>
          </cell>
          <cell r="I166">
            <v>0</v>
          </cell>
          <cell r="J166">
            <v>0</v>
          </cell>
          <cell r="K166">
            <v>0</v>
          </cell>
          <cell r="L166">
            <v>0</v>
          </cell>
          <cell r="M166">
            <v>0</v>
          </cell>
          <cell r="N166">
            <v>0</v>
          </cell>
        </row>
        <row r="167">
          <cell r="C167">
            <v>1650000</v>
          </cell>
          <cell r="D167">
            <v>12020</v>
          </cell>
          <cell r="E167">
            <v>7520</v>
          </cell>
          <cell r="F167">
            <v>0</v>
          </cell>
          <cell r="G167">
            <v>0</v>
          </cell>
          <cell r="H167">
            <v>0</v>
          </cell>
          <cell r="I167">
            <v>0</v>
          </cell>
          <cell r="J167">
            <v>0</v>
          </cell>
          <cell r="K167">
            <v>0</v>
          </cell>
          <cell r="L167">
            <v>0</v>
          </cell>
          <cell r="M167">
            <v>0</v>
          </cell>
          <cell r="N167">
            <v>0</v>
          </cell>
        </row>
        <row r="168">
          <cell r="C168">
            <v>1660000</v>
          </cell>
          <cell r="D168">
            <v>12220</v>
          </cell>
          <cell r="E168">
            <v>7720</v>
          </cell>
          <cell r="F168">
            <v>0</v>
          </cell>
          <cell r="G168">
            <v>0</v>
          </cell>
          <cell r="H168">
            <v>0</v>
          </cell>
          <cell r="I168">
            <v>0</v>
          </cell>
          <cell r="J168">
            <v>0</v>
          </cell>
          <cell r="K168">
            <v>0</v>
          </cell>
          <cell r="L168">
            <v>0</v>
          </cell>
          <cell r="M168">
            <v>0</v>
          </cell>
          <cell r="N168">
            <v>0</v>
          </cell>
        </row>
        <row r="169">
          <cell r="C169">
            <v>1670000</v>
          </cell>
          <cell r="D169">
            <v>12430</v>
          </cell>
          <cell r="E169">
            <v>7930</v>
          </cell>
          <cell r="F169">
            <v>0</v>
          </cell>
          <cell r="G169">
            <v>0</v>
          </cell>
          <cell r="H169">
            <v>0</v>
          </cell>
          <cell r="I169">
            <v>0</v>
          </cell>
          <cell r="J169">
            <v>0</v>
          </cell>
          <cell r="K169">
            <v>0</v>
          </cell>
          <cell r="L169">
            <v>0</v>
          </cell>
          <cell r="M169">
            <v>0</v>
          </cell>
          <cell r="N169">
            <v>0</v>
          </cell>
        </row>
        <row r="170">
          <cell r="C170">
            <v>1680000</v>
          </cell>
          <cell r="D170">
            <v>12640</v>
          </cell>
          <cell r="E170">
            <v>8140</v>
          </cell>
          <cell r="F170">
            <v>0</v>
          </cell>
          <cell r="G170">
            <v>0</v>
          </cell>
          <cell r="H170">
            <v>0</v>
          </cell>
          <cell r="I170">
            <v>0</v>
          </cell>
          <cell r="J170">
            <v>0</v>
          </cell>
          <cell r="K170">
            <v>0</v>
          </cell>
          <cell r="L170">
            <v>0</v>
          </cell>
          <cell r="M170">
            <v>0</v>
          </cell>
          <cell r="N170">
            <v>0</v>
          </cell>
        </row>
        <row r="171">
          <cell r="C171">
            <v>1690000</v>
          </cell>
          <cell r="D171">
            <v>12840</v>
          </cell>
          <cell r="E171">
            <v>8340</v>
          </cell>
          <cell r="F171">
            <v>0</v>
          </cell>
          <cell r="G171">
            <v>0</v>
          </cell>
          <cell r="H171">
            <v>0</v>
          </cell>
          <cell r="I171">
            <v>0</v>
          </cell>
          <cell r="J171">
            <v>0</v>
          </cell>
          <cell r="K171">
            <v>0</v>
          </cell>
          <cell r="L171">
            <v>0</v>
          </cell>
          <cell r="M171">
            <v>0</v>
          </cell>
          <cell r="N171">
            <v>0</v>
          </cell>
        </row>
        <row r="172">
          <cell r="C172">
            <v>1700000</v>
          </cell>
          <cell r="D172">
            <v>13050</v>
          </cell>
          <cell r="E172">
            <v>8550</v>
          </cell>
          <cell r="F172">
            <v>0</v>
          </cell>
          <cell r="G172">
            <v>0</v>
          </cell>
          <cell r="H172">
            <v>0</v>
          </cell>
          <cell r="I172">
            <v>0</v>
          </cell>
          <cell r="J172">
            <v>0</v>
          </cell>
          <cell r="K172">
            <v>0</v>
          </cell>
          <cell r="L172">
            <v>0</v>
          </cell>
          <cell r="M172">
            <v>0</v>
          </cell>
          <cell r="N172">
            <v>0</v>
          </cell>
        </row>
        <row r="173">
          <cell r="C173">
            <v>1710000</v>
          </cell>
          <cell r="D173">
            <v>13260</v>
          </cell>
          <cell r="E173">
            <v>8760</v>
          </cell>
          <cell r="F173">
            <v>0</v>
          </cell>
          <cell r="G173">
            <v>0</v>
          </cell>
          <cell r="H173">
            <v>0</v>
          </cell>
          <cell r="I173">
            <v>0</v>
          </cell>
          <cell r="J173">
            <v>0</v>
          </cell>
          <cell r="K173">
            <v>0</v>
          </cell>
          <cell r="L173">
            <v>0</v>
          </cell>
          <cell r="M173">
            <v>0</v>
          </cell>
          <cell r="N173">
            <v>0</v>
          </cell>
        </row>
        <row r="174">
          <cell r="C174">
            <v>1720000</v>
          </cell>
          <cell r="D174">
            <v>13460</v>
          </cell>
          <cell r="E174">
            <v>8960</v>
          </cell>
          <cell r="F174">
            <v>1040</v>
          </cell>
          <cell r="G174">
            <v>0</v>
          </cell>
          <cell r="H174">
            <v>0</v>
          </cell>
          <cell r="I174">
            <v>0</v>
          </cell>
          <cell r="J174">
            <v>0</v>
          </cell>
          <cell r="K174">
            <v>0</v>
          </cell>
          <cell r="L174">
            <v>0</v>
          </cell>
          <cell r="M174">
            <v>0</v>
          </cell>
          <cell r="N174">
            <v>0</v>
          </cell>
        </row>
        <row r="175">
          <cell r="C175">
            <v>1730000</v>
          </cell>
          <cell r="D175">
            <v>13670</v>
          </cell>
          <cell r="E175">
            <v>9170</v>
          </cell>
          <cell r="F175">
            <v>1240</v>
          </cell>
          <cell r="G175">
            <v>0</v>
          </cell>
          <cell r="H175">
            <v>0</v>
          </cell>
          <cell r="I175">
            <v>0</v>
          </cell>
          <cell r="J175">
            <v>0</v>
          </cell>
          <cell r="K175">
            <v>0</v>
          </cell>
          <cell r="L175">
            <v>0</v>
          </cell>
          <cell r="M175">
            <v>0</v>
          </cell>
          <cell r="N175">
            <v>0</v>
          </cell>
        </row>
        <row r="176">
          <cell r="C176">
            <v>1740000</v>
          </cell>
          <cell r="D176">
            <v>13880</v>
          </cell>
          <cell r="E176">
            <v>9380</v>
          </cell>
          <cell r="F176">
            <v>1440</v>
          </cell>
          <cell r="G176">
            <v>0</v>
          </cell>
          <cell r="H176">
            <v>0</v>
          </cell>
          <cell r="I176">
            <v>0</v>
          </cell>
          <cell r="J176">
            <v>0</v>
          </cell>
          <cell r="K176">
            <v>0</v>
          </cell>
          <cell r="L176">
            <v>0</v>
          </cell>
          <cell r="M176">
            <v>0</v>
          </cell>
          <cell r="N176">
            <v>0</v>
          </cell>
        </row>
        <row r="177">
          <cell r="C177">
            <v>1750000</v>
          </cell>
          <cell r="D177">
            <v>14080</v>
          </cell>
          <cell r="E177">
            <v>9580</v>
          </cell>
          <cell r="F177">
            <v>1640</v>
          </cell>
          <cell r="G177">
            <v>0</v>
          </cell>
          <cell r="H177">
            <v>0</v>
          </cell>
          <cell r="I177">
            <v>0</v>
          </cell>
          <cell r="J177">
            <v>0</v>
          </cell>
          <cell r="K177">
            <v>0</v>
          </cell>
          <cell r="L177">
            <v>0</v>
          </cell>
          <cell r="M177">
            <v>0</v>
          </cell>
          <cell r="N177">
            <v>0</v>
          </cell>
        </row>
        <row r="178">
          <cell r="C178">
            <v>1760000</v>
          </cell>
          <cell r="D178">
            <v>14290</v>
          </cell>
          <cell r="E178">
            <v>9790</v>
          </cell>
          <cell r="F178">
            <v>1830</v>
          </cell>
          <cell r="G178">
            <v>0</v>
          </cell>
          <cell r="H178">
            <v>0</v>
          </cell>
          <cell r="I178">
            <v>0</v>
          </cell>
          <cell r="J178">
            <v>0</v>
          </cell>
          <cell r="K178">
            <v>0</v>
          </cell>
          <cell r="L178">
            <v>0</v>
          </cell>
          <cell r="M178">
            <v>0</v>
          </cell>
          <cell r="N178">
            <v>0</v>
          </cell>
        </row>
        <row r="179">
          <cell r="C179">
            <v>1770000</v>
          </cell>
          <cell r="D179">
            <v>14500</v>
          </cell>
          <cell r="E179">
            <v>10000</v>
          </cell>
          <cell r="F179">
            <v>2030</v>
          </cell>
          <cell r="G179">
            <v>0</v>
          </cell>
          <cell r="H179">
            <v>0</v>
          </cell>
          <cell r="I179">
            <v>0</v>
          </cell>
          <cell r="J179">
            <v>0</v>
          </cell>
          <cell r="K179">
            <v>0</v>
          </cell>
          <cell r="L179">
            <v>0</v>
          </cell>
          <cell r="M179">
            <v>0</v>
          </cell>
          <cell r="N179">
            <v>0</v>
          </cell>
        </row>
        <row r="180">
          <cell r="C180">
            <v>1780000</v>
          </cell>
          <cell r="D180">
            <v>14700</v>
          </cell>
          <cell r="E180">
            <v>10200</v>
          </cell>
          <cell r="F180">
            <v>2230</v>
          </cell>
          <cell r="G180">
            <v>0</v>
          </cell>
          <cell r="H180">
            <v>0</v>
          </cell>
          <cell r="I180">
            <v>0</v>
          </cell>
          <cell r="J180">
            <v>0</v>
          </cell>
          <cell r="K180">
            <v>0</v>
          </cell>
          <cell r="L180">
            <v>0</v>
          </cell>
          <cell r="M180">
            <v>0</v>
          </cell>
          <cell r="N180">
            <v>0</v>
          </cell>
        </row>
        <row r="181">
          <cell r="C181">
            <v>1790000</v>
          </cell>
          <cell r="D181">
            <v>14910</v>
          </cell>
          <cell r="E181">
            <v>10410</v>
          </cell>
          <cell r="F181">
            <v>2430</v>
          </cell>
          <cell r="G181">
            <v>0</v>
          </cell>
          <cell r="H181">
            <v>0</v>
          </cell>
          <cell r="I181">
            <v>0</v>
          </cell>
          <cell r="J181">
            <v>0</v>
          </cell>
          <cell r="K181">
            <v>0</v>
          </cell>
          <cell r="L181">
            <v>0</v>
          </cell>
          <cell r="M181">
            <v>0</v>
          </cell>
          <cell r="N181">
            <v>0</v>
          </cell>
        </row>
        <row r="182">
          <cell r="C182">
            <v>1800000</v>
          </cell>
          <cell r="D182">
            <v>15110</v>
          </cell>
          <cell r="E182">
            <v>10610</v>
          </cell>
          <cell r="F182">
            <v>2630</v>
          </cell>
          <cell r="G182">
            <v>0</v>
          </cell>
          <cell r="H182">
            <v>0</v>
          </cell>
          <cell r="I182">
            <v>0</v>
          </cell>
          <cell r="J182">
            <v>0</v>
          </cell>
          <cell r="K182">
            <v>0</v>
          </cell>
          <cell r="L182">
            <v>0</v>
          </cell>
          <cell r="M182">
            <v>0</v>
          </cell>
          <cell r="N182">
            <v>0</v>
          </cell>
        </row>
        <row r="183">
          <cell r="C183">
            <v>1810000</v>
          </cell>
          <cell r="D183">
            <v>15320</v>
          </cell>
          <cell r="E183">
            <v>10820</v>
          </cell>
          <cell r="F183">
            <v>2830</v>
          </cell>
          <cell r="G183">
            <v>0</v>
          </cell>
          <cell r="H183">
            <v>0</v>
          </cell>
          <cell r="I183">
            <v>0</v>
          </cell>
          <cell r="J183">
            <v>0</v>
          </cell>
          <cell r="K183">
            <v>0</v>
          </cell>
          <cell r="L183">
            <v>0</v>
          </cell>
          <cell r="M183">
            <v>0</v>
          </cell>
          <cell r="N183">
            <v>0</v>
          </cell>
        </row>
        <row r="184">
          <cell r="C184">
            <v>1820000</v>
          </cell>
          <cell r="D184">
            <v>15530</v>
          </cell>
          <cell r="E184">
            <v>11030</v>
          </cell>
          <cell r="F184">
            <v>3020</v>
          </cell>
          <cell r="G184">
            <v>0</v>
          </cell>
          <cell r="H184">
            <v>0</v>
          </cell>
          <cell r="I184">
            <v>0</v>
          </cell>
          <cell r="J184">
            <v>0</v>
          </cell>
          <cell r="K184">
            <v>0</v>
          </cell>
          <cell r="L184">
            <v>0</v>
          </cell>
          <cell r="M184">
            <v>0</v>
          </cell>
          <cell r="N184">
            <v>0</v>
          </cell>
        </row>
        <row r="185">
          <cell r="C185">
            <v>1830000</v>
          </cell>
          <cell r="D185">
            <v>15730</v>
          </cell>
          <cell r="E185">
            <v>11230</v>
          </cell>
          <cell r="F185">
            <v>3220</v>
          </cell>
          <cell r="G185">
            <v>0</v>
          </cell>
          <cell r="H185">
            <v>0</v>
          </cell>
          <cell r="I185">
            <v>0</v>
          </cell>
          <cell r="J185">
            <v>0</v>
          </cell>
          <cell r="K185">
            <v>0</v>
          </cell>
          <cell r="L185">
            <v>0</v>
          </cell>
          <cell r="M185">
            <v>0</v>
          </cell>
          <cell r="N185">
            <v>0</v>
          </cell>
        </row>
        <row r="186">
          <cell r="C186">
            <v>1840000</v>
          </cell>
          <cell r="D186">
            <v>15940</v>
          </cell>
          <cell r="E186">
            <v>11440</v>
          </cell>
          <cell r="F186">
            <v>3420</v>
          </cell>
          <cell r="G186">
            <v>0</v>
          </cell>
          <cell r="H186">
            <v>0</v>
          </cell>
          <cell r="I186">
            <v>0</v>
          </cell>
          <cell r="J186">
            <v>0</v>
          </cell>
          <cell r="K186">
            <v>0</v>
          </cell>
          <cell r="L186">
            <v>0</v>
          </cell>
          <cell r="M186">
            <v>0</v>
          </cell>
          <cell r="N186">
            <v>0</v>
          </cell>
        </row>
        <row r="187">
          <cell r="C187">
            <v>1850000</v>
          </cell>
          <cell r="D187">
            <v>16150</v>
          </cell>
          <cell r="E187">
            <v>11650</v>
          </cell>
          <cell r="F187">
            <v>3620</v>
          </cell>
          <cell r="G187">
            <v>0</v>
          </cell>
          <cell r="H187">
            <v>0</v>
          </cell>
          <cell r="I187">
            <v>0</v>
          </cell>
          <cell r="J187">
            <v>0</v>
          </cell>
          <cell r="K187">
            <v>0</v>
          </cell>
          <cell r="L187">
            <v>0</v>
          </cell>
          <cell r="M187">
            <v>0</v>
          </cell>
          <cell r="N187">
            <v>0</v>
          </cell>
        </row>
        <row r="188">
          <cell r="C188">
            <v>1860000</v>
          </cell>
          <cell r="D188">
            <v>16350</v>
          </cell>
          <cell r="E188">
            <v>11850</v>
          </cell>
          <cell r="F188">
            <v>3820</v>
          </cell>
          <cell r="G188">
            <v>0</v>
          </cell>
          <cell r="H188">
            <v>0</v>
          </cell>
          <cell r="I188">
            <v>0</v>
          </cell>
          <cell r="J188">
            <v>0</v>
          </cell>
          <cell r="K188">
            <v>0</v>
          </cell>
          <cell r="L188">
            <v>0</v>
          </cell>
          <cell r="M188">
            <v>0</v>
          </cell>
          <cell r="N188">
            <v>0</v>
          </cell>
        </row>
        <row r="189">
          <cell r="C189">
            <v>1870000</v>
          </cell>
          <cell r="D189">
            <v>16560</v>
          </cell>
          <cell r="E189">
            <v>12060</v>
          </cell>
          <cell r="F189">
            <v>4020</v>
          </cell>
          <cell r="G189">
            <v>0</v>
          </cell>
          <cell r="H189">
            <v>0</v>
          </cell>
          <cell r="I189">
            <v>0</v>
          </cell>
          <cell r="J189">
            <v>0</v>
          </cell>
          <cell r="K189">
            <v>0</v>
          </cell>
          <cell r="L189">
            <v>0</v>
          </cell>
          <cell r="M189">
            <v>0</v>
          </cell>
          <cell r="N189">
            <v>0</v>
          </cell>
        </row>
        <row r="190">
          <cell r="C190">
            <v>1880000</v>
          </cell>
          <cell r="D190">
            <v>16770</v>
          </cell>
          <cell r="E190">
            <v>12270</v>
          </cell>
          <cell r="F190">
            <v>4220</v>
          </cell>
          <cell r="G190">
            <v>0</v>
          </cell>
          <cell r="H190">
            <v>0</v>
          </cell>
          <cell r="I190">
            <v>0</v>
          </cell>
          <cell r="J190">
            <v>0</v>
          </cell>
          <cell r="K190">
            <v>0</v>
          </cell>
          <cell r="L190">
            <v>0</v>
          </cell>
          <cell r="M190">
            <v>0</v>
          </cell>
          <cell r="N190">
            <v>0</v>
          </cell>
        </row>
        <row r="191">
          <cell r="C191">
            <v>1890000</v>
          </cell>
          <cell r="D191">
            <v>16970</v>
          </cell>
          <cell r="E191">
            <v>12470</v>
          </cell>
          <cell r="F191">
            <v>4410</v>
          </cell>
          <cell r="G191">
            <v>1040</v>
          </cell>
          <cell r="H191">
            <v>0</v>
          </cell>
          <cell r="I191">
            <v>0</v>
          </cell>
          <cell r="J191">
            <v>0</v>
          </cell>
          <cell r="K191">
            <v>0</v>
          </cell>
          <cell r="L191">
            <v>0</v>
          </cell>
          <cell r="M191">
            <v>0</v>
          </cell>
          <cell r="N191">
            <v>0</v>
          </cell>
        </row>
        <row r="192">
          <cell r="C192">
            <v>1900000</v>
          </cell>
          <cell r="D192">
            <v>17180</v>
          </cell>
          <cell r="E192">
            <v>12680</v>
          </cell>
          <cell r="F192">
            <v>4610</v>
          </cell>
          <cell r="G192">
            <v>1240</v>
          </cell>
          <cell r="H192">
            <v>0</v>
          </cell>
          <cell r="I192">
            <v>0</v>
          </cell>
          <cell r="J192">
            <v>0</v>
          </cell>
          <cell r="K192">
            <v>0</v>
          </cell>
          <cell r="L192">
            <v>0</v>
          </cell>
          <cell r="M192">
            <v>0</v>
          </cell>
          <cell r="N192">
            <v>0</v>
          </cell>
        </row>
        <row r="193">
          <cell r="C193">
            <v>1910000</v>
          </cell>
          <cell r="D193">
            <v>17390</v>
          </cell>
          <cell r="E193">
            <v>12890</v>
          </cell>
          <cell r="F193">
            <v>4810</v>
          </cell>
          <cell r="G193">
            <v>1440</v>
          </cell>
          <cell r="H193">
            <v>0</v>
          </cell>
          <cell r="I193">
            <v>0</v>
          </cell>
          <cell r="J193">
            <v>0</v>
          </cell>
          <cell r="K193">
            <v>0</v>
          </cell>
          <cell r="L193">
            <v>0</v>
          </cell>
          <cell r="M193">
            <v>0</v>
          </cell>
          <cell r="N193">
            <v>0</v>
          </cell>
        </row>
        <row r="194">
          <cell r="C194">
            <v>1920000</v>
          </cell>
          <cell r="D194">
            <v>17590</v>
          </cell>
          <cell r="E194">
            <v>13090</v>
          </cell>
          <cell r="F194">
            <v>5010</v>
          </cell>
          <cell r="G194">
            <v>1630</v>
          </cell>
          <cell r="H194">
            <v>0</v>
          </cell>
          <cell r="I194">
            <v>0</v>
          </cell>
          <cell r="J194">
            <v>0</v>
          </cell>
          <cell r="K194">
            <v>0</v>
          </cell>
          <cell r="L194">
            <v>0</v>
          </cell>
          <cell r="M194">
            <v>0</v>
          </cell>
          <cell r="N194">
            <v>0</v>
          </cell>
        </row>
        <row r="195">
          <cell r="C195">
            <v>1930000</v>
          </cell>
          <cell r="D195">
            <v>17800</v>
          </cell>
          <cell r="E195">
            <v>13300</v>
          </cell>
          <cell r="F195">
            <v>5210</v>
          </cell>
          <cell r="G195">
            <v>1830</v>
          </cell>
          <cell r="H195">
            <v>0</v>
          </cell>
          <cell r="I195">
            <v>0</v>
          </cell>
          <cell r="J195">
            <v>0</v>
          </cell>
          <cell r="K195">
            <v>0</v>
          </cell>
          <cell r="L195">
            <v>0</v>
          </cell>
          <cell r="M195">
            <v>0</v>
          </cell>
          <cell r="N195">
            <v>0</v>
          </cell>
        </row>
        <row r="196">
          <cell r="C196">
            <v>1940000</v>
          </cell>
          <cell r="D196">
            <v>18010</v>
          </cell>
          <cell r="E196">
            <v>13510</v>
          </cell>
          <cell r="F196">
            <v>5410</v>
          </cell>
          <cell r="G196">
            <v>2030</v>
          </cell>
          <cell r="H196">
            <v>0</v>
          </cell>
          <cell r="I196">
            <v>0</v>
          </cell>
          <cell r="J196">
            <v>0</v>
          </cell>
          <cell r="K196">
            <v>0</v>
          </cell>
          <cell r="L196">
            <v>0</v>
          </cell>
          <cell r="M196">
            <v>0</v>
          </cell>
          <cell r="N196">
            <v>0</v>
          </cell>
        </row>
        <row r="197">
          <cell r="C197">
            <v>1950000</v>
          </cell>
          <cell r="D197">
            <v>18210</v>
          </cell>
          <cell r="E197">
            <v>13710</v>
          </cell>
          <cell r="F197">
            <v>5600</v>
          </cell>
          <cell r="G197">
            <v>2230</v>
          </cell>
          <cell r="H197">
            <v>0</v>
          </cell>
          <cell r="I197">
            <v>0</v>
          </cell>
          <cell r="J197">
            <v>0</v>
          </cell>
          <cell r="K197">
            <v>0</v>
          </cell>
          <cell r="L197">
            <v>0</v>
          </cell>
          <cell r="M197">
            <v>0</v>
          </cell>
          <cell r="N197">
            <v>0</v>
          </cell>
        </row>
        <row r="198">
          <cell r="C198">
            <v>1960000</v>
          </cell>
          <cell r="D198">
            <v>18420</v>
          </cell>
          <cell r="E198">
            <v>13920</v>
          </cell>
          <cell r="F198">
            <v>5800</v>
          </cell>
          <cell r="G198">
            <v>2430</v>
          </cell>
          <cell r="H198">
            <v>0</v>
          </cell>
          <cell r="I198">
            <v>0</v>
          </cell>
          <cell r="J198">
            <v>0</v>
          </cell>
          <cell r="K198">
            <v>0</v>
          </cell>
          <cell r="L198">
            <v>0</v>
          </cell>
          <cell r="M198">
            <v>0</v>
          </cell>
          <cell r="N198">
            <v>0</v>
          </cell>
        </row>
        <row r="199">
          <cell r="C199">
            <v>1970000</v>
          </cell>
          <cell r="D199">
            <v>18630</v>
          </cell>
          <cell r="E199">
            <v>14130</v>
          </cell>
          <cell r="F199">
            <v>6000</v>
          </cell>
          <cell r="G199">
            <v>2630</v>
          </cell>
          <cell r="H199">
            <v>0</v>
          </cell>
          <cell r="I199">
            <v>0</v>
          </cell>
          <cell r="J199">
            <v>0</v>
          </cell>
          <cell r="K199">
            <v>0</v>
          </cell>
          <cell r="L199">
            <v>0</v>
          </cell>
          <cell r="M199">
            <v>0</v>
          </cell>
          <cell r="N199">
            <v>0</v>
          </cell>
        </row>
        <row r="200">
          <cell r="C200">
            <v>1980000</v>
          </cell>
          <cell r="D200">
            <v>18880</v>
          </cell>
          <cell r="E200">
            <v>14330</v>
          </cell>
          <cell r="F200">
            <v>6200</v>
          </cell>
          <cell r="G200">
            <v>2820</v>
          </cell>
          <cell r="H200">
            <v>0</v>
          </cell>
          <cell r="I200">
            <v>0</v>
          </cell>
          <cell r="J200">
            <v>0</v>
          </cell>
          <cell r="K200">
            <v>0</v>
          </cell>
          <cell r="L200">
            <v>0</v>
          </cell>
          <cell r="M200">
            <v>0</v>
          </cell>
          <cell r="N200">
            <v>0</v>
          </cell>
        </row>
        <row r="201">
          <cell r="C201">
            <v>1990000</v>
          </cell>
          <cell r="D201">
            <v>19200</v>
          </cell>
          <cell r="E201">
            <v>14540</v>
          </cell>
          <cell r="F201">
            <v>6400</v>
          </cell>
          <cell r="G201">
            <v>3020</v>
          </cell>
          <cell r="H201">
            <v>0</v>
          </cell>
          <cell r="I201">
            <v>0</v>
          </cell>
          <cell r="J201">
            <v>0</v>
          </cell>
          <cell r="K201">
            <v>0</v>
          </cell>
          <cell r="L201">
            <v>0</v>
          </cell>
          <cell r="M201">
            <v>0</v>
          </cell>
          <cell r="N201">
            <v>0</v>
          </cell>
        </row>
        <row r="202">
          <cell r="C202">
            <v>2000000</v>
          </cell>
          <cell r="D202">
            <v>19520</v>
          </cell>
          <cell r="E202">
            <v>14750</v>
          </cell>
          <cell r="F202">
            <v>6600</v>
          </cell>
          <cell r="G202">
            <v>3220</v>
          </cell>
          <cell r="H202">
            <v>0</v>
          </cell>
          <cell r="I202">
            <v>0</v>
          </cell>
          <cell r="J202">
            <v>0</v>
          </cell>
          <cell r="K202">
            <v>0</v>
          </cell>
          <cell r="L202">
            <v>0</v>
          </cell>
          <cell r="M202">
            <v>0</v>
          </cell>
          <cell r="N202">
            <v>0</v>
          </cell>
        </row>
        <row r="203">
          <cell r="C203">
            <v>2010000</v>
          </cell>
          <cell r="D203">
            <v>19850</v>
          </cell>
          <cell r="E203">
            <v>14950</v>
          </cell>
          <cell r="F203">
            <v>6800</v>
          </cell>
          <cell r="G203">
            <v>3420</v>
          </cell>
          <cell r="H203">
            <v>0</v>
          </cell>
          <cell r="I203">
            <v>0</v>
          </cell>
          <cell r="J203">
            <v>0</v>
          </cell>
          <cell r="K203">
            <v>0</v>
          </cell>
          <cell r="L203">
            <v>0</v>
          </cell>
          <cell r="M203">
            <v>0</v>
          </cell>
          <cell r="N203">
            <v>0</v>
          </cell>
        </row>
        <row r="204">
          <cell r="C204">
            <v>2020000</v>
          </cell>
          <cell r="D204">
            <v>20170</v>
          </cell>
          <cell r="E204">
            <v>15160</v>
          </cell>
          <cell r="F204">
            <v>6990</v>
          </cell>
          <cell r="G204">
            <v>3620</v>
          </cell>
          <cell r="H204">
            <v>0</v>
          </cell>
          <cell r="I204">
            <v>0</v>
          </cell>
          <cell r="J204">
            <v>0</v>
          </cell>
          <cell r="K204">
            <v>0</v>
          </cell>
          <cell r="L204">
            <v>0</v>
          </cell>
          <cell r="M204">
            <v>0</v>
          </cell>
          <cell r="N204">
            <v>0</v>
          </cell>
        </row>
        <row r="205">
          <cell r="C205">
            <v>2030000</v>
          </cell>
          <cell r="D205">
            <v>20490</v>
          </cell>
          <cell r="E205">
            <v>15370</v>
          </cell>
          <cell r="F205">
            <v>7190</v>
          </cell>
          <cell r="G205">
            <v>3820</v>
          </cell>
          <cell r="H205">
            <v>0</v>
          </cell>
          <cell r="I205">
            <v>0</v>
          </cell>
          <cell r="J205">
            <v>0</v>
          </cell>
          <cell r="K205">
            <v>0</v>
          </cell>
          <cell r="L205">
            <v>0</v>
          </cell>
          <cell r="M205">
            <v>0</v>
          </cell>
          <cell r="N205">
            <v>0</v>
          </cell>
        </row>
        <row r="206">
          <cell r="C206">
            <v>2040000</v>
          </cell>
          <cell r="D206">
            <v>20810</v>
          </cell>
          <cell r="E206">
            <v>15570</v>
          </cell>
          <cell r="F206">
            <v>7390</v>
          </cell>
          <cell r="G206">
            <v>4020</v>
          </cell>
          <cell r="H206">
            <v>0</v>
          </cell>
          <cell r="I206">
            <v>0</v>
          </cell>
          <cell r="J206">
            <v>0</v>
          </cell>
          <cell r="K206">
            <v>0</v>
          </cell>
          <cell r="L206">
            <v>0</v>
          </cell>
          <cell r="M206">
            <v>0</v>
          </cell>
          <cell r="N206">
            <v>0</v>
          </cell>
        </row>
        <row r="207">
          <cell r="C207">
            <v>2050000</v>
          </cell>
          <cell r="D207">
            <v>21130</v>
          </cell>
          <cell r="E207">
            <v>15780</v>
          </cell>
          <cell r="F207">
            <v>7590</v>
          </cell>
          <cell r="G207">
            <v>4210</v>
          </cell>
          <cell r="H207">
            <v>0</v>
          </cell>
          <cell r="I207">
            <v>0</v>
          </cell>
          <cell r="J207">
            <v>0</v>
          </cell>
          <cell r="K207">
            <v>0</v>
          </cell>
          <cell r="L207">
            <v>0</v>
          </cell>
          <cell r="M207">
            <v>0</v>
          </cell>
          <cell r="N207">
            <v>0</v>
          </cell>
        </row>
        <row r="208">
          <cell r="C208">
            <v>2060000</v>
          </cell>
          <cell r="D208">
            <v>21450</v>
          </cell>
          <cell r="E208">
            <v>15990</v>
          </cell>
          <cell r="F208">
            <v>7790</v>
          </cell>
          <cell r="G208">
            <v>4410</v>
          </cell>
          <cell r="H208">
            <v>1040</v>
          </cell>
          <cell r="I208">
            <v>0</v>
          </cell>
          <cell r="J208">
            <v>0</v>
          </cell>
          <cell r="K208">
            <v>0</v>
          </cell>
          <cell r="L208">
            <v>0</v>
          </cell>
          <cell r="M208">
            <v>0</v>
          </cell>
          <cell r="N208">
            <v>0</v>
          </cell>
        </row>
        <row r="209">
          <cell r="C209">
            <v>2070000</v>
          </cell>
          <cell r="D209">
            <v>21770</v>
          </cell>
          <cell r="E209">
            <v>16190</v>
          </cell>
          <cell r="F209">
            <v>7990</v>
          </cell>
          <cell r="G209">
            <v>4610</v>
          </cell>
          <cell r="H209">
            <v>1240</v>
          </cell>
          <cell r="I209">
            <v>0</v>
          </cell>
          <cell r="J209">
            <v>0</v>
          </cell>
          <cell r="K209">
            <v>0</v>
          </cell>
          <cell r="L209">
            <v>0</v>
          </cell>
          <cell r="M209">
            <v>0</v>
          </cell>
          <cell r="N209">
            <v>0</v>
          </cell>
        </row>
        <row r="210">
          <cell r="C210">
            <v>2080000</v>
          </cell>
          <cell r="D210">
            <v>22090</v>
          </cell>
          <cell r="E210">
            <v>16400</v>
          </cell>
          <cell r="F210">
            <v>8180</v>
          </cell>
          <cell r="G210">
            <v>4810</v>
          </cell>
          <cell r="H210">
            <v>1430</v>
          </cell>
          <cell r="I210">
            <v>0</v>
          </cell>
          <cell r="J210">
            <v>0</v>
          </cell>
          <cell r="K210">
            <v>0</v>
          </cell>
          <cell r="L210">
            <v>0</v>
          </cell>
          <cell r="M210">
            <v>0</v>
          </cell>
          <cell r="N210">
            <v>0</v>
          </cell>
        </row>
        <row r="211">
          <cell r="C211">
            <v>2090000</v>
          </cell>
          <cell r="D211">
            <v>22420</v>
          </cell>
          <cell r="E211">
            <v>16600</v>
          </cell>
          <cell r="F211">
            <v>8380</v>
          </cell>
          <cell r="G211">
            <v>5010</v>
          </cell>
          <cell r="H211">
            <v>1630</v>
          </cell>
          <cell r="I211">
            <v>0</v>
          </cell>
          <cell r="J211">
            <v>0</v>
          </cell>
          <cell r="K211">
            <v>0</v>
          </cell>
          <cell r="L211">
            <v>0</v>
          </cell>
          <cell r="M211">
            <v>0</v>
          </cell>
          <cell r="N211">
            <v>0</v>
          </cell>
        </row>
        <row r="212">
          <cell r="C212">
            <v>2100000</v>
          </cell>
          <cell r="D212">
            <v>22740</v>
          </cell>
          <cell r="E212">
            <v>16810</v>
          </cell>
          <cell r="F212">
            <v>8580</v>
          </cell>
          <cell r="G212">
            <v>5210</v>
          </cell>
          <cell r="H212">
            <v>1830</v>
          </cell>
          <cell r="I212">
            <v>0</v>
          </cell>
          <cell r="J212">
            <v>0</v>
          </cell>
          <cell r="K212">
            <v>0</v>
          </cell>
          <cell r="L212">
            <v>0</v>
          </cell>
          <cell r="M212">
            <v>0</v>
          </cell>
          <cell r="N212">
            <v>0</v>
          </cell>
        </row>
        <row r="213">
          <cell r="C213">
            <v>2110000</v>
          </cell>
          <cell r="D213">
            <v>23060</v>
          </cell>
          <cell r="E213">
            <v>17020</v>
          </cell>
          <cell r="F213">
            <v>8780</v>
          </cell>
          <cell r="G213">
            <v>5400</v>
          </cell>
          <cell r="H213">
            <v>2030</v>
          </cell>
          <cell r="I213">
            <v>0</v>
          </cell>
          <cell r="J213">
            <v>0</v>
          </cell>
          <cell r="K213">
            <v>0</v>
          </cell>
          <cell r="L213">
            <v>0</v>
          </cell>
          <cell r="M213">
            <v>0</v>
          </cell>
          <cell r="N213">
            <v>0</v>
          </cell>
        </row>
        <row r="214">
          <cell r="C214">
            <v>2120000</v>
          </cell>
          <cell r="D214">
            <v>23380</v>
          </cell>
          <cell r="E214">
            <v>17220</v>
          </cell>
          <cell r="F214">
            <v>8980</v>
          </cell>
          <cell r="G214">
            <v>5600</v>
          </cell>
          <cell r="H214">
            <v>2230</v>
          </cell>
          <cell r="I214">
            <v>0</v>
          </cell>
          <cell r="J214">
            <v>0</v>
          </cell>
          <cell r="K214">
            <v>0</v>
          </cell>
          <cell r="L214">
            <v>0</v>
          </cell>
          <cell r="M214">
            <v>0</v>
          </cell>
          <cell r="N214">
            <v>0</v>
          </cell>
        </row>
        <row r="215">
          <cell r="C215">
            <v>2130000</v>
          </cell>
          <cell r="D215">
            <v>23700</v>
          </cell>
          <cell r="E215">
            <v>17430</v>
          </cell>
          <cell r="F215">
            <v>9180</v>
          </cell>
          <cell r="G215">
            <v>5800</v>
          </cell>
          <cell r="H215">
            <v>2430</v>
          </cell>
          <cell r="I215">
            <v>0</v>
          </cell>
          <cell r="J215">
            <v>0</v>
          </cell>
          <cell r="K215">
            <v>0</v>
          </cell>
          <cell r="L215">
            <v>0</v>
          </cell>
          <cell r="M215">
            <v>0</v>
          </cell>
          <cell r="N215">
            <v>0</v>
          </cell>
        </row>
        <row r="216">
          <cell r="C216">
            <v>2140000</v>
          </cell>
          <cell r="D216">
            <v>24020</v>
          </cell>
          <cell r="E216">
            <v>17640</v>
          </cell>
          <cell r="F216">
            <v>9380</v>
          </cell>
          <cell r="G216">
            <v>6000</v>
          </cell>
          <cell r="H216">
            <v>2630</v>
          </cell>
          <cell r="I216">
            <v>0</v>
          </cell>
          <cell r="J216">
            <v>0</v>
          </cell>
          <cell r="K216">
            <v>0</v>
          </cell>
          <cell r="L216">
            <v>0</v>
          </cell>
          <cell r="M216">
            <v>0</v>
          </cell>
          <cell r="N216">
            <v>0</v>
          </cell>
        </row>
        <row r="217">
          <cell r="C217">
            <v>2150000</v>
          </cell>
          <cell r="D217">
            <v>24340</v>
          </cell>
          <cell r="E217">
            <v>17840</v>
          </cell>
          <cell r="F217">
            <v>9570</v>
          </cell>
          <cell r="G217">
            <v>6200</v>
          </cell>
          <cell r="H217">
            <v>2820</v>
          </cell>
          <cell r="I217">
            <v>0</v>
          </cell>
          <cell r="J217">
            <v>0</v>
          </cell>
          <cell r="K217">
            <v>0</v>
          </cell>
          <cell r="L217">
            <v>0</v>
          </cell>
          <cell r="M217">
            <v>0</v>
          </cell>
          <cell r="N217">
            <v>0</v>
          </cell>
        </row>
        <row r="218">
          <cell r="C218">
            <v>2160000</v>
          </cell>
          <cell r="D218">
            <v>24660</v>
          </cell>
          <cell r="E218">
            <v>18050</v>
          </cell>
          <cell r="F218">
            <v>9770</v>
          </cell>
          <cell r="G218">
            <v>6400</v>
          </cell>
          <cell r="H218">
            <v>3020</v>
          </cell>
          <cell r="I218">
            <v>0</v>
          </cell>
          <cell r="J218">
            <v>0</v>
          </cell>
          <cell r="K218">
            <v>0</v>
          </cell>
          <cell r="L218">
            <v>0</v>
          </cell>
          <cell r="M218">
            <v>0</v>
          </cell>
          <cell r="N218">
            <v>0</v>
          </cell>
        </row>
        <row r="219">
          <cell r="C219">
            <v>2170000</v>
          </cell>
          <cell r="D219">
            <v>24990</v>
          </cell>
          <cell r="E219">
            <v>18260</v>
          </cell>
          <cell r="F219">
            <v>9970</v>
          </cell>
          <cell r="G219">
            <v>6600</v>
          </cell>
          <cell r="H219">
            <v>3220</v>
          </cell>
          <cell r="I219">
            <v>0</v>
          </cell>
          <cell r="J219">
            <v>0</v>
          </cell>
          <cell r="K219">
            <v>0</v>
          </cell>
          <cell r="L219">
            <v>0</v>
          </cell>
          <cell r="M219">
            <v>0</v>
          </cell>
          <cell r="N219">
            <v>0</v>
          </cell>
        </row>
        <row r="220">
          <cell r="C220">
            <v>2180000</v>
          </cell>
          <cell r="D220">
            <v>25310</v>
          </cell>
          <cell r="E220">
            <v>18460</v>
          </cell>
          <cell r="F220">
            <v>10170</v>
          </cell>
          <cell r="G220">
            <v>6790</v>
          </cell>
          <cell r="H220">
            <v>3420</v>
          </cell>
          <cell r="I220">
            <v>0</v>
          </cell>
          <cell r="J220">
            <v>0</v>
          </cell>
          <cell r="K220">
            <v>0</v>
          </cell>
          <cell r="L220">
            <v>0</v>
          </cell>
          <cell r="M220">
            <v>0</v>
          </cell>
          <cell r="N220">
            <v>0</v>
          </cell>
        </row>
        <row r="221">
          <cell r="C221">
            <v>2190000</v>
          </cell>
          <cell r="D221">
            <v>25630</v>
          </cell>
          <cell r="E221">
            <v>18670</v>
          </cell>
          <cell r="F221">
            <v>10370</v>
          </cell>
          <cell r="G221">
            <v>6990</v>
          </cell>
          <cell r="H221">
            <v>3620</v>
          </cell>
          <cell r="I221">
            <v>0</v>
          </cell>
          <cell r="J221">
            <v>0</v>
          </cell>
          <cell r="K221">
            <v>0</v>
          </cell>
          <cell r="L221">
            <v>0</v>
          </cell>
          <cell r="M221">
            <v>0</v>
          </cell>
          <cell r="N221">
            <v>0</v>
          </cell>
        </row>
        <row r="222">
          <cell r="C222">
            <v>2200000</v>
          </cell>
          <cell r="D222">
            <v>25950</v>
          </cell>
          <cell r="E222">
            <v>18950</v>
          </cell>
          <cell r="F222">
            <v>10570</v>
          </cell>
          <cell r="G222">
            <v>7190</v>
          </cell>
          <cell r="H222">
            <v>3820</v>
          </cell>
          <cell r="I222">
            <v>0</v>
          </cell>
          <cell r="J222">
            <v>0</v>
          </cell>
          <cell r="K222">
            <v>0</v>
          </cell>
          <cell r="L222">
            <v>0</v>
          </cell>
          <cell r="M222">
            <v>0</v>
          </cell>
          <cell r="N222">
            <v>0</v>
          </cell>
        </row>
        <row r="223">
          <cell r="C223">
            <v>2210000</v>
          </cell>
          <cell r="D223">
            <v>26270</v>
          </cell>
          <cell r="E223">
            <v>19270</v>
          </cell>
          <cell r="F223">
            <v>10760</v>
          </cell>
          <cell r="G223">
            <v>7390</v>
          </cell>
          <cell r="H223">
            <v>4010</v>
          </cell>
          <cell r="I223">
            <v>0</v>
          </cell>
          <cell r="J223">
            <v>0</v>
          </cell>
          <cell r="K223">
            <v>0</v>
          </cell>
          <cell r="L223">
            <v>0</v>
          </cell>
          <cell r="M223">
            <v>0</v>
          </cell>
          <cell r="N223">
            <v>0</v>
          </cell>
        </row>
        <row r="224">
          <cell r="C224">
            <v>2220000</v>
          </cell>
          <cell r="D224">
            <v>26590</v>
          </cell>
          <cell r="E224">
            <v>19590</v>
          </cell>
          <cell r="F224">
            <v>10960</v>
          </cell>
          <cell r="G224">
            <v>7590</v>
          </cell>
          <cell r="H224">
            <v>4210</v>
          </cell>
          <cell r="I224">
            <v>0</v>
          </cell>
          <cell r="J224">
            <v>0</v>
          </cell>
          <cell r="K224">
            <v>0</v>
          </cell>
          <cell r="L224">
            <v>0</v>
          </cell>
          <cell r="M224">
            <v>0</v>
          </cell>
          <cell r="N224">
            <v>0</v>
          </cell>
        </row>
        <row r="225">
          <cell r="C225">
            <v>2230000</v>
          </cell>
          <cell r="D225">
            <v>26910</v>
          </cell>
          <cell r="E225">
            <v>19910</v>
          </cell>
          <cell r="F225">
            <v>11160</v>
          </cell>
          <cell r="G225">
            <v>7790</v>
          </cell>
          <cell r="H225">
            <v>4410</v>
          </cell>
          <cell r="I225">
            <v>1040</v>
          </cell>
          <cell r="J225">
            <v>0</v>
          </cell>
          <cell r="K225">
            <v>0</v>
          </cell>
          <cell r="L225">
            <v>0</v>
          </cell>
          <cell r="M225">
            <v>0</v>
          </cell>
          <cell r="N225">
            <v>0</v>
          </cell>
        </row>
        <row r="226">
          <cell r="C226">
            <v>2240000</v>
          </cell>
          <cell r="D226">
            <v>27240</v>
          </cell>
          <cell r="E226">
            <v>20240</v>
          </cell>
          <cell r="F226">
            <v>11360</v>
          </cell>
          <cell r="G226">
            <v>7980</v>
          </cell>
          <cell r="H226">
            <v>4610</v>
          </cell>
          <cell r="I226">
            <v>1230</v>
          </cell>
          <cell r="J226">
            <v>0</v>
          </cell>
          <cell r="K226">
            <v>0</v>
          </cell>
          <cell r="L226">
            <v>0</v>
          </cell>
          <cell r="M226">
            <v>0</v>
          </cell>
          <cell r="N226">
            <v>0</v>
          </cell>
        </row>
        <row r="227">
          <cell r="C227">
            <v>2250000</v>
          </cell>
          <cell r="D227">
            <v>27560</v>
          </cell>
          <cell r="E227">
            <v>20560</v>
          </cell>
          <cell r="F227">
            <v>11560</v>
          </cell>
          <cell r="G227">
            <v>8180</v>
          </cell>
          <cell r="H227">
            <v>4810</v>
          </cell>
          <cell r="I227">
            <v>1430</v>
          </cell>
          <cell r="J227">
            <v>0</v>
          </cell>
          <cell r="K227">
            <v>0</v>
          </cell>
          <cell r="L227">
            <v>0</v>
          </cell>
          <cell r="M227">
            <v>0</v>
          </cell>
          <cell r="N227">
            <v>0</v>
          </cell>
        </row>
        <row r="228">
          <cell r="C228">
            <v>2260000</v>
          </cell>
          <cell r="D228">
            <v>27880</v>
          </cell>
          <cell r="E228">
            <v>20880</v>
          </cell>
          <cell r="F228">
            <v>11760</v>
          </cell>
          <cell r="G228">
            <v>8380</v>
          </cell>
          <cell r="H228">
            <v>5010</v>
          </cell>
          <cell r="I228">
            <v>1630</v>
          </cell>
          <cell r="J228">
            <v>0</v>
          </cell>
          <cell r="K228">
            <v>0</v>
          </cell>
          <cell r="L228">
            <v>0</v>
          </cell>
          <cell r="M228">
            <v>0</v>
          </cell>
          <cell r="N228">
            <v>0</v>
          </cell>
        </row>
        <row r="229">
          <cell r="C229">
            <v>2270000</v>
          </cell>
          <cell r="D229">
            <v>28200</v>
          </cell>
          <cell r="E229">
            <v>21200</v>
          </cell>
          <cell r="F229">
            <v>11960</v>
          </cell>
          <cell r="G229">
            <v>8580</v>
          </cell>
          <cell r="H229">
            <v>5210</v>
          </cell>
          <cell r="I229">
            <v>1830</v>
          </cell>
          <cell r="J229">
            <v>0</v>
          </cell>
          <cell r="K229">
            <v>0</v>
          </cell>
          <cell r="L229">
            <v>0</v>
          </cell>
          <cell r="M229">
            <v>0</v>
          </cell>
          <cell r="N229">
            <v>0</v>
          </cell>
        </row>
        <row r="230">
          <cell r="C230">
            <v>2280000</v>
          </cell>
          <cell r="D230">
            <v>28520</v>
          </cell>
          <cell r="E230">
            <v>21520</v>
          </cell>
          <cell r="F230">
            <v>12150</v>
          </cell>
          <cell r="G230">
            <v>8780</v>
          </cell>
          <cell r="H230">
            <v>5400</v>
          </cell>
          <cell r="I230">
            <v>2030</v>
          </cell>
          <cell r="J230">
            <v>0</v>
          </cell>
          <cell r="K230">
            <v>0</v>
          </cell>
          <cell r="L230">
            <v>0</v>
          </cell>
          <cell r="M230">
            <v>0</v>
          </cell>
          <cell r="N230">
            <v>0</v>
          </cell>
        </row>
        <row r="231">
          <cell r="C231">
            <v>2290000</v>
          </cell>
          <cell r="D231">
            <v>28840</v>
          </cell>
          <cell r="E231">
            <v>21840</v>
          </cell>
          <cell r="F231">
            <v>12350</v>
          </cell>
          <cell r="G231">
            <v>8980</v>
          </cell>
          <cell r="H231">
            <v>5600</v>
          </cell>
          <cell r="I231">
            <v>2230</v>
          </cell>
          <cell r="J231">
            <v>0</v>
          </cell>
          <cell r="K231">
            <v>0</v>
          </cell>
          <cell r="L231">
            <v>0</v>
          </cell>
          <cell r="M231">
            <v>0</v>
          </cell>
          <cell r="N231">
            <v>0</v>
          </cell>
        </row>
        <row r="232">
          <cell r="C232">
            <v>2300000</v>
          </cell>
          <cell r="D232">
            <v>29160</v>
          </cell>
          <cell r="E232">
            <v>22160</v>
          </cell>
          <cell r="F232">
            <v>12550</v>
          </cell>
          <cell r="G232">
            <v>9180</v>
          </cell>
          <cell r="H232">
            <v>5800</v>
          </cell>
          <cell r="I232">
            <v>2430</v>
          </cell>
          <cell r="J232">
            <v>0</v>
          </cell>
          <cell r="K232">
            <v>0</v>
          </cell>
          <cell r="L232">
            <v>0</v>
          </cell>
          <cell r="M232">
            <v>0</v>
          </cell>
          <cell r="N232">
            <v>0</v>
          </cell>
        </row>
        <row r="233">
          <cell r="C233">
            <v>2310000</v>
          </cell>
          <cell r="D233">
            <v>29480</v>
          </cell>
          <cell r="E233">
            <v>22480</v>
          </cell>
          <cell r="F233">
            <v>12750</v>
          </cell>
          <cell r="G233">
            <v>9370</v>
          </cell>
          <cell r="H233">
            <v>6000</v>
          </cell>
          <cell r="I233">
            <v>2620</v>
          </cell>
          <cell r="J233">
            <v>0</v>
          </cell>
          <cell r="K233">
            <v>0</v>
          </cell>
          <cell r="L233">
            <v>0</v>
          </cell>
          <cell r="M233">
            <v>0</v>
          </cell>
          <cell r="N233">
            <v>0</v>
          </cell>
        </row>
        <row r="234">
          <cell r="C234">
            <v>2320000</v>
          </cell>
          <cell r="D234">
            <v>29810</v>
          </cell>
          <cell r="E234">
            <v>22810</v>
          </cell>
          <cell r="F234">
            <v>12950</v>
          </cell>
          <cell r="G234">
            <v>9570</v>
          </cell>
          <cell r="H234">
            <v>6200</v>
          </cell>
          <cell r="I234">
            <v>2820</v>
          </cell>
          <cell r="J234">
            <v>0</v>
          </cell>
          <cell r="K234">
            <v>0</v>
          </cell>
          <cell r="L234">
            <v>0</v>
          </cell>
          <cell r="M234">
            <v>0</v>
          </cell>
          <cell r="N234">
            <v>0</v>
          </cell>
        </row>
        <row r="235">
          <cell r="C235">
            <v>2330000</v>
          </cell>
          <cell r="D235">
            <v>30130</v>
          </cell>
          <cell r="E235">
            <v>23130</v>
          </cell>
          <cell r="F235">
            <v>13150</v>
          </cell>
          <cell r="G235">
            <v>9770</v>
          </cell>
          <cell r="H235">
            <v>6400</v>
          </cell>
          <cell r="I235">
            <v>3020</v>
          </cell>
          <cell r="J235">
            <v>0</v>
          </cell>
          <cell r="K235">
            <v>0</v>
          </cell>
          <cell r="L235">
            <v>0</v>
          </cell>
          <cell r="M235">
            <v>0</v>
          </cell>
          <cell r="N235">
            <v>0</v>
          </cell>
        </row>
        <row r="236">
          <cell r="C236">
            <v>2340000</v>
          </cell>
          <cell r="D236">
            <v>30450</v>
          </cell>
          <cell r="E236">
            <v>23450</v>
          </cell>
          <cell r="F236">
            <v>13340</v>
          </cell>
          <cell r="G236">
            <v>9970</v>
          </cell>
          <cell r="H236">
            <v>6590</v>
          </cell>
          <cell r="I236">
            <v>3220</v>
          </cell>
          <cell r="J236">
            <v>0</v>
          </cell>
          <cell r="K236">
            <v>0</v>
          </cell>
          <cell r="L236">
            <v>0</v>
          </cell>
          <cell r="M236">
            <v>0</v>
          </cell>
          <cell r="N236">
            <v>0</v>
          </cell>
        </row>
        <row r="237">
          <cell r="C237">
            <v>2350000</v>
          </cell>
          <cell r="D237">
            <v>30770</v>
          </cell>
          <cell r="E237">
            <v>23770</v>
          </cell>
          <cell r="F237">
            <v>13540</v>
          </cell>
          <cell r="G237">
            <v>10170</v>
          </cell>
          <cell r="H237">
            <v>6790</v>
          </cell>
          <cell r="I237">
            <v>3420</v>
          </cell>
          <cell r="J237">
            <v>0</v>
          </cell>
          <cell r="K237">
            <v>0</v>
          </cell>
          <cell r="L237">
            <v>0</v>
          </cell>
          <cell r="M237">
            <v>0</v>
          </cell>
          <cell r="N237">
            <v>0</v>
          </cell>
        </row>
        <row r="238">
          <cell r="C238">
            <v>2360000</v>
          </cell>
          <cell r="D238">
            <v>31090</v>
          </cell>
          <cell r="E238">
            <v>24090</v>
          </cell>
          <cell r="F238">
            <v>13740</v>
          </cell>
          <cell r="G238">
            <v>10370</v>
          </cell>
          <cell r="H238">
            <v>6990</v>
          </cell>
          <cell r="I238">
            <v>3620</v>
          </cell>
          <cell r="J238">
            <v>0</v>
          </cell>
          <cell r="K238">
            <v>0</v>
          </cell>
          <cell r="L238">
            <v>0</v>
          </cell>
          <cell r="M238">
            <v>0</v>
          </cell>
          <cell r="N238">
            <v>0</v>
          </cell>
        </row>
        <row r="239">
          <cell r="C239">
            <v>2370000</v>
          </cell>
          <cell r="D239">
            <v>31410</v>
          </cell>
          <cell r="E239">
            <v>24410</v>
          </cell>
          <cell r="F239">
            <v>13940</v>
          </cell>
          <cell r="G239">
            <v>10560</v>
          </cell>
          <cell r="H239">
            <v>7190</v>
          </cell>
          <cell r="I239">
            <v>3810</v>
          </cell>
          <cell r="J239">
            <v>0</v>
          </cell>
          <cell r="K239">
            <v>0</v>
          </cell>
          <cell r="L239">
            <v>0</v>
          </cell>
          <cell r="M239">
            <v>0</v>
          </cell>
          <cell r="N239">
            <v>0</v>
          </cell>
        </row>
        <row r="240">
          <cell r="C240">
            <v>2380000</v>
          </cell>
          <cell r="D240">
            <v>31730</v>
          </cell>
          <cell r="E240">
            <v>24730</v>
          </cell>
          <cell r="F240">
            <v>14140</v>
          </cell>
          <cell r="G240">
            <v>10760</v>
          </cell>
          <cell r="H240">
            <v>7390</v>
          </cell>
          <cell r="I240">
            <v>4010</v>
          </cell>
          <cell r="J240">
            <v>0</v>
          </cell>
          <cell r="K240">
            <v>0</v>
          </cell>
          <cell r="L240">
            <v>0</v>
          </cell>
          <cell r="M240">
            <v>0</v>
          </cell>
          <cell r="N240">
            <v>0</v>
          </cell>
        </row>
        <row r="241">
          <cell r="C241">
            <v>2390000</v>
          </cell>
          <cell r="D241">
            <v>32050</v>
          </cell>
          <cell r="E241">
            <v>25050</v>
          </cell>
          <cell r="F241">
            <v>14340</v>
          </cell>
          <cell r="G241">
            <v>10960</v>
          </cell>
          <cell r="H241">
            <v>7590</v>
          </cell>
          <cell r="I241">
            <v>4210</v>
          </cell>
          <cell r="J241">
            <v>0</v>
          </cell>
          <cell r="K241">
            <v>0</v>
          </cell>
          <cell r="L241">
            <v>0</v>
          </cell>
          <cell r="M241">
            <v>0</v>
          </cell>
          <cell r="N241">
            <v>0</v>
          </cell>
        </row>
        <row r="242">
          <cell r="C242">
            <v>2400000</v>
          </cell>
          <cell r="D242">
            <v>32380</v>
          </cell>
          <cell r="E242">
            <v>25380</v>
          </cell>
          <cell r="F242">
            <v>14530</v>
          </cell>
          <cell r="G242">
            <v>11160</v>
          </cell>
          <cell r="H242">
            <v>7780</v>
          </cell>
          <cell r="I242">
            <v>4410</v>
          </cell>
          <cell r="J242">
            <v>1030</v>
          </cell>
          <cell r="K242">
            <v>0</v>
          </cell>
          <cell r="L242">
            <v>0</v>
          </cell>
          <cell r="M242">
            <v>0</v>
          </cell>
          <cell r="N242">
            <v>0</v>
          </cell>
        </row>
        <row r="243">
          <cell r="C243">
            <v>2410000</v>
          </cell>
          <cell r="D243">
            <v>32700</v>
          </cell>
          <cell r="E243">
            <v>25700</v>
          </cell>
          <cell r="F243">
            <v>14730</v>
          </cell>
          <cell r="G243">
            <v>11360</v>
          </cell>
          <cell r="H243">
            <v>7980</v>
          </cell>
          <cell r="I243">
            <v>4610</v>
          </cell>
          <cell r="J243">
            <v>1230</v>
          </cell>
          <cell r="K243">
            <v>0</v>
          </cell>
          <cell r="L243">
            <v>0</v>
          </cell>
          <cell r="M243">
            <v>0</v>
          </cell>
          <cell r="N243">
            <v>0</v>
          </cell>
        </row>
        <row r="244">
          <cell r="C244">
            <v>2420000</v>
          </cell>
          <cell r="D244">
            <v>33020</v>
          </cell>
          <cell r="E244">
            <v>26020</v>
          </cell>
          <cell r="F244">
            <v>14930</v>
          </cell>
          <cell r="G244">
            <v>11560</v>
          </cell>
          <cell r="H244">
            <v>8180</v>
          </cell>
          <cell r="I244">
            <v>4810</v>
          </cell>
          <cell r="J244">
            <v>1430</v>
          </cell>
          <cell r="K244">
            <v>0</v>
          </cell>
          <cell r="L244">
            <v>0</v>
          </cell>
          <cell r="M244">
            <v>0</v>
          </cell>
          <cell r="N244">
            <v>0</v>
          </cell>
        </row>
        <row r="245">
          <cell r="C245">
            <v>2430000</v>
          </cell>
          <cell r="D245">
            <v>33340</v>
          </cell>
          <cell r="E245">
            <v>26340</v>
          </cell>
          <cell r="F245">
            <v>15130</v>
          </cell>
          <cell r="G245">
            <v>11760</v>
          </cell>
          <cell r="H245">
            <v>8380</v>
          </cell>
          <cell r="I245">
            <v>5010</v>
          </cell>
          <cell r="J245">
            <v>1630</v>
          </cell>
          <cell r="K245">
            <v>0</v>
          </cell>
          <cell r="L245">
            <v>0</v>
          </cell>
          <cell r="M245">
            <v>0</v>
          </cell>
          <cell r="N245">
            <v>0</v>
          </cell>
        </row>
        <row r="246">
          <cell r="C246">
            <v>2440000</v>
          </cell>
          <cell r="D246">
            <v>33660</v>
          </cell>
          <cell r="E246">
            <v>26660</v>
          </cell>
          <cell r="F246">
            <v>15330</v>
          </cell>
          <cell r="G246">
            <v>11950</v>
          </cell>
          <cell r="H246">
            <v>8580</v>
          </cell>
          <cell r="I246">
            <v>5200</v>
          </cell>
          <cell r="J246">
            <v>1830</v>
          </cell>
          <cell r="K246">
            <v>0</v>
          </cell>
          <cell r="L246">
            <v>0</v>
          </cell>
          <cell r="M246">
            <v>0</v>
          </cell>
          <cell r="N246">
            <v>0</v>
          </cell>
        </row>
        <row r="247">
          <cell r="C247">
            <v>2450000</v>
          </cell>
          <cell r="D247">
            <v>33980</v>
          </cell>
          <cell r="E247">
            <v>26980</v>
          </cell>
          <cell r="F247">
            <v>15530</v>
          </cell>
          <cell r="G247">
            <v>12150</v>
          </cell>
          <cell r="H247">
            <v>8780</v>
          </cell>
          <cell r="I247">
            <v>5400</v>
          </cell>
          <cell r="J247">
            <v>2030</v>
          </cell>
          <cell r="K247">
            <v>0</v>
          </cell>
          <cell r="L247">
            <v>0</v>
          </cell>
          <cell r="M247">
            <v>0</v>
          </cell>
          <cell r="N247">
            <v>0</v>
          </cell>
        </row>
        <row r="248">
          <cell r="C248">
            <v>2460000</v>
          </cell>
          <cell r="D248">
            <v>34300</v>
          </cell>
          <cell r="E248">
            <v>27300</v>
          </cell>
          <cell r="F248">
            <v>15730</v>
          </cell>
          <cell r="G248">
            <v>12350</v>
          </cell>
          <cell r="H248">
            <v>8980</v>
          </cell>
          <cell r="I248">
            <v>5600</v>
          </cell>
          <cell r="J248">
            <v>2230</v>
          </cell>
          <cell r="K248">
            <v>0</v>
          </cell>
          <cell r="L248">
            <v>0</v>
          </cell>
          <cell r="M248">
            <v>0</v>
          </cell>
          <cell r="N248">
            <v>0</v>
          </cell>
        </row>
        <row r="249">
          <cell r="C249">
            <v>2470000</v>
          </cell>
          <cell r="D249">
            <v>34630</v>
          </cell>
          <cell r="E249">
            <v>27630</v>
          </cell>
          <cell r="F249">
            <v>15920</v>
          </cell>
          <cell r="G249">
            <v>12550</v>
          </cell>
          <cell r="H249">
            <v>9170</v>
          </cell>
          <cell r="I249">
            <v>5800</v>
          </cell>
          <cell r="J249">
            <v>2420</v>
          </cell>
          <cell r="K249">
            <v>0</v>
          </cell>
          <cell r="L249">
            <v>0</v>
          </cell>
          <cell r="M249">
            <v>0</v>
          </cell>
          <cell r="N249">
            <v>0</v>
          </cell>
        </row>
        <row r="250">
          <cell r="C250">
            <v>2480000</v>
          </cell>
          <cell r="D250">
            <v>34950</v>
          </cell>
          <cell r="E250">
            <v>27950</v>
          </cell>
          <cell r="F250">
            <v>16120</v>
          </cell>
          <cell r="G250">
            <v>12750</v>
          </cell>
          <cell r="H250">
            <v>9370</v>
          </cell>
          <cell r="I250">
            <v>6000</v>
          </cell>
          <cell r="J250">
            <v>2620</v>
          </cell>
          <cell r="K250">
            <v>0</v>
          </cell>
          <cell r="L250">
            <v>0</v>
          </cell>
          <cell r="M250">
            <v>0</v>
          </cell>
          <cell r="N250">
            <v>0</v>
          </cell>
        </row>
        <row r="251">
          <cell r="C251">
            <v>2490000</v>
          </cell>
          <cell r="D251">
            <v>35270</v>
          </cell>
          <cell r="E251">
            <v>28270</v>
          </cell>
          <cell r="F251">
            <v>16320</v>
          </cell>
          <cell r="G251">
            <v>12950</v>
          </cell>
          <cell r="H251">
            <v>9570</v>
          </cell>
          <cell r="I251">
            <v>6200</v>
          </cell>
          <cell r="J251">
            <v>2820</v>
          </cell>
          <cell r="K251">
            <v>0</v>
          </cell>
          <cell r="L251">
            <v>0</v>
          </cell>
          <cell r="M251">
            <v>0</v>
          </cell>
          <cell r="N251">
            <v>0</v>
          </cell>
        </row>
        <row r="252">
          <cell r="C252">
            <v>2500000</v>
          </cell>
          <cell r="D252">
            <v>35600</v>
          </cell>
          <cell r="E252">
            <v>28600</v>
          </cell>
          <cell r="F252">
            <v>16530</v>
          </cell>
          <cell r="G252">
            <v>13150</v>
          </cell>
          <cell r="H252">
            <v>9780</v>
          </cell>
          <cell r="I252">
            <v>6400</v>
          </cell>
          <cell r="J252">
            <v>3030</v>
          </cell>
          <cell r="K252">
            <v>0</v>
          </cell>
          <cell r="L252">
            <v>0</v>
          </cell>
          <cell r="M252">
            <v>0</v>
          </cell>
          <cell r="N252">
            <v>0</v>
          </cell>
        </row>
        <row r="253">
          <cell r="C253">
            <v>2510000</v>
          </cell>
          <cell r="D253">
            <v>35940</v>
          </cell>
          <cell r="E253">
            <v>28940</v>
          </cell>
          <cell r="F253">
            <v>16740</v>
          </cell>
          <cell r="G253">
            <v>13360</v>
          </cell>
          <cell r="H253">
            <v>9990</v>
          </cell>
          <cell r="I253">
            <v>6610</v>
          </cell>
          <cell r="J253">
            <v>3240</v>
          </cell>
          <cell r="K253">
            <v>0</v>
          </cell>
          <cell r="L253">
            <v>0</v>
          </cell>
          <cell r="M253">
            <v>0</v>
          </cell>
          <cell r="N253">
            <v>0</v>
          </cell>
        </row>
        <row r="254">
          <cell r="C254">
            <v>2520000</v>
          </cell>
          <cell r="D254">
            <v>36280</v>
          </cell>
          <cell r="E254">
            <v>29280</v>
          </cell>
          <cell r="F254">
            <v>16950</v>
          </cell>
          <cell r="G254">
            <v>13580</v>
          </cell>
          <cell r="H254">
            <v>10200</v>
          </cell>
          <cell r="I254">
            <v>6830</v>
          </cell>
          <cell r="J254">
            <v>3450</v>
          </cell>
          <cell r="K254">
            <v>0</v>
          </cell>
          <cell r="L254">
            <v>0</v>
          </cell>
          <cell r="M254">
            <v>0</v>
          </cell>
          <cell r="N254">
            <v>0</v>
          </cell>
        </row>
        <row r="255">
          <cell r="C255">
            <v>2530000</v>
          </cell>
          <cell r="D255">
            <v>36630</v>
          </cell>
          <cell r="E255">
            <v>29630</v>
          </cell>
          <cell r="F255">
            <v>17160</v>
          </cell>
          <cell r="G255">
            <v>13790</v>
          </cell>
          <cell r="H255">
            <v>10410</v>
          </cell>
          <cell r="I255">
            <v>7040</v>
          </cell>
          <cell r="J255">
            <v>3660</v>
          </cell>
          <cell r="K255">
            <v>0</v>
          </cell>
          <cell r="L255">
            <v>0</v>
          </cell>
          <cell r="M255">
            <v>0</v>
          </cell>
          <cell r="N255">
            <v>0</v>
          </cell>
        </row>
        <row r="256">
          <cell r="C256">
            <v>2540000</v>
          </cell>
          <cell r="D256">
            <v>36970</v>
          </cell>
          <cell r="E256">
            <v>29970</v>
          </cell>
          <cell r="F256">
            <v>17370</v>
          </cell>
          <cell r="G256">
            <v>14000</v>
          </cell>
          <cell r="H256">
            <v>10620</v>
          </cell>
          <cell r="I256">
            <v>7250</v>
          </cell>
          <cell r="J256">
            <v>3870</v>
          </cell>
          <cell r="K256">
            <v>0</v>
          </cell>
          <cell r="L256">
            <v>0</v>
          </cell>
          <cell r="M256">
            <v>0</v>
          </cell>
          <cell r="N256">
            <v>0</v>
          </cell>
        </row>
        <row r="257">
          <cell r="C257">
            <v>2550000</v>
          </cell>
          <cell r="D257">
            <v>37310</v>
          </cell>
          <cell r="E257">
            <v>30310</v>
          </cell>
          <cell r="F257">
            <v>17590</v>
          </cell>
          <cell r="G257">
            <v>14210</v>
          </cell>
          <cell r="H257">
            <v>10840</v>
          </cell>
          <cell r="I257">
            <v>7460</v>
          </cell>
          <cell r="J257">
            <v>4090</v>
          </cell>
          <cell r="K257">
            <v>0</v>
          </cell>
          <cell r="L257">
            <v>0</v>
          </cell>
          <cell r="M257">
            <v>0</v>
          </cell>
          <cell r="N257">
            <v>0</v>
          </cell>
        </row>
        <row r="258">
          <cell r="C258">
            <v>2560000</v>
          </cell>
          <cell r="D258">
            <v>37650</v>
          </cell>
          <cell r="E258">
            <v>30650</v>
          </cell>
          <cell r="F258">
            <v>17800</v>
          </cell>
          <cell r="G258">
            <v>14420</v>
          </cell>
          <cell r="H258">
            <v>11050</v>
          </cell>
          <cell r="I258">
            <v>7670</v>
          </cell>
          <cell r="J258">
            <v>4300</v>
          </cell>
          <cell r="K258">
            <v>0</v>
          </cell>
          <cell r="L258">
            <v>0</v>
          </cell>
          <cell r="M258">
            <v>0</v>
          </cell>
          <cell r="N258">
            <v>0</v>
          </cell>
        </row>
        <row r="259">
          <cell r="C259">
            <v>2570000</v>
          </cell>
          <cell r="D259">
            <v>38000</v>
          </cell>
          <cell r="E259">
            <v>31000</v>
          </cell>
          <cell r="F259">
            <v>18010</v>
          </cell>
          <cell r="G259">
            <v>14630</v>
          </cell>
          <cell r="H259">
            <v>11260</v>
          </cell>
          <cell r="I259">
            <v>7880</v>
          </cell>
          <cell r="J259">
            <v>4510</v>
          </cell>
          <cell r="K259">
            <v>1130</v>
          </cell>
          <cell r="L259">
            <v>0</v>
          </cell>
          <cell r="M259">
            <v>0</v>
          </cell>
          <cell r="N259">
            <v>0</v>
          </cell>
        </row>
        <row r="260">
          <cell r="C260">
            <v>2580000</v>
          </cell>
          <cell r="D260">
            <v>38340</v>
          </cell>
          <cell r="E260">
            <v>31340</v>
          </cell>
          <cell r="F260">
            <v>18220</v>
          </cell>
          <cell r="G260">
            <v>14850</v>
          </cell>
          <cell r="H260">
            <v>11470</v>
          </cell>
          <cell r="I260">
            <v>8100</v>
          </cell>
          <cell r="J260">
            <v>4720</v>
          </cell>
          <cell r="K260">
            <v>1350</v>
          </cell>
          <cell r="L260">
            <v>0</v>
          </cell>
          <cell r="M260">
            <v>0</v>
          </cell>
          <cell r="N260">
            <v>0</v>
          </cell>
        </row>
        <row r="261">
          <cell r="C261">
            <v>2590000</v>
          </cell>
          <cell r="D261">
            <v>38830</v>
          </cell>
          <cell r="E261">
            <v>31680</v>
          </cell>
          <cell r="F261">
            <v>18430</v>
          </cell>
          <cell r="G261">
            <v>15060</v>
          </cell>
          <cell r="H261">
            <v>11680</v>
          </cell>
          <cell r="I261">
            <v>8310</v>
          </cell>
          <cell r="J261">
            <v>4930</v>
          </cell>
          <cell r="K261">
            <v>1560</v>
          </cell>
          <cell r="L261">
            <v>0</v>
          </cell>
          <cell r="M261">
            <v>0</v>
          </cell>
          <cell r="N261">
            <v>0</v>
          </cell>
        </row>
        <row r="262">
          <cell r="C262">
            <v>2600000</v>
          </cell>
          <cell r="D262">
            <v>39690</v>
          </cell>
          <cell r="E262">
            <v>32020</v>
          </cell>
          <cell r="F262">
            <v>18650</v>
          </cell>
          <cell r="G262">
            <v>15270</v>
          </cell>
          <cell r="H262">
            <v>11900</v>
          </cell>
          <cell r="I262">
            <v>8520</v>
          </cell>
          <cell r="J262">
            <v>5150</v>
          </cell>
          <cell r="K262">
            <v>1770</v>
          </cell>
          <cell r="L262">
            <v>0</v>
          </cell>
          <cell r="M262">
            <v>0</v>
          </cell>
          <cell r="N262">
            <v>0</v>
          </cell>
        </row>
        <row r="263">
          <cell r="C263">
            <v>2610000</v>
          </cell>
          <cell r="D263">
            <v>40540</v>
          </cell>
          <cell r="E263">
            <v>32360</v>
          </cell>
          <cell r="F263">
            <v>18920</v>
          </cell>
          <cell r="G263">
            <v>15480</v>
          </cell>
          <cell r="H263">
            <v>12110</v>
          </cell>
          <cell r="I263">
            <v>8730</v>
          </cell>
          <cell r="J263">
            <v>5360</v>
          </cell>
          <cell r="K263">
            <v>1980</v>
          </cell>
          <cell r="L263">
            <v>0</v>
          </cell>
          <cell r="M263">
            <v>0</v>
          </cell>
          <cell r="N263">
            <v>0</v>
          </cell>
        </row>
        <row r="264">
          <cell r="C264">
            <v>2620000</v>
          </cell>
          <cell r="D264">
            <v>41400</v>
          </cell>
          <cell r="E264">
            <v>32710</v>
          </cell>
          <cell r="F264">
            <v>19250</v>
          </cell>
          <cell r="G264">
            <v>15690</v>
          </cell>
          <cell r="H264">
            <v>12320</v>
          </cell>
          <cell r="I264">
            <v>8940</v>
          </cell>
          <cell r="J264">
            <v>5570</v>
          </cell>
          <cell r="K264">
            <v>2190</v>
          </cell>
          <cell r="L264">
            <v>0</v>
          </cell>
          <cell r="M264">
            <v>0</v>
          </cell>
          <cell r="N264">
            <v>0</v>
          </cell>
        </row>
        <row r="265">
          <cell r="C265">
            <v>2630000</v>
          </cell>
          <cell r="D265">
            <v>42260</v>
          </cell>
          <cell r="E265">
            <v>33050</v>
          </cell>
          <cell r="F265">
            <v>19580</v>
          </cell>
          <cell r="G265">
            <v>15910</v>
          </cell>
          <cell r="H265">
            <v>12530</v>
          </cell>
          <cell r="I265">
            <v>9160</v>
          </cell>
          <cell r="J265">
            <v>5780</v>
          </cell>
          <cell r="K265">
            <v>2410</v>
          </cell>
          <cell r="L265">
            <v>0</v>
          </cell>
          <cell r="M265">
            <v>0</v>
          </cell>
          <cell r="N265">
            <v>0</v>
          </cell>
        </row>
        <row r="266">
          <cell r="C266">
            <v>2640000</v>
          </cell>
          <cell r="D266">
            <v>43110</v>
          </cell>
          <cell r="E266">
            <v>33390</v>
          </cell>
          <cell r="F266">
            <v>19910</v>
          </cell>
          <cell r="G266">
            <v>16120</v>
          </cell>
          <cell r="H266">
            <v>12740</v>
          </cell>
          <cell r="I266">
            <v>9370</v>
          </cell>
          <cell r="J266">
            <v>5990</v>
          </cell>
          <cell r="K266">
            <v>2620</v>
          </cell>
          <cell r="L266">
            <v>0</v>
          </cell>
          <cell r="M266">
            <v>0</v>
          </cell>
          <cell r="N266">
            <v>0</v>
          </cell>
        </row>
        <row r="267">
          <cell r="C267">
            <v>2650000</v>
          </cell>
          <cell r="D267">
            <v>43970</v>
          </cell>
          <cell r="E267">
            <v>33730</v>
          </cell>
          <cell r="F267">
            <v>20240</v>
          </cell>
          <cell r="G267">
            <v>16330</v>
          </cell>
          <cell r="H267">
            <v>12960</v>
          </cell>
          <cell r="I267">
            <v>9580</v>
          </cell>
          <cell r="J267">
            <v>6210</v>
          </cell>
          <cell r="K267">
            <v>2830</v>
          </cell>
          <cell r="L267">
            <v>0</v>
          </cell>
          <cell r="M267">
            <v>0</v>
          </cell>
          <cell r="N267">
            <v>0</v>
          </cell>
        </row>
        <row r="268">
          <cell r="C268">
            <v>2660000</v>
          </cell>
          <cell r="D268">
            <v>44820</v>
          </cell>
          <cell r="E268">
            <v>34080</v>
          </cell>
          <cell r="F268">
            <v>20570</v>
          </cell>
          <cell r="G268">
            <v>16540</v>
          </cell>
          <cell r="H268">
            <v>13170</v>
          </cell>
          <cell r="I268">
            <v>9790</v>
          </cell>
          <cell r="J268">
            <v>6420</v>
          </cell>
          <cell r="K268">
            <v>3040</v>
          </cell>
          <cell r="L268">
            <v>0</v>
          </cell>
          <cell r="M268">
            <v>0</v>
          </cell>
          <cell r="N268">
            <v>0</v>
          </cell>
        </row>
        <row r="269">
          <cell r="C269">
            <v>2670000</v>
          </cell>
          <cell r="D269">
            <v>45680</v>
          </cell>
          <cell r="E269">
            <v>34420</v>
          </cell>
          <cell r="F269">
            <v>20900</v>
          </cell>
          <cell r="G269">
            <v>16750</v>
          </cell>
          <cell r="H269">
            <v>13380</v>
          </cell>
          <cell r="I269">
            <v>10000</v>
          </cell>
          <cell r="J269">
            <v>6630</v>
          </cell>
          <cell r="K269">
            <v>3250</v>
          </cell>
          <cell r="L269">
            <v>0</v>
          </cell>
          <cell r="M269">
            <v>0</v>
          </cell>
          <cell r="N269">
            <v>0</v>
          </cell>
        </row>
        <row r="270">
          <cell r="C270">
            <v>2680000</v>
          </cell>
          <cell r="D270">
            <v>46540</v>
          </cell>
          <cell r="E270">
            <v>34760</v>
          </cell>
          <cell r="F270">
            <v>21230</v>
          </cell>
          <cell r="G270">
            <v>16970</v>
          </cell>
          <cell r="H270">
            <v>13590</v>
          </cell>
          <cell r="I270">
            <v>10220</v>
          </cell>
          <cell r="J270">
            <v>6840</v>
          </cell>
          <cell r="K270">
            <v>3470</v>
          </cell>
          <cell r="L270">
            <v>0</v>
          </cell>
          <cell r="M270">
            <v>0</v>
          </cell>
          <cell r="N270">
            <v>0</v>
          </cell>
        </row>
        <row r="271">
          <cell r="C271">
            <v>2690000</v>
          </cell>
          <cell r="D271">
            <v>47390</v>
          </cell>
          <cell r="E271">
            <v>35100</v>
          </cell>
          <cell r="F271">
            <v>21560</v>
          </cell>
          <cell r="G271">
            <v>17180</v>
          </cell>
          <cell r="H271">
            <v>13800</v>
          </cell>
          <cell r="I271">
            <v>10430</v>
          </cell>
          <cell r="J271">
            <v>7050</v>
          </cell>
          <cell r="K271">
            <v>3680</v>
          </cell>
          <cell r="L271">
            <v>0</v>
          </cell>
          <cell r="M271">
            <v>0</v>
          </cell>
          <cell r="N271">
            <v>0</v>
          </cell>
        </row>
        <row r="272">
          <cell r="C272">
            <v>2700000</v>
          </cell>
          <cell r="D272">
            <v>48250</v>
          </cell>
          <cell r="E272">
            <v>35450</v>
          </cell>
          <cell r="F272">
            <v>21890</v>
          </cell>
          <cell r="G272">
            <v>17390</v>
          </cell>
          <cell r="H272">
            <v>14020</v>
          </cell>
          <cell r="I272">
            <v>10640</v>
          </cell>
          <cell r="J272">
            <v>7270</v>
          </cell>
          <cell r="K272">
            <v>3890</v>
          </cell>
          <cell r="L272">
            <v>0</v>
          </cell>
          <cell r="M272">
            <v>0</v>
          </cell>
          <cell r="N272">
            <v>0</v>
          </cell>
        </row>
        <row r="273">
          <cell r="C273">
            <v>2710000</v>
          </cell>
          <cell r="D273">
            <v>49100</v>
          </cell>
          <cell r="E273">
            <v>35790</v>
          </cell>
          <cell r="F273">
            <v>22220</v>
          </cell>
          <cell r="G273">
            <v>17600</v>
          </cell>
          <cell r="H273">
            <v>14230</v>
          </cell>
          <cell r="I273">
            <v>10850</v>
          </cell>
          <cell r="J273">
            <v>7480</v>
          </cell>
          <cell r="K273">
            <v>4100</v>
          </cell>
          <cell r="L273">
            <v>0</v>
          </cell>
          <cell r="M273">
            <v>0</v>
          </cell>
          <cell r="N273">
            <v>0</v>
          </cell>
        </row>
        <row r="274">
          <cell r="C274">
            <v>2720000</v>
          </cell>
          <cell r="D274">
            <v>49960</v>
          </cell>
          <cell r="E274">
            <v>36130</v>
          </cell>
          <cell r="F274">
            <v>22550</v>
          </cell>
          <cell r="G274">
            <v>17810</v>
          </cell>
          <cell r="H274">
            <v>14440</v>
          </cell>
          <cell r="I274">
            <v>11060</v>
          </cell>
          <cell r="J274">
            <v>7690</v>
          </cell>
          <cell r="K274">
            <v>4310</v>
          </cell>
          <cell r="L274">
            <v>0</v>
          </cell>
          <cell r="M274">
            <v>0</v>
          </cell>
          <cell r="N274">
            <v>0</v>
          </cell>
        </row>
        <row r="275">
          <cell r="C275">
            <v>2730000</v>
          </cell>
          <cell r="D275">
            <v>50810</v>
          </cell>
          <cell r="E275">
            <v>36470</v>
          </cell>
          <cell r="F275">
            <v>22880</v>
          </cell>
          <cell r="G275">
            <v>18030</v>
          </cell>
          <cell r="H275">
            <v>14650</v>
          </cell>
          <cell r="I275">
            <v>11280</v>
          </cell>
          <cell r="J275">
            <v>7900</v>
          </cell>
          <cell r="K275">
            <v>4530</v>
          </cell>
          <cell r="L275">
            <v>1150</v>
          </cell>
          <cell r="M275">
            <v>0</v>
          </cell>
          <cell r="N275">
            <v>0</v>
          </cell>
        </row>
        <row r="276">
          <cell r="C276">
            <v>2740000</v>
          </cell>
          <cell r="D276">
            <v>51670</v>
          </cell>
          <cell r="E276">
            <v>36810</v>
          </cell>
          <cell r="F276">
            <v>23210</v>
          </cell>
          <cell r="G276">
            <v>18240</v>
          </cell>
          <cell r="H276">
            <v>14860</v>
          </cell>
          <cell r="I276">
            <v>11490</v>
          </cell>
          <cell r="J276">
            <v>8110</v>
          </cell>
          <cell r="K276">
            <v>4740</v>
          </cell>
          <cell r="L276">
            <v>1360</v>
          </cell>
          <cell r="M276">
            <v>0</v>
          </cell>
          <cell r="N276">
            <v>0</v>
          </cell>
        </row>
        <row r="277">
          <cell r="C277">
            <v>2750000</v>
          </cell>
          <cell r="D277">
            <v>52530</v>
          </cell>
          <cell r="E277">
            <v>37160</v>
          </cell>
          <cell r="F277">
            <v>23540</v>
          </cell>
          <cell r="G277">
            <v>18450</v>
          </cell>
          <cell r="H277">
            <v>15070</v>
          </cell>
          <cell r="I277">
            <v>11700</v>
          </cell>
          <cell r="J277">
            <v>8320</v>
          </cell>
          <cell r="K277">
            <v>4950</v>
          </cell>
          <cell r="L277">
            <v>1570</v>
          </cell>
          <cell r="M277">
            <v>0</v>
          </cell>
          <cell r="N277">
            <v>0</v>
          </cell>
        </row>
        <row r="278">
          <cell r="C278">
            <v>2760000</v>
          </cell>
          <cell r="D278">
            <v>53380</v>
          </cell>
          <cell r="E278">
            <v>37500</v>
          </cell>
          <cell r="F278">
            <v>23870</v>
          </cell>
          <cell r="G278">
            <v>18660</v>
          </cell>
          <cell r="H278">
            <v>15290</v>
          </cell>
          <cell r="I278">
            <v>11910</v>
          </cell>
          <cell r="J278">
            <v>8540</v>
          </cell>
          <cell r="K278">
            <v>5160</v>
          </cell>
          <cell r="L278">
            <v>1790</v>
          </cell>
          <cell r="M278">
            <v>0</v>
          </cell>
          <cell r="N278">
            <v>0</v>
          </cell>
        </row>
        <row r="279">
          <cell r="C279">
            <v>2770000</v>
          </cell>
          <cell r="D279">
            <v>54240</v>
          </cell>
          <cell r="E279">
            <v>37840</v>
          </cell>
          <cell r="F279">
            <v>24200</v>
          </cell>
          <cell r="G279">
            <v>18950</v>
          </cell>
          <cell r="H279">
            <v>15500</v>
          </cell>
          <cell r="I279">
            <v>12120</v>
          </cell>
          <cell r="J279">
            <v>8750</v>
          </cell>
          <cell r="K279">
            <v>5370</v>
          </cell>
          <cell r="L279">
            <v>2000</v>
          </cell>
          <cell r="M279">
            <v>0</v>
          </cell>
          <cell r="N279">
            <v>0</v>
          </cell>
        </row>
        <row r="280">
          <cell r="C280">
            <v>2780000</v>
          </cell>
          <cell r="D280">
            <v>55090</v>
          </cell>
          <cell r="E280">
            <v>38180</v>
          </cell>
          <cell r="F280">
            <v>24520</v>
          </cell>
          <cell r="G280">
            <v>19270</v>
          </cell>
          <cell r="H280">
            <v>15710</v>
          </cell>
          <cell r="I280">
            <v>12340</v>
          </cell>
          <cell r="J280">
            <v>8960</v>
          </cell>
          <cell r="K280">
            <v>5590</v>
          </cell>
          <cell r="L280">
            <v>2210</v>
          </cell>
          <cell r="M280">
            <v>0</v>
          </cell>
          <cell r="N280">
            <v>0</v>
          </cell>
        </row>
        <row r="281">
          <cell r="C281">
            <v>2790000</v>
          </cell>
          <cell r="D281">
            <v>55950</v>
          </cell>
          <cell r="E281">
            <v>38530</v>
          </cell>
          <cell r="F281">
            <v>24850</v>
          </cell>
          <cell r="G281">
            <v>19600</v>
          </cell>
          <cell r="H281">
            <v>15920</v>
          </cell>
          <cell r="I281">
            <v>12550</v>
          </cell>
          <cell r="J281">
            <v>9170</v>
          </cell>
          <cell r="K281">
            <v>5800</v>
          </cell>
          <cell r="L281">
            <v>2420</v>
          </cell>
          <cell r="M281">
            <v>0</v>
          </cell>
          <cell r="N281">
            <v>0</v>
          </cell>
        </row>
        <row r="282">
          <cell r="C282">
            <v>2800000</v>
          </cell>
          <cell r="D282">
            <v>56800</v>
          </cell>
          <cell r="E282">
            <v>39300</v>
          </cell>
          <cell r="F282">
            <v>25180</v>
          </cell>
          <cell r="G282">
            <v>19930</v>
          </cell>
          <cell r="H282">
            <v>16130</v>
          </cell>
          <cell r="I282">
            <v>12760</v>
          </cell>
          <cell r="J282">
            <v>9380</v>
          </cell>
          <cell r="K282">
            <v>6010</v>
          </cell>
          <cell r="L282">
            <v>2630</v>
          </cell>
          <cell r="M282">
            <v>0</v>
          </cell>
          <cell r="N282">
            <v>0</v>
          </cell>
        </row>
        <row r="283">
          <cell r="C283">
            <v>2810000</v>
          </cell>
          <cell r="D283">
            <v>57660</v>
          </cell>
          <cell r="E283">
            <v>40160</v>
          </cell>
          <cell r="F283">
            <v>25510</v>
          </cell>
          <cell r="G283">
            <v>20260</v>
          </cell>
          <cell r="H283">
            <v>16350</v>
          </cell>
          <cell r="I283">
            <v>12970</v>
          </cell>
          <cell r="J283">
            <v>9600</v>
          </cell>
          <cell r="K283">
            <v>6220</v>
          </cell>
          <cell r="L283">
            <v>2850</v>
          </cell>
          <cell r="M283">
            <v>0</v>
          </cell>
          <cell r="N283">
            <v>0</v>
          </cell>
        </row>
        <row r="284">
          <cell r="C284">
            <v>2820000</v>
          </cell>
          <cell r="D284">
            <v>58520</v>
          </cell>
          <cell r="E284">
            <v>41020</v>
          </cell>
          <cell r="F284">
            <v>25840</v>
          </cell>
          <cell r="G284">
            <v>20590</v>
          </cell>
          <cell r="H284">
            <v>16560</v>
          </cell>
          <cell r="I284">
            <v>13180</v>
          </cell>
          <cell r="J284">
            <v>9810</v>
          </cell>
          <cell r="K284">
            <v>6430</v>
          </cell>
          <cell r="L284">
            <v>3060</v>
          </cell>
          <cell r="M284">
            <v>0</v>
          </cell>
          <cell r="N284">
            <v>0</v>
          </cell>
        </row>
        <row r="285">
          <cell r="C285">
            <v>2830000</v>
          </cell>
          <cell r="D285">
            <v>59370</v>
          </cell>
          <cell r="E285">
            <v>41870</v>
          </cell>
          <cell r="F285">
            <v>26170</v>
          </cell>
          <cell r="G285">
            <v>20920</v>
          </cell>
          <cell r="H285">
            <v>16770</v>
          </cell>
          <cell r="I285">
            <v>13400</v>
          </cell>
          <cell r="J285">
            <v>10020</v>
          </cell>
          <cell r="K285">
            <v>6650</v>
          </cell>
          <cell r="L285">
            <v>3270</v>
          </cell>
          <cell r="M285">
            <v>0</v>
          </cell>
          <cell r="N285">
            <v>0</v>
          </cell>
        </row>
        <row r="286">
          <cell r="C286">
            <v>2840000</v>
          </cell>
          <cell r="D286">
            <v>60230</v>
          </cell>
          <cell r="E286">
            <v>42730</v>
          </cell>
          <cell r="F286">
            <v>26500</v>
          </cell>
          <cell r="G286">
            <v>21250</v>
          </cell>
          <cell r="H286">
            <v>16980</v>
          </cell>
          <cell r="I286">
            <v>13610</v>
          </cell>
          <cell r="J286">
            <v>10230</v>
          </cell>
          <cell r="K286">
            <v>6860</v>
          </cell>
          <cell r="L286">
            <v>3480</v>
          </cell>
          <cell r="M286">
            <v>0</v>
          </cell>
          <cell r="N286">
            <v>0</v>
          </cell>
        </row>
        <row r="287">
          <cell r="C287">
            <v>2850000</v>
          </cell>
          <cell r="D287">
            <v>61080</v>
          </cell>
          <cell r="E287">
            <v>43580</v>
          </cell>
          <cell r="F287">
            <v>26830</v>
          </cell>
          <cell r="G287">
            <v>21580</v>
          </cell>
          <cell r="H287">
            <v>17190</v>
          </cell>
          <cell r="I287">
            <v>13820</v>
          </cell>
          <cell r="J287">
            <v>10440</v>
          </cell>
          <cell r="K287">
            <v>7070</v>
          </cell>
          <cell r="L287">
            <v>3690</v>
          </cell>
          <cell r="M287">
            <v>0</v>
          </cell>
          <cell r="N287">
            <v>0</v>
          </cell>
        </row>
        <row r="288">
          <cell r="C288">
            <v>2860000</v>
          </cell>
          <cell r="D288">
            <v>61940</v>
          </cell>
          <cell r="E288">
            <v>44440</v>
          </cell>
          <cell r="F288">
            <v>27160</v>
          </cell>
          <cell r="G288">
            <v>21910</v>
          </cell>
          <cell r="H288">
            <v>17410</v>
          </cell>
          <cell r="I288">
            <v>14030</v>
          </cell>
          <cell r="J288">
            <v>10660</v>
          </cell>
          <cell r="K288">
            <v>7280</v>
          </cell>
          <cell r="L288">
            <v>3910</v>
          </cell>
          <cell r="M288">
            <v>0</v>
          </cell>
          <cell r="N288">
            <v>0</v>
          </cell>
        </row>
        <row r="289">
          <cell r="C289">
            <v>2870000</v>
          </cell>
          <cell r="D289">
            <v>62790</v>
          </cell>
          <cell r="E289">
            <v>45290</v>
          </cell>
          <cell r="F289">
            <v>27490</v>
          </cell>
          <cell r="G289">
            <v>22240</v>
          </cell>
          <cell r="H289">
            <v>17620</v>
          </cell>
          <cell r="I289">
            <v>14240</v>
          </cell>
          <cell r="J289">
            <v>10870</v>
          </cell>
          <cell r="K289">
            <v>7490</v>
          </cell>
          <cell r="L289">
            <v>4120</v>
          </cell>
          <cell r="M289">
            <v>0</v>
          </cell>
          <cell r="N289">
            <v>0</v>
          </cell>
        </row>
        <row r="290">
          <cell r="C290">
            <v>2880000</v>
          </cell>
          <cell r="D290">
            <v>63650</v>
          </cell>
          <cell r="E290">
            <v>46150</v>
          </cell>
          <cell r="F290">
            <v>27820</v>
          </cell>
          <cell r="G290">
            <v>22570</v>
          </cell>
          <cell r="H290">
            <v>17830</v>
          </cell>
          <cell r="I290">
            <v>14460</v>
          </cell>
          <cell r="J290">
            <v>11080</v>
          </cell>
          <cell r="K290">
            <v>7710</v>
          </cell>
          <cell r="L290">
            <v>4330</v>
          </cell>
          <cell r="M290">
            <v>0</v>
          </cell>
          <cell r="N290">
            <v>0</v>
          </cell>
        </row>
        <row r="291">
          <cell r="C291">
            <v>2890000</v>
          </cell>
          <cell r="D291">
            <v>64510</v>
          </cell>
          <cell r="E291">
            <v>47010</v>
          </cell>
          <cell r="F291">
            <v>28150</v>
          </cell>
          <cell r="G291">
            <v>22900</v>
          </cell>
          <cell r="H291">
            <v>18040</v>
          </cell>
          <cell r="I291">
            <v>14670</v>
          </cell>
          <cell r="J291">
            <v>11290</v>
          </cell>
          <cell r="K291">
            <v>7920</v>
          </cell>
          <cell r="L291">
            <v>4540</v>
          </cell>
          <cell r="M291">
            <v>1170</v>
          </cell>
          <cell r="N291">
            <v>0</v>
          </cell>
        </row>
        <row r="292">
          <cell r="C292">
            <v>2900000</v>
          </cell>
          <cell r="D292">
            <v>65360</v>
          </cell>
          <cell r="E292">
            <v>47860</v>
          </cell>
          <cell r="F292">
            <v>28480</v>
          </cell>
          <cell r="G292">
            <v>23230</v>
          </cell>
          <cell r="H292">
            <v>18250</v>
          </cell>
          <cell r="I292">
            <v>14880</v>
          </cell>
          <cell r="J292">
            <v>11500</v>
          </cell>
          <cell r="K292">
            <v>8130</v>
          </cell>
          <cell r="L292">
            <v>4750</v>
          </cell>
          <cell r="M292">
            <v>1380</v>
          </cell>
          <cell r="N292">
            <v>0</v>
          </cell>
        </row>
        <row r="293">
          <cell r="C293">
            <v>2910000</v>
          </cell>
          <cell r="D293">
            <v>66220</v>
          </cell>
          <cell r="E293">
            <v>48720</v>
          </cell>
          <cell r="F293">
            <v>28810</v>
          </cell>
          <cell r="G293">
            <v>23560</v>
          </cell>
          <cell r="H293">
            <v>18470</v>
          </cell>
          <cell r="I293">
            <v>15090</v>
          </cell>
          <cell r="J293">
            <v>11720</v>
          </cell>
          <cell r="K293">
            <v>8340</v>
          </cell>
          <cell r="L293">
            <v>4970</v>
          </cell>
          <cell r="M293">
            <v>1590</v>
          </cell>
          <cell r="N293">
            <v>0</v>
          </cell>
        </row>
        <row r="294">
          <cell r="C294">
            <v>2920000</v>
          </cell>
          <cell r="D294">
            <v>67070</v>
          </cell>
          <cell r="E294">
            <v>49570</v>
          </cell>
          <cell r="F294">
            <v>29140</v>
          </cell>
          <cell r="G294">
            <v>23890</v>
          </cell>
          <cell r="H294">
            <v>18680</v>
          </cell>
          <cell r="I294">
            <v>15300</v>
          </cell>
          <cell r="J294">
            <v>11930</v>
          </cell>
          <cell r="K294">
            <v>8550</v>
          </cell>
          <cell r="L294">
            <v>5180</v>
          </cell>
          <cell r="M294">
            <v>1800</v>
          </cell>
          <cell r="N294">
            <v>0</v>
          </cell>
        </row>
        <row r="295">
          <cell r="C295">
            <v>2930000</v>
          </cell>
          <cell r="D295">
            <v>67930</v>
          </cell>
          <cell r="E295">
            <v>50430</v>
          </cell>
          <cell r="F295">
            <v>29470</v>
          </cell>
          <cell r="G295">
            <v>24220</v>
          </cell>
          <cell r="H295">
            <v>18970</v>
          </cell>
          <cell r="I295">
            <v>15510</v>
          </cell>
          <cell r="J295">
            <v>12140</v>
          </cell>
          <cell r="K295">
            <v>8760</v>
          </cell>
          <cell r="L295">
            <v>5390</v>
          </cell>
          <cell r="M295">
            <v>2010</v>
          </cell>
          <cell r="N295">
            <v>0</v>
          </cell>
        </row>
        <row r="296">
          <cell r="C296">
            <v>2940000</v>
          </cell>
          <cell r="D296">
            <v>68780</v>
          </cell>
          <cell r="E296">
            <v>51280</v>
          </cell>
          <cell r="F296">
            <v>29800</v>
          </cell>
          <cell r="G296">
            <v>24550</v>
          </cell>
          <cell r="H296">
            <v>19300</v>
          </cell>
          <cell r="I296">
            <v>15730</v>
          </cell>
          <cell r="J296">
            <v>12350</v>
          </cell>
          <cell r="K296">
            <v>8980</v>
          </cell>
          <cell r="L296">
            <v>5600</v>
          </cell>
          <cell r="M296">
            <v>2230</v>
          </cell>
          <cell r="N296">
            <v>0</v>
          </cell>
        </row>
        <row r="297">
          <cell r="C297">
            <v>2950000</v>
          </cell>
          <cell r="D297">
            <v>69640</v>
          </cell>
          <cell r="E297">
            <v>52140</v>
          </cell>
          <cell r="F297">
            <v>30130</v>
          </cell>
          <cell r="G297">
            <v>24880</v>
          </cell>
          <cell r="H297">
            <v>19630</v>
          </cell>
          <cell r="I297">
            <v>15940</v>
          </cell>
          <cell r="J297">
            <v>12560</v>
          </cell>
          <cell r="K297">
            <v>9190</v>
          </cell>
          <cell r="L297">
            <v>5810</v>
          </cell>
          <cell r="M297">
            <v>2440</v>
          </cell>
          <cell r="N297">
            <v>0</v>
          </cell>
        </row>
        <row r="298">
          <cell r="C298">
            <v>2960000</v>
          </cell>
          <cell r="D298">
            <v>70500</v>
          </cell>
          <cell r="E298">
            <v>53000</v>
          </cell>
          <cell r="F298">
            <v>30460</v>
          </cell>
          <cell r="G298">
            <v>25210</v>
          </cell>
          <cell r="H298">
            <v>19960</v>
          </cell>
          <cell r="I298">
            <v>16150</v>
          </cell>
          <cell r="J298">
            <v>12780</v>
          </cell>
          <cell r="K298">
            <v>9400</v>
          </cell>
          <cell r="L298">
            <v>6030</v>
          </cell>
          <cell r="M298">
            <v>2650</v>
          </cell>
          <cell r="N298">
            <v>0</v>
          </cell>
        </row>
        <row r="299">
          <cell r="C299">
            <v>2970000</v>
          </cell>
          <cell r="D299">
            <v>71350</v>
          </cell>
          <cell r="E299">
            <v>53850</v>
          </cell>
          <cell r="F299">
            <v>30790</v>
          </cell>
          <cell r="G299">
            <v>25540</v>
          </cell>
          <cell r="H299">
            <v>20290</v>
          </cell>
          <cell r="I299">
            <v>16360</v>
          </cell>
          <cell r="J299">
            <v>12990</v>
          </cell>
          <cell r="K299">
            <v>9610</v>
          </cell>
          <cell r="L299">
            <v>6240</v>
          </cell>
          <cell r="M299">
            <v>2860</v>
          </cell>
          <cell r="N299">
            <v>0</v>
          </cell>
        </row>
        <row r="300">
          <cell r="C300">
            <v>2980000</v>
          </cell>
          <cell r="D300">
            <v>72210</v>
          </cell>
          <cell r="E300">
            <v>54710</v>
          </cell>
          <cell r="F300">
            <v>31120</v>
          </cell>
          <cell r="G300">
            <v>25870</v>
          </cell>
          <cell r="H300">
            <v>20620</v>
          </cell>
          <cell r="I300">
            <v>16570</v>
          </cell>
          <cell r="J300">
            <v>13200</v>
          </cell>
          <cell r="K300">
            <v>9820</v>
          </cell>
          <cell r="L300">
            <v>6450</v>
          </cell>
          <cell r="M300">
            <v>3070</v>
          </cell>
          <cell r="N300">
            <v>0</v>
          </cell>
        </row>
        <row r="301">
          <cell r="C301">
            <v>2990000</v>
          </cell>
          <cell r="D301">
            <v>73060</v>
          </cell>
          <cell r="E301">
            <v>55560</v>
          </cell>
          <cell r="F301">
            <v>31450</v>
          </cell>
          <cell r="G301">
            <v>26200</v>
          </cell>
          <cell r="H301">
            <v>20950</v>
          </cell>
          <cell r="I301">
            <v>16790</v>
          </cell>
          <cell r="J301">
            <v>13410</v>
          </cell>
          <cell r="K301">
            <v>10040</v>
          </cell>
          <cell r="L301">
            <v>6660</v>
          </cell>
          <cell r="M301">
            <v>3290</v>
          </cell>
          <cell r="N301">
            <v>0</v>
          </cell>
        </row>
        <row r="302">
          <cell r="C302">
            <v>3000000</v>
          </cell>
          <cell r="D302">
            <v>74350</v>
          </cell>
          <cell r="E302">
            <v>56850</v>
          </cell>
          <cell r="F302">
            <v>31940</v>
          </cell>
          <cell r="G302">
            <v>26690</v>
          </cell>
          <cell r="H302">
            <v>21440</v>
          </cell>
          <cell r="I302">
            <v>17100</v>
          </cell>
          <cell r="J302">
            <v>13730</v>
          </cell>
          <cell r="K302">
            <v>10350</v>
          </cell>
          <cell r="L302">
            <v>6980</v>
          </cell>
          <cell r="M302">
            <v>3600</v>
          </cell>
          <cell r="N302">
            <v>0</v>
          </cell>
        </row>
        <row r="303">
          <cell r="C303">
            <v>3020000</v>
          </cell>
          <cell r="D303">
            <v>76060</v>
          </cell>
          <cell r="E303">
            <v>58560</v>
          </cell>
          <cell r="F303">
            <v>32600</v>
          </cell>
          <cell r="G303">
            <v>27350</v>
          </cell>
          <cell r="H303">
            <v>22100</v>
          </cell>
          <cell r="I303">
            <v>17530</v>
          </cell>
          <cell r="J303">
            <v>14150</v>
          </cell>
          <cell r="K303">
            <v>10780</v>
          </cell>
          <cell r="L303">
            <v>7400</v>
          </cell>
          <cell r="M303">
            <v>4030</v>
          </cell>
          <cell r="N303">
            <v>0</v>
          </cell>
        </row>
        <row r="304">
          <cell r="C304">
            <v>3040000</v>
          </cell>
          <cell r="D304">
            <v>77770</v>
          </cell>
          <cell r="E304">
            <v>60270</v>
          </cell>
          <cell r="F304">
            <v>33260</v>
          </cell>
          <cell r="G304">
            <v>28010</v>
          </cell>
          <cell r="H304">
            <v>22760</v>
          </cell>
          <cell r="I304">
            <v>17950</v>
          </cell>
          <cell r="J304">
            <v>14580</v>
          </cell>
          <cell r="K304">
            <v>11200</v>
          </cell>
          <cell r="L304">
            <v>7830</v>
          </cell>
          <cell r="M304">
            <v>4450</v>
          </cell>
          <cell r="N304">
            <v>1080</v>
          </cell>
        </row>
        <row r="305">
          <cell r="C305">
            <v>3060000</v>
          </cell>
          <cell r="D305">
            <v>79480</v>
          </cell>
          <cell r="E305">
            <v>61980</v>
          </cell>
          <cell r="F305">
            <v>33920</v>
          </cell>
          <cell r="G305">
            <v>28670</v>
          </cell>
          <cell r="H305">
            <v>23420</v>
          </cell>
          <cell r="I305">
            <v>18380</v>
          </cell>
          <cell r="J305">
            <v>15000</v>
          </cell>
          <cell r="K305">
            <v>11630</v>
          </cell>
          <cell r="L305">
            <v>8250</v>
          </cell>
          <cell r="M305">
            <v>4880</v>
          </cell>
          <cell r="N305">
            <v>1500</v>
          </cell>
        </row>
        <row r="306">
          <cell r="C306">
            <v>3080000</v>
          </cell>
          <cell r="D306">
            <v>81190</v>
          </cell>
          <cell r="E306">
            <v>63690</v>
          </cell>
          <cell r="F306">
            <v>34580</v>
          </cell>
          <cell r="G306">
            <v>29330</v>
          </cell>
          <cell r="H306">
            <v>24080</v>
          </cell>
          <cell r="I306">
            <v>18830</v>
          </cell>
          <cell r="J306">
            <v>15430</v>
          </cell>
          <cell r="K306">
            <v>12050</v>
          </cell>
          <cell r="L306">
            <v>8680</v>
          </cell>
          <cell r="M306">
            <v>5300</v>
          </cell>
          <cell r="N306">
            <v>1930</v>
          </cell>
        </row>
        <row r="307">
          <cell r="C307">
            <v>3100000</v>
          </cell>
          <cell r="D307">
            <v>82900</v>
          </cell>
          <cell r="E307">
            <v>65400</v>
          </cell>
          <cell r="F307">
            <v>35240</v>
          </cell>
          <cell r="G307">
            <v>29990</v>
          </cell>
          <cell r="H307">
            <v>24740</v>
          </cell>
          <cell r="I307">
            <v>19490</v>
          </cell>
          <cell r="J307">
            <v>15850</v>
          </cell>
          <cell r="K307">
            <v>12470</v>
          </cell>
          <cell r="L307">
            <v>9100</v>
          </cell>
          <cell r="M307">
            <v>5720</v>
          </cell>
          <cell r="N307">
            <v>2350</v>
          </cell>
        </row>
        <row r="308">
          <cell r="C308">
            <v>3120000</v>
          </cell>
          <cell r="D308">
            <v>84620</v>
          </cell>
          <cell r="E308">
            <v>67120</v>
          </cell>
          <cell r="F308">
            <v>35900</v>
          </cell>
          <cell r="G308">
            <v>30650</v>
          </cell>
          <cell r="H308">
            <v>25400</v>
          </cell>
          <cell r="I308">
            <v>20150</v>
          </cell>
          <cell r="J308">
            <v>16270</v>
          </cell>
          <cell r="K308">
            <v>12900</v>
          </cell>
          <cell r="L308">
            <v>9520</v>
          </cell>
          <cell r="M308">
            <v>6150</v>
          </cell>
          <cell r="N308">
            <v>2770</v>
          </cell>
        </row>
        <row r="309">
          <cell r="C309">
            <v>3140000</v>
          </cell>
          <cell r="D309">
            <v>86330</v>
          </cell>
          <cell r="E309">
            <v>68830</v>
          </cell>
          <cell r="F309">
            <v>36560</v>
          </cell>
          <cell r="G309">
            <v>31310</v>
          </cell>
          <cell r="H309">
            <v>26060</v>
          </cell>
          <cell r="I309">
            <v>20810</v>
          </cell>
          <cell r="J309">
            <v>16700</v>
          </cell>
          <cell r="K309">
            <v>13320</v>
          </cell>
          <cell r="L309">
            <v>9950</v>
          </cell>
          <cell r="M309">
            <v>6570</v>
          </cell>
          <cell r="N309">
            <v>3200</v>
          </cell>
        </row>
        <row r="310">
          <cell r="C310">
            <v>3160000</v>
          </cell>
          <cell r="D310">
            <v>88040</v>
          </cell>
          <cell r="E310">
            <v>70540</v>
          </cell>
          <cell r="F310">
            <v>37220</v>
          </cell>
          <cell r="G310">
            <v>31970</v>
          </cell>
          <cell r="H310">
            <v>26720</v>
          </cell>
          <cell r="I310">
            <v>21470</v>
          </cell>
          <cell r="J310">
            <v>17120</v>
          </cell>
          <cell r="K310">
            <v>13750</v>
          </cell>
          <cell r="L310">
            <v>10370</v>
          </cell>
          <cell r="M310">
            <v>7000</v>
          </cell>
          <cell r="N310">
            <v>3620</v>
          </cell>
        </row>
        <row r="311">
          <cell r="C311">
            <v>3180000</v>
          </cell>
          <cell r="D311">
            <v>89750</v>
          </cell>
          <cell r="E311">
            <v>72250</v>
          </cell>
          <cell r="F311">
            <v>37880</v>
          </cell>
          <cell r="G311">
            <v>32630</v>
          </cell>
          <cell r="H311">
            <v>27380</v>
          </cell>
          <cell r="I311">
            <v>22130</v>
          </cell>
          <cell r="J311">
            <v>17540</v>
          </cell>
          <cell r="K311">
            <v>14170</v>
          </cell>
          <cell r="L311">
            <v>10790</v>
          </cell>
          <cell r="M311">
            <v>7420</v>
          </cell>
          <cell r="N311">
            <v>4040</v>
          </cell>
        </row>
        <row r="312">
          <cell r="C312">
            <v>3200000</v>
          </cell>
          <cell r="D312">
            <v>91460</v>
          </cell>
          <cell r="E312">
            <v>73960</v>
          </cell>
          <cell r="F312">
            <v>38540</v>
          </cell>
          <cell r="G312">
            <v>33290</v>
          </cell>
          <cell r="H312">
            <v>28040</v>
          </cell>
          <cell r="I312">
            <v>22790</v>
          </cell>
          <cell r="J312">
            <v>17970</v>
          </cell>
          <cell r="K312">
            <v>14590</v>
          </cell>
          <cell r="L312">
            <v>11220</v>
          </cell>
          <cell r="M312">
            <v>7840</v>
          </cell>
          <cell r="N312">
            <v>4470</v>
          </cell>
        </row>
        <row r="313">
          <cell r="C313">
            <v>3220000</v>
          </cell>
          <cell r="D313">
            <v>93170</v>
          </cell>
          <cell r="E313">
            <v>75670</v>
          </cell>
          <cell r="F313">
            <v>40120</v>
          </cell>
          <cell r="G313">
            <v>33950</v>
          </cell>
          <cell r="H313">
            <v>28700</v>
          </cell>
          <cell r="I313">
            <v>23450</v>
          </cell>
          <cell r="J313">
            <v>18390</v>
          </cell>
          <cell r="K313">
            <v>15020</v>
          </cell>
          <cell r="L313">
            <v>11640</v>
          </cell>
          <cell r="M313">
            <v>8270</v>
          </cell>
          <cell r="N313">
            <v>4890</v>
          </cell>
        </row>
        <row r="314">
          <cell r="C314">
            <v>3240000</v>
          </cell>
          <cell r="D314">
            <v>95430</v>
          </cell>
          <cell r="E314">
            <v>77380</v>
          </cell>
          <cell r="F314">
            <v>41770</v>
          </cell>
          <cell r="G314">
            <v>34610</v>
          </cell>
          <cell r="H314">
            <v>29360</v>
          </cell>
          <cell r="I314">
            <v>24110</v>
          </cell>
          <cell r="J314">
            <v>18860</v>
          </cell>
          <cell r="K314">
            <v>15440</v>
          </cell>
          <cell r="L314">
            <v>12070</v>
          </cell>
          <cell r="M314">
            <v>8690</v>
          </cell>
          <cell r="N314">
            <v>5320</v>
          </cell>
        </row>
        <row r="315">
          <cell r="C315">
            <v>3260000</v>
          </cell>
          <cell r="D315">
            <v>97880</v>
          </cell>
          <cell r="E315">
            <v>79100</v>
          </cell>
          <cell r="F315">
            <v>43420</v>
          </cell>
          <cell r="G315">
            <v>35270</v>
          </cell>
          <cell r="H315">
            <v>30020</v>
          </cell>
          <cell r="I315">
            <v>24770</v>
          </cell>
          <cell r="J315">
            <v>19520</v>
          </cell>
          <cell r="K315">
            <v>15870</v>
          </cell>
          <cell r="L315">
            <v>12490</v>
          </cell>
          <cell r="M315">
            <v>9120</v>
          </cell>
          <cell r="N315">
            <v>5740</v>
          </cell>
        </row>
        <row r="316">
          <cell r="C316">
            <v>3280000</v>
          </cell>
          <cell r="D316">
            <v>100320</v>
          </cell>
          <cell r="E316">
            <v>80810</v>
          </cell>
          <cell r="F316">
            <v>45070</v>
          </cell>
          <cell r="G316">
            <v>35920</v>
          </cell>
          <cell r="H316">
            <v>30670</v>
          </cell>
          <cell r="I316">
            <v>25420</v>
          </cell>
          <cell r="J316">
            <v>20170</v>
          </cell>
          <cell r="K316">
            <v>16290</v>
          </cell>
          <cell r="L316">
            <v>12910</v>
          </cell>
          <cell r="M316">
            <v>9540</v>
          </cell>
          <cell r="N316">
            <v>6160</v>
          </cell>
        </row>
        <row r="317">
          <cell r="C317">
            <v>3300000</v>
          </cell>
          <cell r="D317">
            <v>102770</v>
          </cell>
          <cell r="E317">
            <v>82520</v>
          </cell>
          <cell r="F317">
            <v>46720</v>
          </cell>
          <cell r="G317">
            <v>36580</v>
          </cell>
          <cell r="H317">
            <v>31330</v>
          </cell>
          <cell r="I317">
            <v>26080</v>
          </cell>
          <cell r="J317">
            <v>20830</v>
          </cell>
          <cell r="K317">
            <v>16710</v>
          </cell>
          <cell r="L317">
            <v>13340</v>
          </cell>
          <cell r="M317">
            <v>9960</v>
          </cell>
          <cell r="N317">
            <v>6590</v>
          </cell>
        </row>
        <row r="318">
          <cell r="C318">
            <v>3320000</v>
          </cell>
          <cell r="D318">
            <v>105210</v>
          </cell>
          <cell r="E318">
            <v>84230</v>
          </cell>
          <cell r="F318">
            <v>48370</v>
          </cell>
          <cell r="G318">
            <v>37240</v>
          </cell>
          <cell r="H318">
            <v>31990</v>
          </cell>
          <cell r="I318">
            <v>26740</v>
          </cell>
          <cell r="J318">
            <v>21490</v>
          </cell>
          <cell r="K318">
            <v>17140</v>
          </cell>
          <cell r="L318">
            <v>13760</v>
          </cell>
          <cell r="M318">
            <v>10390</v>
          </cell>
          <cell r="N318">
            <v>7010</v>
          </cell>
        </row>
        <row r="319">
          <cell r="C319">
            <v>3340000</v>
          </cell>
          <cell r="D319">
            <v>107660</v>
          </cell>
          <cell r="E319">
            <v>85940</v>
          </cell>
          <cell r="F319">
            <v>49940</v>
          </cell>
          <cell r="G319">
            <v>37870</v>
          </cell>
          <cell r="H319">
            <v>32620</v>
          </cell>
          <cell r="I319">
            <v>27370</v>
          </cell>
          <cell r="J319">
            <v>22120</v>
          </cell>
          <cell r="K319">
            <v>17540</v>
          </cell>
          <cell r="L319">
            <v>14170</v>
          </cell>
          <cell r="M319">
            <v>10790</v>
          </cell>
          <cell r="N319">
            <v>7420</v>
          </cell>
        </row>
        <row r="320">
          <cell r="C320">
            <v>3360000</v>
          </cell>
          <cell r="D320">
            <v>110100</v>
          </cell>
          <cell r="E320">
            <v>87650</v>
          </cell>
          <cell r="F320">
            <v>51510</v>
          </cell>
          <cell r="G320">
            <v>38500</v>
          </cell>
          <cell r="H320">
            <v>33250</v>
          </cell>
          <cell r="I320">
            <v>28000</v>
          </cell>
          <cell r="J320">
            <v>22750</v>
          </cell>
          <cell r="K320">
            <v>17950</v>
          </cell>
          <cell r="L320">
            <v>14570</v>
          </cell>
          <cell r="M320">
            <v>11200</v>
          </cell>
          <cell r="N320">
            <v>7820</v>
          </cell>
        </row>
        <row r="321">
          <cell r="C321">
            <v>3380000</v>
          </cell>
          <cell r="D321">
            <v>112550</v>
          </cell>
          <cell r="E321">
            <v>89370</v>
          </cell>
          <cell r="F321">
            <v>53070</v>
          </cell>
          <cell r="G321">
            <v>39950</v>
          </cell>
          <cell r="H321">
            <v>33880</v>
          </cell>
          <cell r="I321">
            <v>28630</v>
          </cell>
          <cell r="J321">
            <v>23380</v>
          </cell>
          <cell r="K321">
            <v>18350</v>
          </cell>
          <cell r="L321">
            <v>14970</v>
          </cell>
          <cell r="M321">
            <v>11600</v>
          </cell>
          <cell r="N321">
            <v>8220</v>
          </cell>
        </row>
        <row r="322">
          <cell r="C322">
            <v>3400000</v>
          </cell>
          <cell r="D322">
            <v>114990</v>
          </cell>
          <cell r="E322">
            <v>91080</v>
          </cell>
          <cell r="F322">
            <v>54640</v>
          </cell>
          <cell r="G322">
            <v>41510</v>
          </cell>
          <cell r="H322">
            <v>34500</v>
          </cell>
          <cell r="I322">
            <v>29250</v>
          </cell>
          <cell r="J322">
            <v>24000</v>
          </cell>
          <cell r="K322">
            <v>18750</v>
          </cell>
          <cell r="L322">
            <v>15370</v>
          </cell>
          <cell r="M322">
            <v>12000</v>
          </cell>
          <cell r="N322">
            <v>8620</v>
          </cell>
        </row>
        <row r="323">
          <cell r="C323">
            <v>3420000</v>
          </cell>
          <cell r="D323">
            <v>117440</v>
          </cell>
          <cell r="E323">
            <v>92790</v>
          </cell>
          <cell r="F323">
            <v>56200</v>
          </cell>
          <cell r="G323">
            <v>43080</v>
          </cell>
          <cell r="H323">
            <v>35130</v>
          </cell>
          <cell r="I323">
            <v>29880</v>
          </cell>
          <cell r="J323">
            <v>24630</v>
          </cell>
          <cell r="K323">
            <v>19380</v>
          </cell>
          <cell r="L323">
            <v>15780</v>
          </cell>
          <cell r="M323">
            <v>12400</v>
          </cell>
          <cell r="N323">
            <v>9030</v>
          </cell>
        </row>
        <row r="324">
          <cell r="C324">
            <v>3440000</v>
          </cell>
          <cell r="D324">
            <v>119880</v>
          </cell>
          <cell r="E324">
            <v>94880</v>
          </cell>
          <cell r="F324">
            <v>57770</v>
          </cell>
          <cell r="G324">
            <v>44640</v>
          </cell>
          <cell r="H324">
            <v>35750</v>
          </cell>
          <cell r="I324">
            <v>30500</v>
          </cell>
          <cell r="J324">
            <v>25250</v>
          </cell>
          <cell r="K324">
            <v>20000</v>
          </cell>
          <cell r="L324">
            <v>16180</v>
          </cell>
          <cell r="M324">
            <v>12800</v>
          </cell>
          <cell r="N324">
            <v>9430</v>
          </cell>
        </row>
        <row r="325">
          <cell r="C325">
            <v>3460000</v>
          </cell>
          <cell r="D325">
            <v>122330</v>
          </cell>
          <cell r="E325">
            <v>97330</v>
          </cell>
          <cell r="F325">
            <v>59330</v>
          </cell>
          <cell r="G325">
            <v>46210</v>
          </cell>
          <cell r="H325">
            <v>36380</v>
          </cell>
          <cell r="I325">
            <v>31130</v>
          </cell>
          <cell r="J325">
            <v>25880</v>
          </cell>
          <cell r="K325">
            <v>20630</v>
          </cell>
          <cell r="L325">
            <v>16580</v>
          </cell>
          <cell r="M325">
            <v>13210</v>
          </cell>
          <cell r="N325">
            <v>9830</v>
          </cell>
        </row>
        <row r="326">
          <cell r="C326">
            <v>3480000</v>
          </cell>
          <cell r="D326">
            <v>124770</v>
          </cell>
          <cell r="E326">
            <v>99770</v>
          </cell>
          <cell r="F326">
            <v>60900</v>
          </cell>
          <cell r="G326">
            <v>47770</v>
          </cell>
          <cell r="H326">
            <v>37010</v>
          </cell>
          <cell r="I326">
            <v>31760</v>
          </cell>
          <cell r="J326">
            <v>26510</v>
          </cell>
          <cell r="K326">
            <v>21260</v>
          </cell>
          <cell r="L326">
            <v>16980</v>
          </cell>
          <cell r="M326">
            <v>13610</v>
          </cell>
          <cell r="N326">
            <v>10230</v>
          </cell>
        </row>
        <row r="327">
          <cell r="C327">
            <v>3500000</v>
          </cell>
          <cell r="D327">
            <v>127220</v>
          </cell>
          <cell r="E327">
            <v>102220</v>
          </cell>
          <cell r="F327">
            <v>62460</v>
          </cell>
          <cell r="G327">
            <v>49340</v>
          </cell>
          <cell r="H327">
            <v>37630</v>
          </cell>
          <cell r="I327">
            <v>32380</v>
          </cell>
          <cell r="J327">
            <v>27130</v>
          </cell>
          <cell r="K327">
            <v>21880</v>
          </cell>
          <cell r="L327">
            <v>17390</v>
          </cell>
          <cell r="M327">
            <v>14010</v>
          </cell>
          <cell r="N327">
            <v>10640</v>
          </cell>
        </row>
        <row r="328">
          <cell r="C328">
            <v>3520000</v>
          </cell>
          <cell r="D328">
            <v>129660</v>
          </cell>
          <cell r="E328">
            <v>104660</v>
          </cell>
          <cell r="F328">
            <v>64030</v>
          </cell>
          <cell r="G328">
            <v>50900</v>
          </cell>
          <cell r="H328">
            <v>38260</v>
          </cell>
          <cell r="I328">
            <v>33010</v>
          </cell>
          <cell r="J328">
            <v>27760</v>
          </cell>
          <cell r="K328">
            <v>22510</v>
          </cell>
          <cell r="L328">
            <v>17790</v>
          </cell>
          <cell r="M328">
            <v>14410</v>
          </cell>
          <cell r="N328">
            <v>11040</v>
          </cell>
        </row>
        <row r="329">
          <cell r="C329">
            <v>3540000</v>
          </cell>
          <cell r="D329">
            <v>132110</v>
          </cell>
          <cell r="E329">
            <v>107110</v>
          </cell>
          <cell r="F329">
            <v>65590</v>
          </cell>
          <cell r="G329">
            <v>52460</v>
          </cell>
          <cell r="H329">
            <v>39340</v>
          </cell>
          <cell r="I329">
            <v>33630</v>
          </cell>
          <cell r="J329">
            <v>28380</v>
          </cell>
          <cell r="K329">
            <v>23130</v>
          </cell>
          <cell r="L329">
            <v>18190</v>
          </cell>
          <cell r="M329">
            <v>14820</v>
          </cell>
          <cell r="N329">
            <v>11440</v>
          </cell>
        </row>
        <row r="330">
          <cell r="C330">
            <v>3560000</v>
          </cell>
          <cell r="D330">
            <v>134550</v>
          </cell>
          <cell r="E330">
            <v>109550</v>
          </cell>
          <cell r="F330">
            <v>67150</v>
          </cell>
          <cell r="G330">
            <v>54030</v>
          </cell>
          <cell r="H330">
            <v>40900</v>
          </cell>
          <cell r="I330">
            <v>34260</v>
          </cell>
          <cell r="J330">
            <v>29010</v>
          </cell>
          <cell r="K330">
            <v>23760</v>
          </cell>
          <cell r="L330">
            <v>18590</v>
          </cell>
          <cell r="M330">
            <v>15220</v>
          </cell>
          <cell r="N330">
            <v>11840</v>
          </cell>
        </row>
        <row r="331">
          <cell r="C331">
            <v>3580000</v>
          </cell>
          <cell r="D331">
            <v>137000</v>
          </cell>
          <cell r="E331">
            <v>112000</v>
          </cell>
          <cell r="F331">
            <v>68720</v>
          </cell>
          <cell r="G331">
            <v>55590</v>
          </cell>
          <cell r="H331">
            <v>42470</v>
          </cell>
          <cell r="I331">
            <v>34880</v>
          </cell>
          <cell r="J331">
            <v>29630</v>
          </cell>
          <cell r="K331">
            <v>24380</v>
          </cell>
          <cell r="L331">
            <v>19130</v>
          </cell>
          <cell r="M331">
            <v>15620</v>
          </cell>
          <cell r="N331">
            <v>12250</v>
          </cell>
        </row>
        <row r="332">
          <cell r="C332">
            <v>3600000</v>
          </cell>
          <cell r="D332">
            <v>139440</v>
          </cell>
          <cell r="E332">
            <v>114440</v>
          </cell>
          <cell r="F332">
            <v>70280</v>
          </cell>
          <cell r="G332">
            <v>57160</v>
          </cell>
          <cell r="H332">
            <v>44030</v>
          </cell>
          <cell r="I332">
            <v>35510</v>
          </cell>
          <cell r="J332">
            <v>30260</v>
          </cell>
          <cell r="K332">
            <v>25010</v>
          </cell>
          <cell r="L332">
            <v>19760</v>
          </cell>
          <cell r="M332">
            <v>16020</v>
          </cell>
          <cell r="N332">
            <v>12650</v>
          </cell>
        </row>
        <row r="333">
          <cell r="C333">
            <v>3620000</v>
          </cell>
          <cell r="D333">
            <v>141890</v>
          </cell>
          <cell r="E333">
            <v>116890</v>
          </cell>
          <cell r="F333">
            <v>71850</v>
          </cell>
          <cell r="G333">
            <v>58720</v>
          </cell>
          <cell r="H333">
            <v>45600</v>
          </cell>
          <cell r="I333">
            <v>36140</v>
          </cell>
          <cell r="J333">
            <v>30890</v>
          </cell>
          <cell r="K333">
            <v>25640</v>
          </cell>
          <cell r="L333">
            <v>20390</v>
          </cell>
          <cell r="M333">
            <v>16420</v>
          </cell>
          <cell r="N333">
            <v>13050</v>
          </cell>
        </row>
        <row r="334">
          <cell r="C334">
            <v>3640000</v>
          </cell>
          <cell r="D334">
            <v>144330</v>
          </cell>
          <cell r="E334">
            <v>119330</v>
          </cell>
          <cell r="F334">
            <v>73410</v>
          </cell>
          <cell r="G334">
            <v>60290</v>
          </cell>
          <cell r="H334">
            <v>47160</v>
          </cell>
          <cell r="I334">
            <v>36760</v>
          </cell>
          <cell r="J334">
            <v>31510</v>
          </cell>
          <cell r="K334">
            <v>26260</v>
          </cell>
          <cell r="L334">
            <v>21010</v>
          </cell>
          <cell r="M334">
            <v>16830</v>
          </cell>
          <cell r="N334">
            <v>13450</v>
          </cell>
        </row>
        <row r="335">
          <cell r="C335">
            <v>3660000</v>
          </cell>
          <cell r="D335">
            <v>146780</v>
          </cell>
          <cell r="E335">
            <v>121780</v>
          </cell>
          <cell r="F335">
            <v>74980</v>
          </cell>
          <cell r="G335">
            <v>61850</v>
          </cell>
          <cell r="H335">
            <v>48730</v>
          </cell>
          <cell r="I335">
            <v>37390</v>
          </cell>
          <cell r="J335">
            <v>32140</v>
          </cell>
          <cell r="K335">
            <v>26890</v>
          </cell>
          <cell r="L335">
            <v>21640</v>
          </cell>
          <cell r="M335">
            <v>17230</v>
          </cell>
          <cell r="N335">
            <v>13850</v>
          </cell>
        </row>
        <row r="336">
          <cell r="C336">
            <v>3680000</v>
          </cell>
          <cell r="D336">
            <v>149220</v>
          </cell>
          <cell r="E336">
            <v>124220</v>
          </cell>
          <cell r="F336">
            <v>76540</v>
          </cell>
          <cell r="G336">
            <v>63420</v>
          </cell>
          <cell r="H336">
            <v>50290</v>
          </cell>
          <cell r="I336">
            <v>38010</v>
          </cell>
          <cell r="J336">
            <v>32760</v>
          </cell>
          <cell r="K336">
            <v>27510</v>
          </cell>
          <cell r="L336">
            <v>22260</v>
          </cell>
          <cell r="M336">
            <v>17630</v>
          </cell>
          <cell r="N336">
            <v>14260</v>
          </cell>
        </row>
        <row r="337">
          <cell r="C337">
            <v>3700000</v>
          </cell>
          <cell r="D337">
            <v>151670</v>
          </cell>
          <cell r="E337">
            <v>126670</v>
          </cell>
          <cell r="F337">
            <v>78110</v>
          </cell>
          <cell r="G337">
            <v>64980</v>
          </cell>
          <cell r="H337">
            <v>51860</v>
          </cell>
          <cell r="I337">
            <v>38730</v>
          </cell>
          <cell r="J337">
            <v>33390</v>
          </cell>
          <cell r="K337">
            <v>28140</v>
          </cell>
          <cell r="L337">
            <v>22890</v>
          </cell>
          <cell r="M337">
            <v>18030</v>
          </cell>
          <cell r="N337">
            <v>14660</v>
          </cell>
        </row>
        <row r="338">
          <cell r="C338">
            <v>3720000</v>
          </cell>
          <cell r="D338">
            <v>154110</v>
          </cell>
          <cell r="E338">
            <v>129110</v>
          </cell>
          <cell r="F338">
            <v>79670</v>
          </cell>
          <cell r="G338">
            <v>66550</v>
          </cell>
          <cell r="H338">
            <v>53420</v>
          </cell>
          <cell r="I338">
            <v>40300</v>
          </cell>
          <cell r="J338">
            <v>34020</v>
          </cell>
          <cell r="K338">
            <v>28770</v>
          </cell>
          <cell r="L338">
            <v>23520</v>
          </cell>
          <cell r="M338">
            <v>18440</v>
          </cell>
          <cell r="N338">
            <v>15060</v>
          </cell>
        </row>
        <row r="339">
          <cell r="C339">
            <v>3740000</v>
          </cell>
          <cell r="D339">
            <v>156560</v>
          </cell>
          <cell r="E339">
            <v>131560</v>
          </cell>
          <cell r="F339">
            <v>81230</v>
          </cell>
          <cell r="G339">
            <v>68110</v>
          </cell>
          <cell r="H339">
            <v>54980</v>
          </cell>
          <cell r="I339">
            <v>41860</v>
          </cell>
          <cell r="J339">
            <v>34640</v>
          </cell>
          <cell r="K339">
            <v>29390</v>
          </cell>
          <cell r="L339">
            <v>24140</v>
          </cell>
          <cell r="M339">
            <v>18890</v>
          </cell>
          <cell r="N339">
            <v>15460</v>
          </cell>
        </row>
        <row r="340">
          <cell r="C340">
            <v>3760000</v>
          </cell>
          <cell r="D340">
            <v>163920</v>
          </cell>
          <cell r="E340">
            <v>136090</v>
          </cell>
          <cell r="F340">
            <v>84260</v>
          </cell>
          <cell r="G340">
            <v>71130</v>
          </cell>
          <cell r="H340">
            <v>58010</v>
          </cell>
          <cell r="I340">
            <v>44880</v>
          </cell>
          <cell r="J340">
            <v>35850</v>
          </cell>
          <cell r="K340">
            <v>30600</v>
          </cell>
          <cell r="L340">
            <v>25350</v>
          </cell>
          <cell r="M340">
            <v>20100</v>
          </cell>
          <cell r="N340">
            <v>16240</v>
          </cell>
        </row>
        <row r="341">
          <cell r="C341">
            <v>3780000</v>
          </cell>
          <cell r="D341">
            <v>166590</v>
          </cell>
          <cell r="E341">
            <v>138740</v>
          </cell>
          <cell r="F341">
            <v>85970</v>
          </cell>
          <cell r="G341">
            <v>72850</v>
          </cell>
          <cell r="H341">
            <v>59720</v>
          </cell>
          <cell r="I341">
            <v>46600</v>
          </cell>
          <cell r="J341">
            <v>36540</v>
          </cell>
          <cell r="K341">
            <v>31290</v>
          </cell>
          <cell r="L341">
            <v>26040</v>
          </cell>
          <cell r="M341">
            <v>20790</v>
          </cell>
          <cell r="N341">
            <v>16680</v>
          </cell>
        </row>
        <row r="342">
          <cell r="C342">
            <v>3800000</v>
          </cell>
          <cell r="D342">
            <v>169260</v>
          </cell>
          <cell r="E342">
            <v>141400</v>
          </cell>
          <cell r="F342">
            <v>87680</v>
          </cell>
          <cell r="G342">
            <v>74560</v>
          </cell>
          <cell r="H342">
            <v>61430</v>
          </cell>
          <cell r="I342">
            <v>48310</v>
          </cell>
          <cell r="J342">
            <v>37220</v>
          </cell>
          <cell r="K342">
            <v>31970</v>
          </cell>
          <cell r="L342">
            <v>26720</v>
          </cell>
          <cell r="M342">
            <v>21470</v>
          </cell>
          <cell r="N342">
            <v>17120</v>
          </cell>
        </row>
        <row r="343">
          <cell r="C343">
            <v>3820000</v>
          </cell>
          <cell r="D343">
            <v>171930</v>
          </cell>
          <cell r="E343">
            <v>144050</v>
          </cell>
          <cell r="F343">
            <v>89390</v>
          </cell>
          <cell r="G343">
            <v>76270</v>
          </cell>
          <cell r="H343">
            <v>63140</v>
          </cell>
          <cell r="I343">
            <v>50020</v>
          </cell>
          <cell r="J343">
            <v>37900</v>
          </cell>
          <cell r="K343">
            <v>32650</v>
          </cell>
          <cell r="L343">
            <v>27400</v>
          </cell>
          <cell r="M343">
            <v>22150</v>
          </cell>
          <cell r="N343">
            <v>17560</v>
          </cell>
        </row>
        <row r="344">
          <cell r="C344">
            <v>3840000</v>
          </cell>
          <cell r="D344">
            <v>174600</v>
          </cell>
          <cell r="E344">
            <v>146710</v>
          </cell>
          <cell r="F344">
            <v>91100</v>
          </cell>
          <cell r="G344">
            <v>77980</v>
          </cell>
          <cell r="H344">
            <v>64850</v>
          </cell>
          <cell r="I344">
            <v>51730</v>
          </cell>
          <cell r="J344">
            <v>38600</v>
          </cell>
          <cell r="K344">
            <v>33340</v>
          </cell>
          <cell r="L344">
            <v>28090</v>
          </cell>
          <cell r="M344">
            <v>22840</v>
          </cell>
          <cell r="N344">
            <v>18000</v>
          </cell>
        </row>
        <row r="345">
          <cell r="C345">
            <v>3860000</v>
          </cell>
          <cell r="D345">
            <v>177270</v>
          </cell>
          <cell r="E345">
            <v>149360</v>
          </cell>
          <cell r="F345">
            <v>92820</v>
          </cell>
          <cell r="G345">
            <v>79690</v>
          </cell>
          <cell r="H345">
            <v>66570</v>
          </cell>
          <cell r="I345">
            <v>53440</v>
          </cell>
          <cell r="J345">
            <v>40320</v>
          </cell>
          <cell r="K345">
            <v>34020</v>
          </cell>
          <cell r="L345">
            <v>28770</v>
          </cell>
          <cell r="M345">
            <v>23520</v>
          </cell>
          <cell r="N345">
            <v>18440</v>
          </cell>
        </row>
        <row r="346">
          <cell r="C346">
            <v>3880000</v>
          </cell>
          <cell r="D346">
            <v>179940</v>
          </cell>
          <cell r="E346">
            <v>152020</v>
          </cell>
          <cell r="F346">
            <v>94920</v>
          </cell>
          <cell r="G346">
            <v>81400</v>
          </cell>
          <cell r="H346">
            <v>68280</v>
          </cell>
          <cell r="I346">
            <v>55150</v>
          </cell>
          <cell r="J346">
            <v>42030</v>
          </cell>
          <cell r="K346">
            <v>34710</v>
          </cell>
          <cell r="L346">
            <v>29460</v>
          </cell>
          <cell r="M346">
            <v>24210</v>
          </cell>
          <cell r="N346">
            <v>18960</v>
          </cell>
        </row>
        <row r="347">
          <cell r="C347">
            <v>3900000</v>
          </cell>
          <cell r="D347">
            <v>182610</v>
          </cell>
          <cell r="E347">
            <v>154670</v>
          </cell>
          <cell r="F347">
            <v>97370</v>
          </cell>
          <cell r="G347">
            <v>83110</v>
          </cell>
          <cell r="H347">
            <v>69990</v>
          </cell>
          <cell r="I347">
            <v>56860</v>
          </cell>
          <cell r="J347">
            <v>43740</v>
          </cell>
          <cell r="K347">
            <v>35390</v>
          </cell>
          <cell r="L347">
            <v>30140</v>
          </cell>
          <cell r="M347">
            <v>24890</v>
          </cell>
          <cell r="N347">
            <v>19640</v>
          </cell>
        </row>
        <row r="348">
          <cell r="C348">
            <v>3920000</v>
          </cell>
          <cell r="D348">
            <v>185280</v>
          </cell>
          <cell r="E348">
            <v>157330</v>
          </cell>
          <cell r="F348">
            <v>99810</v>
          </cell>
          <cell r="G348">
            <v>84830</v>
          </cell>
          <cell r="H348">
            <v>71700</v>
          </cell>
          <cell r="I348">
            <v>58580</v>
          </cell>
          <cell r="J348">
            <v>45450</v>
          </cell>
          <cell r="K348">
            <v>36080</v>
          </cell>
          <cell r="L348">
            <v>30830</v>
          </cell>
          <cell r="M348">
            <v>25580</v>
          </cell>
          <cell r="N348">
            <v>20330</v>
          </cell>
        </row>
        <row r="349">
          <cell r="C349">
            <v>3940000</v>
          </cell>
          <cell r="D349">
            <v>187950</v>
          </cell>
          <cell r="E349">
            <v>159980</v>
          </cell>
          <cell r="F349">
            <v>102260</v>
          </cell>
          <cell r="G349">
            <v>86540</v>
          </cell>
          <cell r="H349">
            <v>73410</v>
          </cell>
          <cell r="I349">
            <v>60290</v>
          </cell>
          <cell r="J349">
            <v>47160</v>
          </cell>
          <cell r="K349">
            <v>36760</v>
          </cell>
          <cell r="L349">
            <v>31510</v>
          </cell>
          <cell r="M349">
            <v>26260</v>
          </cell>
          <cell r="N349">
            <v>21010</v>
          </cell>
        </row>
        <row r="350">
          <cell r="C350">
            <v>3960000</v>
          </cell>
          <cell r="D350">
            <v>190620</v>
          </cell>
          <cell r="E350">
            <v>162640</v>
          </cell>
          <cell r="F350">
            <v>104700</v>
          </cell>
          <cell r="G350">
            <v>88250</v>
          </cell>
          <cell r="H350">
            <v>75120</v>
          </cell>
          <cell r="I350">
            <v>62000</v>
          </cell>
          <cell r="J350">
            <v>48870</v>
          </cell>
          <cell r="K350">
            <v>37450</v>
          </cell>
          <cell r="L350">
            <v>32200</v>
          </cell>
          <cell r="M350">
            <v>26950</v>
          </cell>
          <cell r="N350">
            <v>21700</v>
          </cell>
        </row>
        <row r="351">
          <cell r="C351">
            <v>3980000</v>
          </cell>
          <cell r="D351">
            <v>193290</v>
          </cell>
          <cell r="E351">
            <v>165290</v>
          </cell>
          <cell r="F351">
            <v>107150</v>
          </cell>
          <cell r="G351">
            <v>89960</v>
          </cell>
          <cell r="H351">
            <v>76840</v>
          </cell>
          <cell r="I351">
            <v>63710</v>
          </cell>
          <cell r="J351">
            <v>50590</v>
          </cell>
          <cell r="K351">
            <v>38130</v>
          </cell>
          <cell r="L351">
            <v>32880</v>
          </cell>
          <cell r="M351">
            <v>27630</v>
          </cell>
          <cell r="N351">
            <v>22380</v>
          </cell>
        </row>
        <row r="352">
          <cell r="C352">
            <v>4000000</v>
          </cell>
          <cell r="D352">
            <v>195960</v>
          </cell>
          <cell r="E352">
            <v>167950</v>
          </cell>
          <cell r="F352">
            <v>109590</v>
          </cell>
          <cell r="G352">
            <v>91670</v>
          </cell>
          <cell r="H352">
            <v>78550</v>
          </cell>
          <cell r="I352">
            <v>65420</v>
          </cell>
          <cell r="J352">
            <v>52300</v>
          </cell>
          <cell r="K352">
            <v>39170</v>
          </cell>
          <cell r="L352">
            <v>33570</v>
          </cell>
          <cell r="M352">
            <v>28320</v>
          </cell>
          <cell r="N352">
            <v>23070</v>
          </cell>
        </row>
        <row r="353">
          <cell r="C353">
            <v>4020000</v>
          </cell>
          <cell r="D353">
            <v>198630</v>
          </cell>
          <cell r="E353">
            <v>170600</v>
          </cell>
          <cell r="F353">
            <v>112040</v>
          </cell>
          <cell r="G353">
            <v>93380</v>
          </cell>
          <cell r="H353">
            <v>80260</v>
          </cell>
          <cell r="I353">
            <v>67130</v>
          </cell>
          <cell r="J353">
            <v>54010</v>
          </cell>
          <cell r="K353">
            <v>40880</v>
          </cell>
          <cell r="L353">
            <v>34250</v>
          </cell>
          <cell r="M353">
            <v>29000</v>
          </cell>
          <cell r="N353">
            <v>23750</v>
          </cell>
        </row>
        <row r="354">
          <cell r="C354">
            <v>4040000</v>
          </cell>
          <cell r="D354">
            <v>201300</v>
          </cell>
          <cell r="E354">
            <v>173260</v>
          </cell>
          <cell r="F354">
            <v>114480</v>
          </cell>
          <cell r="G354">
            <v>95730</v>
          </cell>
          <cell r="H354">
            <v>81970</v>
          </cell>
          <cell r="I354">
            <v>68840</v>
          </cell>
          <cell r="J354">
            <v>55720</v>
          </cell>
          <cell r="K354">
            <v>42590</v>
          </cell>
          <cell r="L354">
            <v>34930</v>
          </cell>
          <cell r="M354">
            <v>29680</v>
          </cell>
          <cell r="N354">
            <v>24430</v>
          </cell>
        </row>
        <row r="355">
          <cell r="C355">
            <v>4060000</v>
          </cell>
          <cell r="D355">
            <v>203970</v>
          </cell>
          <cell r="E355">
            <v>175910</v>
          </cell>
          <cell r="F355">
            <v>116930</v>
          </cell>
          <cell r="G355">
            <v>98180</v>
          </cell>
          <cell r="H355">
            <v>83680</v>
          </cell>
          <cell r="I355">
            <v>70560</v>
          </cell>
          <cell r="J355">
            <v>57430</v>
          </cell>
          <cell r="K355">
            <v>44310</v>
          </cell>
          <cell r="L355">
            <v>35620</v>
          </cell>
          <cell r="M355">
            <v>30370</v>
          </cell>
          <cell r="N355">
            <v>25120</v>
          </cell>
        </row>
        <row r="356">
          <cell r="C356">
            <v>4080000</v>
          </cell>
          <cell r="D356">
            <v>206640</v>
          </cell>
          <cell r="E356">
            <v>178570</v>
          </cell>
          <cell r="F356">
            <v>119370</v>
          </cell>
          <cell r="G356">
            <v>100620</v>
          </cell>
          <cell r="H356">
            <v>85390</v>
          </cell>
          <cell r="I356">
            <v>72270</v>
          </cell>
          <cell r="J356">
            <v>59140</v>
          </cell>
          <cell r="K356">
            <v>46020</v>
          </cell>
          <cell r="L356">
            <v>36300</v>
          </cell>
          <cell r="M356">
            <v>31050</v>
          </cell>
          <cell r="N356">
            <v>25800</v>
          </cell>
        </row>
        <row r="357">
          <cell r="C357">
            <v>4100000</v>
          </cell>
          <cell r="D357">
            <v>209310</v>
          </cell>
          <cell r="E357">
            <v>181220</v>
          </cell>
          <cell r="F357">
            <v>121820</v>
          </cell>
          <cell r="G357">
            <v>103070</v>
          </cell>
          <cell r="H357">
            <v>87100</v>
          </cell>
          <cell r="I357">
            <v>73980</v>
          </cell>
          <cell r="J357">
            <v>60850</v>
          </cell>
          <cell r="K357">
            <v>47730</v>
          </cell>
          <cell r="L357">
            <v>36990</v>
          </cell>
          <cell r="M357">
            <v>31740</v>
          </cell>
          <cell r="N357">
            <v>26490</v>
          </cell>
        </row>
        <row r="358">
          <cell r="C358">
            <v>4120000</v>
          </cell>
          <cell r="D358">
            <v>211980</v>
          </cell>
          <cell r="E358">
            <v>183880</v>
          </cell>
          <cell r="F358">
            <v>124260</v>
          </cell>
          <cell r="G358">
            <v>105510</v>
          </cell>
          <cell r="H358">
            <v>88820</v>
          </cell>
          <cell r="I358">
            <v>75690</v>
          </cell>
          <cell r="J358">
            <v>62570</v>
          </cell>
          <cell r="K358">
            <v>49440</v>
          </cell>
          <cell r="L358">
            <v>37670</v>
          </cell>
          <cell r="M358">
            <v>32420</v>
          </cell>
          <cell r="N358">
            <v>27170</v>
          </cell>
        </row>
        <row r="359">
          <cell r="C359">
            <v>4140000</v>
          </cell>
          <cell r="D359">
            <v>214650</v>
          </cell>
          <cell r="E359">
            <v>186530</v>
          </cell>
          <cell r="F359">
            <v>126710</v>
          </cell>
          <cell r="G359">
            <v>107960</v>
          </cell>
          <cell r="H359">
            <v>90530</v>
          </cell>
          <cell r="I359">
            <v>77400</v>
          </cell>
          <cell r="J359">
            <v>64280</v>
          </cell>
          <cell r="K359">
            <v>51150</v>
          </cell>
          <cell r="L359">
            <v>38360</v>
          </cell>
          <cell r="M359">
            <v>33110</v>
          </cell>
          <cell r="N359">
            <v>27860</v>
          </cell>
        </row>
        <row r="360">
          <cell r="C360">
            <v>4160000</v>
          </cell>
          <cell r="D360">
            <v>217320</v>
          </cell>
          <cell r="E360">
            <v>189190</v>
          </cell>
          <cell r="F360">
            <v>129150</v>
          </cell>
          <cell r="G360">
            <v>110400</v>
          </cell>
          <cell r="H360">
            <v>92240</v>
          </cell>
          <cell r="I360">
            <v>79110</v>
          </cell>
          <cell r="J360">
            <v>65990</v>
          </cell>
          <cell r="K360">
            <v>52860</v>
          </cell>
          <cell r="L360">
            <v>39740</v>
          </cell>
          <cell r="M360">
            <v>33790</v>
          </cell>
          <cell r="N360">
            <v>28540</v>
          </cell>
        </row>
        <row r="361">
          <cell r="C361">
            <v>4180000</v>
          </cell>
          <cell r="D361">
            <v>219990</v>
          </cell>
          <cell r="E361">
            <v>191840</v>
          </cell>
          <cell r="F361">
            <v>131600</v>
          </cell>
          <cell r="G361">
            <v>112850</v>
          </cell>
          <cell r="H361">
            <v>94100</v>
          </cell>
          <cell r="I361">
            <v>80830</v>
          </cell>
          <cell r="J361">
            <v>67700</v>
          </cell>
          <cell r="K361">
            <v>54580</v>
          </cell>
          <cell r="L361">
            <v>41450</v>
          </cell>
          <cell r="M361">
            <v>34480</v>
          </cell>
          <cell r="N361">
            <v>29230</v>
          </cell>
        </row>
        <row r="362">
          <cell r="C362">
            <v>4200000</v>
          </cell>
          <cell r="D362">
            <v>222660</v>
          </cell>
          <cell r="E362">
            <v>194500</v>
          </cell>
          <cell r="F362">
            <v>134040</v>
          </cell>
          <cell r="G362">
            <v>115290</v>
          </cell>
          <cell r="H362">
            <v>96540</v>
          </cell>
          <cell r="I362">
            <v>82540</v>
          </cell>
          <cell r="J362">
            <v>69410</v>
          </cell>
          <cell r="K362">
            <v>56290</v>
          </cell>
          <cell r="L362">
            <v>43160</v>
          </cell>
          <cell r="M362">
            <v>35160</v>
          </cell>
          <cell r="N362">
            <v>29910</v>
          </cell>
        </row>
        <row r="363">
          <cell r="C363">
            <v>4220000</v>
          </cell>
          <cell r="D363">
            <v>225330</v>
          </cell>
          <cell r="E363">
            <v>197150</v>
          </cell>
          <cell r="F363">
            <v>136490</v>
          </cell>
          <cell r="G363">
            <v>117740</v>
          </cell>
          <cell r="H363">
            <v>98990</v>
          </cell>
          <cell r="I363">
            <v>84250</v>
          </cell>
          <cell r="J363">
            <v>71120</v>
          </cell>
          <cell r="K363">
            <v>58000</v>
          </cell>
          <cell r="L363">
            <v>44870</v>
          </cell>
          <cell r="M363">
            <v>35850</v>
          </cell>
          <cell r="N363">
            <v>30600</v>
          </cell>
        </row>
        <row r="364">
          <cell r="C364">
            <v>4240000</v>
          </cell>
          <cell r="D364">
            <v>228000</v>
          </cell>
          <cell r="E364">
            <v>199810</v>
          </cell>
          <cell r="F364">
            <v>138930</v>
          </cell>
          <cell r="G364">
            <v>120180</v>
          </cell>
          <cell r="H364">
            <v>101430</v>
          </cell>
          <cell r="I364">
            <v>85960</v>
          </cell>
          <cell r="J364">
            <v>72830</v>
          </cell>
          <cell r="K364">
            <v>59710</v>
          </cell>
          <cell r="L364">
            <v>46580</v>
          </cell>
          <cell r="M364">
            <v>36530</v>
          </cell>
          <cell r="N364">
            <v>31280</v>
          </cell>
        </row>
        <row r="365">
          <cell r="C365">
            <v>4260000</v>
          </cell>
          <cell r="D365">
            <v>230670</v>
          </cell>
          <cell r="E365">
            <v>202460</v>
          </cell>
          <cell r="F365">
            <v>141380</v>
          </cell>
          <cell r="G365">
            <v>122630</v>
          </cell>
          <cell r="H365">
            <v>103880</v>
          </cell>
          <cell r="I365">
            <v>87670</v>
          </cell>
          <cell r="J365">
            <v>74550</v>
          </cell>
          <cell r="K365">
            <v>61420</v>
          </cell>
          <cell r="L365">
            <v>48300</v>
          </cell>
          <cell r="M365">
            <v>37220</v>
          </cell>
          <cell r="N365">
            <v>31970</v>
          </cell>
        </row>
        <row r="366">
          <cell r="C366">
            <v>4280000</v>
          </cell>
          <cell r="D366">
            <v>233340</v>
          </cell>
          <cell r="E366">
            <v>205120</v>
          </cell>
          <cell r="F366">
            <v>143820</v>
          </cell>
          <cell r="G366">
            <v>125070</v>
          </cell>
          <cell r="H366">
            <v>106320</v>
          </cell>
          <cell r="I366">
            <v>89380</v>
          </cell>
          <cell r="J366">
            <v>76260</v>
          </cell>
          <cell r="K366">
            <v>63130</v>
          </cell>
          <cell r="L366">
            <v>50010</v>
          </cell>
          <cell r="M366">
            <v>37900</v>
          </cell>
          <cell r="N366">
            <v>32650</v>
          </cell>
        </row>
        <row r="367">
          <cell r="C367">
            <v>4300000</v>
          </cell>
          <cell r="D367">
            <v>236010</v>
          </cell>
          <cell r="E367">
            <v>207770</v>
          </cell>
          <cell r="F367">
            <v>146270</v>
          </cell>
          <cell r="G367">
            <v>127520</v>
          </cell>
          <cell r="H367">
            <v>108770</v>
          </cell>
          <cell r="I367">
            <v>91090</v>
          </cell>
          <cell r="J367">
            <v>77970</v>
          </cell>
          <cell r="K367">
            <v>64840</v>
          </cell>
          <cell r="L367">
            <v>51720</v>
          </cell>
          <cell r="M367">
            <v>38590</v>
          </cell>
          <cell r="N367">
            <v>33330</v>
          </cell>
        </row>
        <row r="368">
          <cell r="C368">
            <v>4320000</v>
          </cell>
          <cell r="D368">
            <v>238680</v>
          </cell>
          <cell r="E368">
            <v>210430</v>
          </cell>
          <cell r="F368">
            <v>148710</v>
          </cell>
          <cell r="G368">
            <v>129960</v>
          </cell>
          <cell r="H368">
            <v>111210</v>
          </cell>
          <cell r="I368">
            <v>92810</v>
          </cell>
          <cell r="J368">
            <v>79680</v>
          </cell>
          <cell r="K368">
            <v>66560</v>
          </cell>
          <cell r="L368">
            <v>53430</v>
          </cell>
          <cell r="M368">
            <v>40310</v>
          </cell>
          <cell r="N368">
            <v>34020</v>
          </cell>
        </row>
        <row r="369">
          <cell r="C369">
            <v>4340000</v>
          </cell>
          <cell r="D369">
            <v>241350</v>
          </cell>
          <cell r="E369">
            <v>213080</v>
          </cell>
          <cell r="F369">
            <v>151160</v>
          </cell>
          <cell r="G369">
            <v>132410</v>
          </cell>
          <cell r="H369">
            <v>113660</v>
          </cell>
          <cell r="I369">
            <v>94910</v>
          </cell>
          <cell r="J369">
            <v>81390</v>
          </cell>
          <cell r="K369">
            <v>68270</v>
          </cell>
          <cell r="L369">
            <v>55140</v>
          </cell>
          <cell r="M369">
            <v>42020</v>
          </cell>
          <cell r="N369">
            <v>34700</v>
          </cell>
        </row>
        <row r="370">
          <cell r="C370">
            <v>4360000</v>
          </cell>
          <cell r="D370">
            <v>244020</v>
          </cell>
          <cell r="E370">
            <v>215740</v>
          </cell>
          <cell r="F370">
            <v>153600</v>
          </cell>
          <cell r="G370">
            <v>134850</v>
          </cell>
          <cell r="H370">
            <v>116100</v>
          </cell>
          <cell r="I370">
            <v>97350</v>
          </cell>
          <cell r="J370">
            <v>83100</v>
          </cell>
          <cell r="K370">
            <v>69980</v>
          </cell>
          <cell r="L370">
            <v>56850</v>
          </cell>
          <cell r="M370">
            <v>43730</v>
          </cell>
          <cell r="N370">
            <v>35390</v>
          </cell>
        </row>
        <row r="371">
          <cell r="C371">
            <v>4380000</v>
          </cell>
          <cell r="D371">
            <v>246690</v>
          </cell>
          <cell r="E371">
            <v>218390</v>
          </cell>
          <cell r="F371">
            <v>156050</v>
          </cell>
          <cell r="G371">
            <v>137300</v>
          </cell>
          <cell r="H371">
            <v>118550</v>
          </cell>
          <cell r="I371">
            <v>99800</v>
          </cell>
          <cell r="J371">
            <v>84820</v>
          </cell>
          <cell r="K371">
            <v>71690</v>
          </cell>
          <cell r="L371">
            <v>58570</v>
          </cell>
          <cell r="M371">
            <v>45440</v>
          </cell>
          <cell r="N371">
            <v>36070</v>
          </cell>
        </row>
        <row r="372">
          <cell r="C372">
            <v>4400000</v>
          </cell>
          <cell r="D372">
            <v>249360</v>
          </cell>
          <cell r="E372">
            <v>221050</v>
          </cell>
          <cell r="F372">
            <v>158490</v>
          </cell>
          <cell r="G372">
            <v>139740</v>
          </cell>
          <cell r="H372">
            <v>120990</v>
          </cell>
          <cell r="I372">
            <v>102240</v>
          </cell>
          <cell r="J372">
            <v>86530</v>
          </cell>
          <cell r="K372">
            <v>73400</v>
          </cell>
          <cell r="L372">
            <v>60280</v>
          </cell>
          <cell r="M372">
            <v>47150</v>
          </cell>
          <cell r="N372">
            <v>36760</v>
          </cell>
        </row>
        <row r="373">
          <cell r="C373">
            <v>4420000</v>
          </cell>
          <cell r="D373">
            <v>252030</v>
          </cell>
          <cell r="E373">
            <v>223700</v>
          </cell>
          <cell r="F373">
            <v>160940</v>
          </cell>
          <cell r="G373">
            <v>142190</v>
          </cell>
          <cell r="H373">
            <v>123440</v>
          </cell>
          <cell r="I373">
            <v>104690</v>
          </cell>
          <cell r="J373">
            <v>88240</v>
          </cell>
          <cell r="K373">
            <v>75110</v>
          </cell>
          <cell r="L373">
            <v>61990</v>
          </cell>
          <cell r="M373">
            <v>48860</v>
          </cell>
          <cell r="N373">
            <v>37440</v>
          </cell>
        </row>
        <row r="374">
          <cell r="C374">
            <v>4440000</v>
          </cell>
          <cell r="D374">
            <v>254700</v>
          </cell>
          <cell r="E374">
            <v>226360</v>
          </cell>
          <cell r="F374">
            <v>163380</v>
          </cell>
          <cell r="G374">
            <v>144630</v>
          </cell>
          <cell r="H374">
            <v>125880</v>
          </cell>
          <cell r="I374">
            <v>107130</v>
          </cell>
          <cell r="J374">
            <v>89950</v>
          </cell>
          <cell r="K374">
            <v>76820</v>
          </cell>
          <cell r="L374">
            <v>63700</v>
          </cell>
          <cell r="M374">
            <v>50570</v>
          </cell>
          <cell r="N374">
            <v>38130</v>
          </cell>
        </row>
        <row r="375">
          <cell r="C375">
            <v>4460000</v>
          </cell>
          <cell r="D375">
            <v>257370</v>
          </cell>
          <cell r="E375">
            <v>229010</v>
          </cell>
          <cell r="F375">
            <v>165830</v>
          </cell>
          <cell r="G375">
            <v>147080</v>
          </cell>
          <cell r="H375">
            <v>128330</v>
          </cell>
          <cell r="I375">
            <v>109580</v>
          </cell>
          <cell r="J375">
            <v>91660</v>
          </cell>
          <cell r="K375">
            <v>78540</v>
          </cell>
          <cell r="L375">
            <v>65410</v>
          </cell>
          <cell r="M375">
            <v>52290</v>
          </cell>
          <cell r="N375">
            <v>39160</v>
          </cell>
        </row>
        <row r="376">
          <cell r="C376">
            <v>4480000</v>
          </cell>
          <cell r="D376">
            <v>260040</v>
          </cell>
          <cell r="E376">
            <v>231670</v>
          </cell>
          <cell r="F376">
            <v>168270</v>
          </cell>
          <cell r="G376">
            <v>149520</v>
          </cell>
          <cell r="H376">
            <v>130770</v>
          </cell>
          <cell r="I376">
            <v>112020</v>
          </cell>
          <cell r="J376">
            <v>93370</v>
          </cell>
          <cell r="K376">
            <v>80250</v>
          </cell>
          <cell r="L376">
            <v>67120</v>
          </cell>
          <cell r="M376">
            <v>54000</v>
          </cell>
          <cell r="N376">
            <v>40870</v>
          </cell>
        </row>
        <row r="377">
          <cell r="C377">
            <v>4500000</v>
          </cell>
          <cell r="D377">
            <v>262840</v>
          </cell>
          <cell r="E377">
            <v>234460</v>
          </cell>
          <cell r="F377">
            <v>170850</v>
          </cell>
          <cell r="G377">
            <v>152100</v>
          </cell>
          <cell r="H377">
            <v>133350</v>
          </cell>
          <cell r="I377">
            <v>114600</v>
          </cell>
          <cell r="J377">
            <v>95850</v>
          </cell>
          <cell r="K377">
            <v>82050</v>
          </cell>
          <cell r="L377">
            <v>68930</v>
          </cell>
          <cell r="M377">
            <v>55800</v>
          </cell>
          <cell r="N377">
            <v>42680</v>
          </cell>
        </row>
        <row r="378">
          <cell r="C378">
            <v>4520000</v>
          </cell>
          <cell r="D378">
            <v>265650</v>
          </cell>
          <cell r="E378">
            <v>237250</v>
          </cell>
          <cell r="F378">
            <v>173430</v>
          </cell>
          <cell r="G378">
            <v>154680</v>
          </cell>
          <cell r="H378">
            <v>135930</v>
          </cell>
          <cell r="I378">
            <v>117180</v>
          </cell>
          <cell r="J378">
            <v>98430</v>
          </cell>
          <cell r="K378">
            <v>83860</v>
          </cell>
          <cell r="L378">
            <v>70730</v>
          </cell>
          <cell r="M378">
            <v>57610</v>
          </cell>
          <cell r="N378">
            <v>44480</v>
          </cell>
        </row>
        <row r="379">
          <cell r="C379">
            <v>4540000</v>
          </cell>
          <cell r="D379">
            <v>268450</v>
          </cell>
          <cell r="E379">
            <v>240040</v>
          </cell>
          <cell r="F379">
            <v>176010</v>
          </cell>
          <cell r="G379">
            <v>157260</v>
          </cell>
          <cell r="H379">
            <v>138510</v>
          </cell>
          <cell r="I379">
            <v>119760</v>
          </cell>
          <cell r="J379">
            <v>101010</v>
          </cell>
          <cell r="K379">
            <v>85670</v>
          </cell>
          <cell r="L379">
            <v>72540</v>
          </cell>
          <cell r="M379">
            <v>59420</v>
          </cell>
          <cell r="N379">
            <v>46290</v>
          </cell>
        </row>
        <row r="380">
          <cell r="C380">
            <v>4560000</v>
          </cell>
          <cell r="D380">
            <v>271260</v>
          </cell>
          <cell r="E380">
            <v>242830</v>
          </cell>
          <cell r="F380">
            <v>178590</v>
          </cell>
          <cell r="G380">
            <v>159840</v>
          </cell>
          <cell r="H380">
            <v>141090</v>
          </cell>
          <cell r="I380">
            <v>122340</v>
          </cell>
          <cell r="J380">
            <v>103590</v>
          </cell>
          <cell r="K380">
            <v>87470</v>
          </cell>
          <cell r="L380">
            <v>74350</v>
          </cell>
          <cell r="M380">
            <v>61220</v>
          </cell>
          <cell r="N380">
            <v>48100</v>
          </cell>
        </row>
        <row r="381">
          <cell r="C381">
            <v>4580000</v>
          </cell>
          <cell r="D381">
            <v>276560</v>
          </cell>
          <cell r="E381">
            <v>248120</v>
          </cell>
          <cell r="F381">
            <v>183670</v>
          </cell>
          <cell r="G381">
            <v>164920</v>
          </cell>
          <cell r="H381">
            <v>146170</v>
          </cell>
          <cell r="I381">
            <v>127420</v>
          </cell>
          <cell r="J381">
            <v>108670</v>
          </cell>
          <cell r="K381">
            <v>89920</v>
          </cell>
          <cell r="L381">
            <v>76150</v>
          </cell>
          <cell r="M381">
            <v>63030</v>
          </cell>
          <cell r="N381">
            <v>49900</v>
          </cell>
        </row>
        <row r="382">
          <cell r="C382">
            <v>4600000</v>
          </cell>
          <cell r="D382">
            <v>279370</v>
          </cell>
          <cell r="E382">
            <v>250910</v>
          </cell>
          <cell r="F382">
            <v>186250</v>
          </cell>
          <cell r="G382">
            <v>167500</v>
          </cell>
          <cell r="H382">
            <v>148750</v>
          </cell>
          <cell r="I382">
            <v>130000</v>
          </cell>
          <cell r="J382">
            <v>111250</v>
          </cell>
          <cell r="K382">
            <v>92500</v>
          </cell>
          <cell r="L382">
            <v>77960</v>
          </cell>
          <cell r="M382">
            <v>64830</v>
          </cell>
          <cell r="N382">
            <v>51710</v>
          </cell>
        </row>
        <row r="383">
          <cell r="C383">
            <v>4620000</v>
          </cell>
          <cell r="D383">
            <v>282170</v>
          </cell>
          <cell r="E383">
            <v>253700</v>
          </cell>
          <cell r="F383">
            <v>188830</v>
          </cell>
          <cell r="G383">
            <v>170080</v>
          </cell>
          <cell r="H383">
            <v>151330</v>
          </cell>
          <cell r="I383">
            <v>132580</v>
          </cell>
          <cell r="J383">
            <v>113830</v>
          </cell>
          <cell r="K383">
            <v>95080</v>
          </cell>
          <cell r="L383">
            <v>79760</v>
          </cell>
          <cell r="M383">
            <v>66640</v>
          </cell>
          <cell r="N383">
            <v>53510</v>
          </cell>
        </row>
        <row r="384">
          <cell r="C384">
            <v>4640000</v>
          </cell>
          <cell r="D384">
            <v>284980</v>
          </cell>
          <cell r="E384">
            <v>256490</v>
          </cell>
          <cell r="F384">
            <v>191410</v>
          </cell>
          <cell r="G384">
            <v>172660</v>
          </cell>
          <cell r="H384">
            <v>153910</v>
          </cell>
          <cell r="I384">
            <v>135160</v>
          </cell>
          <cell r="J384">
            <v>116410</v>
          </cell>
          <cell r="K384">
            <v>97660</v>
          </cell>
          <cell r="L384">
            <v>81570</v>
          </cell>
          <cell r="M384">
            <v>68450</v>
          </cell>
          <cell r="N384">
            <v>55320</v>
          </cell>
        </row>
        <row r="385">
          <cell r="C385">
            <v>4660000</v>
          </cell>
          <cell r="D385">
            <v>287780</v>
          </cell>
          <cell r="E385">
            <v>259280</v>
          </cell>
          <cell r="F385">
            <v>193990</v>
          </cell>
          <cell r="G385">
            <v>175240</v>
          </cell>
          <cell r="H385">
            <v>156490</v>
          </cell>
          <cell r="I385">
            <v>137740</v>
          </cell>
          <cell r="J385">
            <v>118990</v>
          </cell>
          <cell r="K385">
            <v>100240</v>
          </cell>
          <cell r="L385">
            <v>83380</v>
          </cell>
          <cell r="M385">
            <v>70250</v>
          </cell>
          <cell r="N385">
            <v>57130</v>
          </cell>
        </row>
        <row r="386">
          <cell r="C386">
            <v>4680000</v>
          </cell>
          <cell r="D386">
            <v>290590</v>
          </cell>
          <cell r="E386">
            <v>262070</v>
          </cell>
          <cell r="F386">
            <v>196570</v>
          </cell>
          <cell r="G386">
            <v>177820</v>
          </cell>
          <cell r="H386">
            <v>159070</v>
          </cell>
          <cell r="I386">
            <v>140320</v>
          </cell>
          <cell r="J386">
            <v>121570</v>
          </cell>
          <cell r="K386">
            <v>102820</v>
          </cell>
          <cell r="L386">
            <v>85180</v>
          </cell>
          <cell r="M386">
            <v>72060</v>
          </cell>
          <cell r="N386">
            <v>58930</v>
          </cell>
        </row>
        <row r="387">
          <cell r="C387">
            <v>4700000</v>
          </cell>
          <cell r="D387">
            <v>293390</v>
          </cell>
          <cell r="E387">
            <v>264860</v>
          </cell>
          <cell r="F387">
            <v>199150</v>
          </cell>
          <cell r="G387">
            <v>180400</v>
          </cell>
          <cell r="H387">
            <v>161650</v>
          </cell>
          <cell r="I387">
            <v>142900</v>
          </cell>
          <cell r="J387">
            <v>124150</v>
          </cell>
          <cell r="K387">
            <v>105400</v>
          </cell>
          <cell r="L387">
            <v>86990</v>
          </cell>
          <cell r="M387">
            <v>73860</v>
          </cell>
          <cell r="N387">
            <v>60740</v>
          </cell>
        </row>
        <row r="388">
          <cell r="C388">
            <v>4720000</v>
          </cell>
          <cell r="D388">
            <v>296200</v>
          </cell>
          <cell r="E388">
            <v>267650</v>
          </cell>
          <cell r="F388">
            <v>201730</v>
          </cell>
          <cell r="G388">
            <v>182980</v>
          </cell>
          <cell r="H388">
            <v>164230</v>
          </cell>
          <cell r="I388">
            <v>145480</v>
          </cell>
          <cell r="J388">
            <v>126730</v>
          </cell>
          <cell r="K388">
            <v>107980</v>
          </cell>
          <cell r="L388">
            <v>89230</v>
          </cell>
          <cell r="M388">
            <v>75670</v>
          </cell>
          <cell r="N388">
            <v>62540</v>
          </cell>
        </row>
        <row r="389">
          <cell r="C389">
            <v>4740000</v>
          </cell>
          <cell r="D389">
            <v>299000</v>
          </cell>
          <cell r="E389">
            <v>270440</v>
          </cell>
          <cell r="F389">
            <v>204310</v>
          </cell>
          <cell r="G389">
            <v>185560</v>
          </cell>
          <cell r="H389">
            <v>166810</v>
          </cell>
          <cell r="I389">
            <v>148060</v>
          </cell>
          <cell r="J389">
            <v>129310</v>
          </cell>
          <cell r="K389">
            <v>110560</v>
          </cell>
          <cell r="L389">
            <v>91810</v>
          </cell>
          <cell r="M389">
            <v>77480</v>
          </cell>
          <cell r="N389">
            <v>64350</v>
          </cell>
        </row>
        <row r="390">
          <cell r="C390">
            <v>4760000</v>
          </cell>
          <cell r="D390">
            <v>301810</v>
          </cell>
          <cell r="E390">
            <v>273230</v>
          </cell>
          <cell r="F390">
            <v>206890</v>
          </cell>
          <cell r="G390">
            <v>188140</v>
          </cell>
          <cell r="H390">
            <v>169390</v>
          </cell>
          <cell r="I390">
            <v>150640</v>
          </cell>
          <cell r="J390">
            <v>131890</v>
          </cell>
          <cell r="K390">
            <v>113140</v>
          </cell>
          <cell r="L390">
            <v>94390</v>
          </cell>
          <cell r="M390">
            <v>79280</v>
          </cell>
          <cell r="N390">
            <v>66160</v>
          </cell>
        </row>
        <row r="391">
          <cell r="C391">
            <v>4780000</v>
          </cell>
          <cell r="D391">
            <v>304610</v>
          </cell>
          <cell r="E391">
            <v>276020</v>
          </cell>
          <cell r="F391">
            <v>209470</v>
          </cell>
          <cell r="G391">
            <v>190720</v>
          </cell>
          <cell r="H391">
            <v>171970</v>
          </cell>
          <cell r="I391">
            <v>153220</v>
          </cell>
          <cell r="J391">
            <v>134470</v>
          </cell>
          <cell r="K391">
            <v>115720</v>
          </cell>
          <cell r="L391">
            <v>96970</v>
          </cell>
          <cell r="M391">
            <v>81090</v>
          </cell>
          <cell r="N391">
            <v>67960</v>
          </cell>
        </row>
        <row r="392">
          <cell r="C392">
            <v>4800000</v>
          </cell>
          <cell r="D392">
            <v>307420</v>
          </cell>
          <cell r="E392">
            <v>278810</v>
          </cell>
          <cell r="F392">
            <v>212050</v>
          </cell>
          <cell r="G392">
            <v>193300</v>
          </cell>
          <cell r="H392">
            <v>174550</v>
          </cell>
          <cell r="I392">
            <v>155800</v>
          </cell>
          <cell r="J392">
            <v>137050</v>
          </cell>
          <cell r="K392">
            <v>118300</v>
          </cell>
          <cell r="L392">
            <v>99550</v>
          </cell>
          <cell r="M392">
            <v>82890</v>
          </cell>
          <cell r="N392">
            <v>69770</v>
          </cell>
        </row>
        <row r="393">
          <cell r="C393">
            <v>4820000</v>
          </cell>
          <cell r="D393">
            <v>310220</v>
          </cell>
          <cell r="E393">
            <v>281600</v>
          </cell>
          <cell r="F393">
            <v>214630</v>
          </cell>
          <cell r="G393">
            <v>195880</v>
          </cell>
          <cell r="H393">
            <v>177130</v>
          </cell>
          <cell r="I393">
            <v>158380</v>
          </cell>
          <cell r="J393">
            <v>139630</v>
          </cell>
          <cell r="K393">
            <v>120880</v>
          </cell>
          <cell r="L393">
            <v>102130</v>
          </cell>
          <cell r="M393">
            <v>84700</v>
          </cell>
          <cell r="N393">
            <v>71570</v>
          </cell>
        </row>
        <row r="394">
          <cell r="C394">
            <v>4840000</v>
          </cell>
          <cell r="D394">
            <v>313030</v>
          </cell>
          <cell r="E394">
            <v>284390</v>
          </cell>
          <cell r="F394">
            <v>217210</v>
          </cell>
          <cell r="G394">
            <v>198460</v>
          </cell>
          <cell r="H394">
            <v>179710</v>
          </cell>
          <cell r="I394">
            <v>160960</v>
          </cell>
          <cell r="J394">
            <v>142210</v>
          </cell>
          <cell r="K394">
            <v>123460</v>
          </cell>
          <cell r="L394">
            <v>104710</v>
          </cell>
          <cell r="M394">
            <v>86510</v>
          </cell>
          <cell r="N394">
            <v>73380</v>
          </cell>
        </row>
        <row r="395">
          <cell r="C395">
            <v>4860000</v>
          </cell>
          <cell r="D395">
            <v>315830</v>
          </cell>
          <cell r="E395">
            <v>287180</v>
          </cell>
          <cell r="F395">
            <v>219790</v>
          </cell>
          <cell r="G395">
            <v>201040</v>
          </cell>
          <cell r="H395">
            <v>182290</v>
          </cell>
          <cell r="I395">
            <v>163540</v>
          </cell>
          <cell r="J395">
            <v>144790</v>
          </cell>
          <cell r="K395">
            <v>126040</v>
          </cell>
          <cell r="L395">
            <v>107290</v>
          </cell>
          <cell r="M395">
            <v>88540</v>
          </cell>
          <cell r="N395">
            <v>75190</v>
          </cell>
        </row>
        <row r="396">
          <cell r="C396">
            <v>4880000</v>
          </cell>
          <cell r="D396">
            <v>318640</v>
          </cell>
          <cell r="E396">
            <v>289970</v>
          </cell>
          <cell r="F396">
            <v>222370</v>
          </cell>
          <cell r="G396">
            <v>203620</v>
          </cell>
          <cell r="H396">
            <v>184870</v>
          </cell>
          <cell r="I396">
            <v>166120</v>
          </cell>
          <cell r="J396">
            <v>147370</v>
          </cell>
          <cell r="K396">
            <v>128620</v>
          </cell>
          <cell r="L396">
            <v>109870</v>
          </cell>
          <cell r="M396">
            <v>91120</v>
          </cell>
          <cell r="N396">
            <v>76990</v>
          </cell>
        </row>
        <row r="397">
          <cell r="C397">
            <v>4900000</v>
          </cell>
          <cell r="D397">
            <v>321440</v>
          </cell>
          <cell r="E397">
            <v>292760</v>
          </cell>
          <cell r="F397">
            <v>224950</v>
          </cell>
          <cell r="G397">
            <v>206200</v>
          </cell>
          <cell r="H397">
            <v>187450</v>
          </cell>
          <cell r="I397">
            <v>168700</v>
          </cell>
          <cell r="J397">
            <v>149950</v>
          </cell>
          <cell r="K397">
            <v>131200</v>
          </cell>
          <cell r="L397">
            <v>112450</v>
          </cell>
          <cell r="M397">
            <v>93700</v>
          </cell>
          <cell r="N397">
            <v>78800</v>
          </cell>
        </row>
        <row r="398">
          <cell r="C398">
            <v>4920000</v>
          </cell>
          <cell r="D398">
            <v>324250</v>
          </cell>
          <cell r="E398">
            <v>295550</v>
          </cell>
          <cell r="F398">
            <v>227530</v>
          </cell>
          <cell r="G398">
            <v>208780</v>
          </cell>
          <cell r="H398">
            <v>190030</v>
          </cell>
          <cell r="I398">
            <v>171280</v>
          </cell>
          <cell r="J398">
            <v>152530</v>
          </cell>
          <cell r="K398">
            <v>133780</v>
          </cell>
          <cell r="L398">
            <v>115030</v>
          </cell>
          <cell r="M398">
            <v>96280</v>
          </cell>
          <cell r="N398">
            <v>80600</v>
          </cell>
        </row>
        <row r="399">
          <cell r="C399">
            <v>4940000</v>
          </cell>
          <cell r="D399">
            <v>327050</v>
          </cell>
          <cell r="E399">
            <v>298340</v>
          </cell>
          <cell r="F399">
            <v>230110</v>
          </cell>
          <cell r="G399">
            <v>211360</v>
          </cell>
          <cell r="H399">
            <v>192610</v>
          </cell>
          <cell r="I399">
            <v>173860</v>
          </cell>
          <cell r="J399">
            <v>155110</v>
          </cell>
          <cell r="K399">
            <v>136360</v>
          </cell>
          <cell r="L399">
            <v>117610</v>
          </cell>
          <cell r="M399">
            <v>98860</v>
          </cell>
          <cell r="N399">
            <v>82410</v>
          </cell>
        </row>
        <row r="400">
          <cell r="C400">
            <v>4960000</v>
          </cell>
          <cell r="D400">
            <v>329860</v>
          </cell>
          <cell r="E400">
            <v>301130</v>
          </cell>
          <cell r="F400">
            <v>232690</v>
          </cell>
          <cell r="G400">
            <v>213940</v>
          </cell>
          <cell r="H400">
            <v>195190</v>
          </cell>
          <cell r="I400">
            <v>176440</v>
          </cell>
          <cell r="J400">
            <v>157690</v>
          </cell>
          <cell r="K400">
            <v>138940</v>
          </cell>
          <cell r="L400">
            <v>120190</v>
          </cell>
          <cell r="M400">
            <v>101440</v>
          </cell>
          <cell r="N400">
            <v>84220</v>
          </cell>
        </row>
        <row r="401">
          <cell r="C401">
            <v>4980000</v>
          </cell>
          <cell r="D401">
            <v>332660</v>
          </cell>
          <cell r="E401">
            <v>303920</v>
          </cell>
          <cell r="F401">
            <v>235270</v>
          </cell>
          <cell r="G401">
            <v>216520</v>
          </cell>
          <cell r="H401">
            <v>197770</v>
          </cell>
          <cell r="I401">
            <v>179020</v>
          </cell>
          <cell r="J401">
            <v>160270</v>
          </cell>
          <cell r="K401">
            <v>141520</v>
          </cell>
          <cell r="L401">
            <v>122770</v>
          </cell>
          <cell r="M401">
            <v>104020</v>
          </cell>
          <cell r="N401">
            <v>86020</v>
          </cell>
        </row>
        <row r="402">
          <cell r="C402">
            <v>5000000</v>
          </cell>
          <cell r="D402">
            <v>335470</v>
          </cell>
          <cell r="E402">
            <v>306710</v>
          </cell>
          <cell r="F402">
            <v>237850</v>
          </cell>
          <cell r="G402">
            <v>219100</v>
          </cell>
          <cell r="H402">
            <v>200350</v>
          </cell>
          <cell r="I402">
            <v>181600</v>
          </cell>
          <cell r="J402">
            <v>162850</v>
          </cell>
          <cell r="K402">
            <v>144100</v>
          </cell>
          <cell r="L402">
            <v>125350</v>
          </cell>
          <cell r="M402">
            <v>106600</v>
          </cell>
          <cell r="N402">
            <v>87850</v>
          </cell>
        </row>
        <row r="403">
          <cell r="C403">
            <v>5020000</v>
          </cell>
          <cell r="D403">
            <v>338270</v>
          </cell>
          <cell r="E403">
            <v>309500</v>
          </cell>
          <cell r="F403">
            <v>240430</v>
          </cell>
          <cell r="G403">
            <v>221680</v>
          </cell>
          <cell r="H403">
            <v>202930</v>
          </cell>
          <cell r="I403">
            <v>184180</v>
          </cell>
          <cell r="J403">
            <v>165430</v>
          </cell>
          <cell r="K403">
            <v>146680</v>
          </cell>
          <cell r="L403">
            <v>127930</v>
          </cell>
          <cell r="M403">
            <v>109180</v>
          </cell>
          <cell r="N403">
            <v>90430</v>
          </cell>
        </row>
        <row r="404">
          <cell r="C404">
            <v>5040000</v>
          </cell>
          <cell r="D404">
            <v>341080</v>
          </cell>
          <cell r="E404">
            <v>312290</v>
          </cell>
          <cell r="F404">
            <v>243010</v>
          </cell>
          <cell r="G404">
            <v>224260</v>
          </cell>
          <cell r="H404">
            <v>205510</v>
          </cell>
          <cell r="I404">
            <v>186760</v>
          </cell>
          <cell r="J404">
            <v>168010</v>
          </cell>
          <cell r="K404">
            <v>149260</v>
          </cell>
          <cell r="L404">
            <v>130510</v>
          </cell>
          <cell r="M404">
            <v>111760</v>
          </cell>
          <cell r="N404">
            <v>93010</v>
          </cell>
        </row>
        <row r="405">
          <cell r="C405">
            <v>5060000</v>
          </cell>
          <cell r="D405">
            <v>343880</v>
          </cell>
          <cell r="E405">
            <v>315080</v>
          </cell>
          <cell r="F405">
            <v>245590</v>
          </cell>
          <cell r="G405">
            <v>226840</v>
          </cell>
          <cell r="H405">
            <v>208090</v>
          </cell>
          <cell r="I405">
            <v>189340</v>
          </cell>
          <cell r="J405">
            <v>170590</v>
          </cell>
          <cell r="K405">
            <v>151840</v>
          </cell>
          <cell r="L405">
            <v>133090</v>
          </cell>
          <cell r="M405">
            <v>114340</v>
          </cell>
          <cell r="N405">
            <v>95590</v>
          </cell>
        </row>
        <row r="406">
          <cell r="C406">
            <v>5080000</v>
          </cell>
          <cell r="D406">
            <v>346690</v>
          </cell>
          <cell r="E406">
            <v>317870</v>
          </cell>
          <cell r="F406">
            <v>248170</v>
          </cell>
          <cell r="G406">
            <v>229420</v>
          </cell>
          <cell r="H406">
            <v>210670</v>
          </cell>
          <cell r="I406">
            <v>191920</v>
          </cell>
          <cell r="J406">
            <v>173170</v>
          </cell>
          <cell r="K406">
            <v>154420</v>
          </cell>
          <cell r="L406">
            <v>135670</v>
          </cell>
          <cell r="M406">
            <v>116920</v>
          </cell>
          <cell r="N406">
            <v>98170</v>
          </cell>
        </row>
        <row r="407">
          <cell r="C407">
            <v>5100000</v>
          </cell>
          <cell r="D407">
            <v>349490</v>
          </cell>
          <cell r="E407">
            <v>320660</v>
          </cell>
          <cell r="F407">
            <v>250750</v>
          </cell>
          <cell r="G407">
            <v>232000</v>
          </cell>
          <cell r="H407">
            <v>213250</v>
          </cell>
          <cell r="I407">
            <v>194500</v>
          </cell>
          <cell r="J407">
            <v>175750</v>
          </cell>
          <cell r="K407">
            <v>157000</v>
          </cell>
          <cell r="L407">
            <v>138250</v>
          </cell>
          <cell r="M407">
            <v>119500</v>
          </cell>
          <cell r="N407">
            <v>100750</v>
          </cell>
        </row>
        <row r="408">
          <cell r="C408">
            <v>5120000</v>
          </cell>
          <cell r="D408">
            <v>352300</v>
          </cell>
          <cell r="E408">
            <v>323450</v>
          </cell>
          <cell r="F408">
            <v>253330</v>
          </cell>
          <cell r="G408">
            <v>234580</v>
          </cell>
          <cell r="H408">
            <v>215830</v>
          </cell>
          <cell r="I408">
            <v>197080</v>
          </cell>
          <cell r="J408">
            <v>178330</v>
          </cell>
          <cell r="K408">
            <v>159580</v>
          </cell>
          <cell r="L408">
            <v>140830</v>
          </cell>
          <cell r="M408">
            <v>122080</v>
          </cell>
          <cell r="N408">
            <v>103330</v>
          </cell>
        </row>
        <row r="409">
          <cell r="C409">
            <v>5140000</v>
          </cell>
          <cell r="D409">
            <v>355100</v>
          </cell>
          <cell r="E409">
            <v>326240</v>
          </cell>
          <cell r="F409">
            <v>255910</v>
          </cell>
          <cell r="G409">
            <v>237160</v>
          </cell>
          <cell r="H409">
            <v>218410</v>
          </cell>
          <cell r="I409">
            <v>199660</v>
          </cell>
          <cell r="J409">
            <v>180910</v>
          </cell>
          <cell r="K409">
            <v>162160</v>
          </cell>
          <cell r="L409">
            <v>143410</v>
          </cell>
          <cell r="M409">
            <v>124660</v>
          </cell>
          <cell r="N409">
            <v>105910</v>
          </cell>
        </row>
        <row r="410">
          <cell r="C410">
            <v>5160000</v>
          </cell>
          <cell r="D410">
            <v>357910</v>
          </cell>
          <cell r="E410">
            <v>329030</v>
          </cell>
          <cell r="F410">
            <v>258490</v>
          </cell>
          <cell r="G410">
            <v>239740</v>
          </cell>
          <cell r="H410">
            <v>220990</v>
          </cell>
          <cell r="I410">
            <v>202240</v>
          </cell>
          <cell r="J410">
            <v>183490</v>
          </cell>
          <cell r="K410">
            <v>164740</v>
          </cell>
          <cell r="L410">
            <v>145990</v>
          </cell>
          <cell r="M410">
            <v>127240</v>
          </cell>
          <cell r="N410">
            <v>108490</v>
          </cell>
        </row>
        <row r="411">
          <cell r="C411">
            <v>5180000</v>
          </cell>
          <cell r="D411">
            <v>360710</v>
          </cell>
          <cell r="E411">
            <v>331820</v>
          </cell>
          <cell r="F411">
            <v>261070</v>
          </cell>
          <cell r="G411">
            <v>242320</v>
          </cell>
          <cell r="H411">
            <v>223570</v>
          </cell>
          <cell r="I411">
            <v>204820</v>
          </cell>
          <cell r="J411">
            <v>186070</v>
          </cell>
          <cell r="K411">
            <v>167320</v>
          </cell>
          <cell r="L411">
            <v>148570</v>
          </cell>
          <cell r="M411">
            <v>129820</v>
          </cell>
          <cell r="N411">
            <v>111070</v>
          </cell>
        </row>
        <row r="412">
          <cell r="C412">
            <v>5200000</v>
          </cell>
          <cell r="D412">
            <v>363520</v>
          </cell>
          <cell r="E412">
            <v>334610</v>
          </cell>
          <cell r="F412">
            <v>263650</v>
          </cell>
          <cell r="G412">
            <v>244900</v>
          </cell>
          <cell r="H412">
            <v>226150</v>
          </cell>
          <cell r="I412">
            <v>207400</v>
          </cell>
          <cell r="J412">
            <v>188650</v>
          </cell>
          <cell r="K412">
            <v>169900</v>
          </cell>
          <cell r="L412">
            <v>151150</v>
          </cell>
          <cell r="M412">
            <v>132400</v>
          </cell>
          <cell r="N412">
            <v>113650</v>
          </cell>
        </row>
        <row r="413">
          <cell r="C413">
            <v>5220000</v>
          </cell>
          <cell r="D413">
            <v>366320</v>
          </cell>
          <cell r="E413">
            <v>337400</v>
          </cell>
          <cell r="F413">
            <v>266230</v>
          </cell>
          <cell r="G413">
            <v>247480</v>
          </cell>
          <cell r="H413">
            <v>228730</v>
          </cell>
          <cell r="I413">
            <v>209980</v>
          </cell>
          <cell r="J413">
            <v>191230</v>
          </cell>
          <cell r="K413">
            <v>172480</v>
          </cell>
          <cell r="L413">
            <v>153730</v>
          </cell>
          <cell r="M413">
            <v>134980</v>
          </cell>
          <cell r="N413">
            <v>116230</v>
          </cell>
        </row>
        <row r="414">
          <cell r="C414">
            <v>5240000</v>
          </cell>
          <cell r="D414">
            <v>369130</v>
          </cell>
          <cell r="E414">
            <v>340190</v>
          </cell>
          <cell r="F414">
            <v>268810</v>
          </cell>
          <cell r="G414">
            <v>250060</v>
          </cell>
          <cell r="H414">
            <v>231310</v>
          </cell>
          <cell r="I414">
            <v>212560</v>
          </cell>
          <cell r="J414">
            <v>193810</v>
          </cell>
          <cell r="K414">
            <v>175060</v>
          </cell>
          <cell r="L414">
            <v>156310</v>
          </cell>
          <cell r="M414">
            <v>137560</v>
          </cell>
          <cell r="N414">
            <v>118810</v>
          </cell>
        </row>
        <row r="415">
          <cell r="C415">
            <v>5260000</v>
          </cell>
          <cell r="D415">
            <v>371930</v>
          </cell>
          <cell r="E415">
            <v>342980</v>
          </cell>
          <cell r="F415">
            <v>271390</v>
          </cell>
          <cell r="G415">
            <v>252640</v>
          </cell>
          <cell r="H415">
            <v>233890</v>
          </cell>
          <cell r="I415">
            <v>215140</v>
          </cell>
          <cell r="J415">
            <v>196390</v>
          </cell>
          <cell r="K415">
            <v>177640</v>
          </cell>
          <cell r="L415">
            <v>158890</v>
          </cell>
          <cell r="M415">
            <v>140140</v>
          </cell>
          <cell r="N415">
            <v>121390</v>
          </cell>
        </row>
        <row r="416">
          <cell r="C416">
            <v>5280000</v>
          </cell>
          <cell r="D416">
            <v>374740</v>
          </cell>
          <cell r="E416">
            <v>345770</v>
          </cell>
          <cell r="F416">
            <v>273970</v>
          </cell>
          <cell r="G416">
            <v>255220</v>
          </cell>
          <cell r="H416">
            <v>236470</v>
          </cell>
          <cell r="I416">
            <v>217720</v>
          </cell>
          <cell r="J416">
            <v>198970</v>
          </cell>
          <cell r="K416">
            <v>180220</v>
          </cell>
          <cell r="L416">
            <v>161470</v>
          </cell>
          <cell r="M416">
            <v>142720</v>
          </cell>
          <cell r="N416">
            <v>123970</v>
          </cell>
        </row>
        <row r="417">
          <cell r="C417">
            <v>5300000</v>
          </cell>
          <cell r="D417">
            <v>377540</v>
          </cell>
          <cell r="E417">
            <v>348560</v>
          </cell>
          <cell r="F417">
            <v>276550</v>
          </cell>
          <cell r="G417">
            <v>257800</v>
          </cell>
          <cell r="H417">
            <v>239050</v>
          </cell>
          <cell r="I417">
            <v>220300</v>
          </cell>
          <cell r="J417">
            <v>201550</v>
          </cell>
          <cell r="K417">
            <v>182800</v>
          </cell>
          <cell r="L417">
            <v>164050</v>
          </cell>
          <cell r="M417">
            <v>145300</v>
          </cell>
          <cell r="N417">
            <v>126550</v>
          </cell>
        </row>
        <row r="418">
          <cell r="C418">
            <v>5320000</v>
          </cell>
          <cell r="D418">
            <v>380350</v>
          </cell>
          <cell r="E418">
            <v>351350</v>
          </cell>
          <cell r="F418">
            <v>279130</v>
          </cell>
          <cell r="G418">
            <v>260380</v>
          </cell>
          <cell r="H418">
            <v>241630</v>
          </cell>
          <cell r="I418">
            <v>222880</v>
          </cell>
          <cell r="J418">
            <v>204130</v>
          </cell>
          <cell r="K418">
            <v>185380</v>
          </cell>
          <cell r="L418">
            <v>166630</v>
          </cell>
          <cell r="M418">
            <v>147880</v>
          </cell>
          <cell r="N418">
            <v>129130</v>
          </cell>
        </row>
        <row r="419">
          <cell r="C419">
            <v>5340000</v>
          </cell>
          <cell r="D419">
            <v>383150</v>
          </cell>
          <cell r="E419">
            <v>354140</v>
          </cell>
          <cell r="F419">
            <v>281710</v>
          </cell>
          <cell r="G419">
            <v>262960</v>
          </cell>
          <cell r="H419">
            <v>244210</v>
          </cell>
          <cell r="I419">
            <v>225460</v>
          </cell>
          <cell r="J419">
            <v>206710</v>
          </cell>
          <cell r="K419">
            <v>187960</v>
          </cell>
          <cell r="L419">
            <v>169210</v>
          </cell>
          <cell r="M419">
            <v>150460</v>
          </cell>
          <cell r="N419">
            <v>131710</v>
          </cell>
        </row>
        <row r="420">
          <cell r="C420">
            <v>5360000</v>
          </cell>
          <cell r="D420">
            <v>385960</v>
          </cell>
          <cell r="E420">
            <v>356930</v>
          </cell>
          <cell r="F420">
            <v>284290</v>
          </cell>
          <cell r="G420">
            <v>265540</v>
          </cell>
          <cell r="H420">
            <v>246790</v>
          </cell>
          <cell r="I420">
            <v>228040</v>
          </cell>
          <cell r="J420">
            <v>209290</v>
          </cell>
          <cell r="K420">
            <v>190540</v>
          </cell>
          <cell r="L420">
            <v>171790</v>
          </cell>
          <cell r="M420">
            <v>153040</v>
          </cell>
          <cell r="N420">
            <v>134290</v>
          </cell>
        </row>
        <row r="421">
          <cell r="C421">
            <v>5380000</v>
          </cell>
          <cell r="D421">
            <v>388760</v>
          </cell>
          <cell r="E421">
            <v>359720</v>
          </cell>
          <cell r="F421">
            <v>286870</v>
          </cell>
          <cell r="G421">
            <v>268120</v>
          </cell>
          <cell r="H421">
            <v>249370</v>
          </cell>
          <cell r="I421">
            <v>230620</v>
          </cell>
          <cell r="J421">
            <v>211870</v>
          </cell>
          <cell r="K421">
            <v>193120</v>
          </cell>
          <cell r="L421">
            <v>174370</v>
          </cell>
          <cell r="M421">
            <v>155620</v>
          </cell>
          <cell r="N421">
            <v>136870</v>
          </cell>
        </row>
        <row r="422">
          <cell r="C422">
            <v>5400000</v>
          </cell>
          <cell r="D422">
            <v>391570</v>
          </cell>
          <cell r="E422">
            <v>362510</v>
          </cell>
          <cell r="F422">
            <v>289450</v>
          </cell>
          <cell r="G422">
            <v>270700</v>
          </cell>
          <cell r="H422">
            <v>251950</v>
          </cell>
          <cell r="I422">
            <v>233200</v>
          </cell>
          <cell r="J422">
            <v>214450</v>
          </cell>
          <cell r="K422">
            <v>195700</v>
          </cell>
          <cell r="L422">
            <v>176950</v>
          </cell>
          <cell r="M422">
            <v>158200</v>
          </cell>
          <cell r="N422">
            <v>139450</v>
          </cell>
        </row>
        <row r="423">
          <cell r="C423">
            <v>5420000</v>
          </cell>
          <cell r="D423">
            <v>394370</v>
          </cell>
          <cell r="E423">
            <v>365300</v>
          </cell>
          <cell r="F423">
            <v>292030</v>
          </cell>
          <cell r="G423">
            <v>273280</v>
          </cell>
          <cell r="H423">
            <v>254530</v>
          </cell>
          <cell r="I423">
            <v>235780</v>
          </cell>
          <cell r="J423">
            <v>217030</v>
          </cell>
          <cell r="K423">
            <v>198280</v>
          </cell>
          <cell r="L423">
            <v>179530</v>
          </cell>
          <cell r="M423">
            <v>160780</v>
          </cell>
          <cell r="N423">
            <v>142030</v>
          </cell>
        </row>
        <row r="424">
          <cell r="C424">
            <v>5440000</v>
          </cell>
          <cell r="D424">
            <v>397180</v>
          </cell>
          <cell r="E424">
            <v>368090</v>
          </cell>
          <cell r="F424">
            <v>294610</v>
          </cell>
          <cell r="G424">
            <v>275860</v>
          </cell>
          <cell r="H424">
            <v>257110</v>
          </cell>
          <cell r="I424">
            <v>238360</v>
          </cell>
          <cell r="J424">
            <v>219610</v>
          </cell>
          <cell r="K424">
            <v>200860</v>
          </cell>
          <cell r="L424">
            <v>182110</v>
          </cell>
          <cell r="M424">
            <v>163360</v>
          </cell>
          <cell r="N424">
            <v>144610</v>
          </cell>
        </row>
        <row r="425">
          <cell r="C425">
            <v>5460000</v>
          </cell>
          <cell r="D425">
            <v>399980</v>
          </cell>
          <cell r="E425">
            <v>370880</v>
          </cell>
          <cell r="F425">
            <v>297190</v>
          </cell>
          <cell r="G425">
            <v>278440</v>
          </cell>
          <cell r="H425">
            <v>259690</v>
          </cell>
          <cell r="I425">
            <v>240940</v>
          </cell>
          <cell r="J425">
            <v>222190</v>
          </cell>
          <cell r="K425">
            <v>203440</v>
          </cell>
          <cell r="L425">
            <v>184690</v>
          </cell>
          <cell r="M425">
            <v>165940</v>
          </cell>
          <cell r="N425">
            <v>147190</v>
          </cell>
        </row>
        <row r="426">
          <cell r="C426">
            <v>5480000</v>
          </cell>
          <cell r="D426">
            <v>402790</v>
          </cell>
          <cell r="E426">
            <v>373670</v>
          </cell>
          <cell r="F426">
            <v>299770</v>
          </cell>
          <cell r="G426">
            <v>281020</v>
          </cell>
          <cell r="H426">
            <v>262270</v>
          </cell>
          <cell r="I426">
            <v>243520</v>
          </cell>
          <cell r="J426">
            <v>224770</v>
          </cell>
          <cell r="K426">
            <v>206020</v>
          </cell>
          <cell r="L426">
            <v>187270</v>
          </cell>
          <cell r="M426">
            <v>168520</v>
          </cell>
          <cell r="N426">
            <v>149770</v>
          </cell>
        </row>
        <row r="427">
          <cell r="C427">
            <v>5500000</v>
          </cell>
          <cell r="D427">
            <v>405590</v>
          </cell>
          <cell r="E427">
            <v>376460</v>
          </cell>
          <cell r="F427">
            <v>302350</v>
          </cell>
          <cell r="G427">
            <v>283600</v>
          </cell>
          <cell r="H427">
            <v>264850</v>
          </cell>
          <cell r="I427">
            <v>246100</v>
          </cell>
          <cell r="J427">
            <v>227350</v>
          </cell>
          <cell r="K427">
            <v>208600</v>
          </cell>
          <cell r="L427">
            <v>189850</v>
          </cell>
          <cell r="M427">
            <v>171100</v>
          </cell>
          <cell r="N427">
            <v>152350</v>
          </cell>
        </row>
        <row r="428">
          <cell r="C428">
            <v>5520000</v>
          </cell>
          <cell r="D428">
            <v>408400</v>
          </cell>
          <cell r="E428">
            <v>379250</v>
          </cell>
          <cell r="F428">
            <v>304930</v>
          </cell>
          <cell r="G428">
            <v>286180</v>
          </cell>
          <cell r="H428">
            <v>267430</v>
          </cell>
          <cell r="I428">
            <v>248680</v>
          </cell>
          <cell r="J428">
            <v>229930</v>
          </cell>
          <cell r="K428">
            <v>211180</v>
          </cell>
          <cell r="L428">
            <v>192430</v>
          </cell>
          <cell r="M428">
            <v>173680</v>
          </cell>
          <cell r="N428">
            <v>154930</v>
          </cell>
        </row>
        <row r="429">
          <cell r="C429">
            <v>5540000</v>
          </cell>
          <cell r="D429">
            <v>411200</v>
          </cell>
          <cell r="E429">
            <v>382040</v>
          </cell>
          <cell r="F429">
            <v>307510</v>
          </cell>
          <cell r="G429">
            <v>288760</v>
          </cell>
          <cell r="H429">
            <v>270010</v>
          </cell>
          <cell r="I429">
            <v>251260</v>
          </cell>
          <cell r="J429">
            <v>232510</v>
          </cell>
          <cell r="K429">
            <v>213760</v>
          </cell>
          <cell r="L429">
            <v>195010</v>
          </cell>
          <cell r="M429">
            <v>176260</v>
          </cell>
          <cell r="N429">
            <v>157510</v>
          </cell>
        </row>
        <row r="430">
          <cell r="C430">
            <v>5560000</v>
          </cell>
          <cell r="D430">
            <v>414010</v>
          </cell>
          <cell r="E430">
            <v>384830</v>
          </cell>
          <cell r="F430">
            <v>310090</v>
          </cell>
          <cell r="G430">
            <v>291340</v>
          </cell>
          <cell r="H430">
            <v>272590</v>
          </cell>
          <cell r="I430">
            <v>253840</v>
          </cell>
          <cell r="J430">
            <v>235090</v>
          </cell>
          <cell r="K430">
            <v>216340</v>
          </cell>
          <cell r="L430">
            <v>197590</v>
          </cell>
          <cell r="M430">
            <v>178840</v>
          </cell>
          <cell r="N430">
            <v>160090</v>
          </cell>
        </row>
        <row r="431">
          <cell r="C431">
            <v>5580000</v>
          </cell>
          <cell r="D431">
            <v>416810</v>
          </cell>
          <cell r="E431">
            <v>387620</v>
          </cell>
          <cell r="F431">
            <v>312670</v>
          </cell>
          <cell r="G431">
            <v>293920</v>
          </cell>
          <cell r="H431">
            <v>275170</v>
          </cell>
          <cell r="I431">
            <v>256420</v>
          </cell>
          <cell r="J431">
            <v>237670</v>
          </cell>
          <cell r="K431">
            <v>218920</v>
          </cell>
          <cell r="L431">
            <v>200170</v>
          </cell>
          <cell r="M431">
            <v>181420</v>
          </cell>
          <cell r="N431">
            <v>162670</v>
          </cell>
        </row>
        <row r="432">
          <cell r="C432">
            <v>5600000</v>
          </cell>
          <cell r="D432">
            <v>419620</v>
          </cell>
          <cell r="E432">
            <v>390410</v>
          </cell>
          <cell r="F432">
            <v>315250</v>
          </cell>
          <cell r="G432">
            <v>296500</v>
          </cell>
          <cell r="H432">
            <v>277750</v>
          </cell>
          <cell r="I432">
            <v>259000</v>
          </cell>
          <cell r="J432">
            <v>240250</v>
          </cell>
          <cell r="K432">
            <v>221500</v>
          </cell>
          <cell r="L432">
            <v>202750</v>
          </cell>
          <cell r="M432">
            <v>184000</v>
          </cell>
          <cell r="N432">
            <v>165250</v>
          </cell>
        </row>
        <row r="433">
          <cell r="C433">
            <v>5620000</v>
          </cell>
          <cell r="D433">
            <v>422420</v>
          </cell>
          <cell r="E433">
            <v>393200</v>
          </cell>
          <cell r="F433">
            <v>317830</v>
          </cell>
          <cell r="G433">
            <v>299080</v>
          </cell>
          <cell r="H433">
            <v>280330</v>
          </cell>
          <cell r="I433">
            <v>261580</v>
          </cell>
          <cell r="J433">
            <v>242830</v>
          </cell>
          <cell r="K433">
            <v>224080</v>
          </cell>
          <cell r="L433">
            <v>205330</v>
          </cell>
          <cell r="M433">
            <v>186580</v>
          </cell>
          <cell r="N433">
            <v>167830</v>
          </cell>
        </row>
        <row r="434">
          <cell r="C434">
            <v>5640000</v>
          </cell>
          <cell r="D434">
            <v>425230</v>
          </cell>
          <cell r="E434">
            <v>395990</v>
          </cell>
          <cell r="F434">
            <v>320410</v>
          </cell>
          <cell r="G434">
            <v>301660</v>
          </cell>
          <cell r="H434">
            <v>282910</v>
          </cell>
          <cell r="I434">
            <v>264160</v>
          </cell>
          <cell r="J434">
            <v>245410</v>
          </cell>
          <cell r="K434">
            <v>226660</v>
          </cell>
          <cell r="L434">
            <v>207910</v>
          </cell>
          <cell r="M434">
            <v>189160</v>
          </cell>
          <cell r="N434">
            <v>170410</v>
          </cell>
        </row>
        <row r="435">
          <cell r="C435">
            <v>5660000</v>
          </cell>
          <cell r="D435">
            <v>428030</v>
          </cell>
          <cell r="E435">
            <v>398780</v>
          </cell>
          <cell r="F435">
            <v>322990</v>
          </cell>
          <cell r="G435">
            <v>304240</v>
          </cell>
          <cell r="H435">
            <v>285490</v>
          </cell>
          <cell r="I435">
            <v>266740</v>
          </cell>
          <cell r="J435">
            <v>247990</v>
          </cell>
          <cell r="K435">
            <v>229240</v>
          </cell>
          <cell r="L435">
            <v>210490</v>
          </cell>
          <cell r="M435">
            <v>191740</v>
          </cell>
          <cell r="N435">
            <v>172990</v>
          </cell>
        </row>
        <row r="436">
          <cell r="C436">
            <v>5680000</v>
          </cell>
          <cell r="D436">
            <v>430840</v>
          </cell>
          <cell r="E436">
            <v>401570</v>
          </cell>
          <cell r="F436">
            <v>325570</v>
          </cell>
          <cell r="G436">
            <v>306820</v>
          </cell>
          <cell r="H436">
            <v>288070</v>
          </cell>
          <cell r="I436">
            <v>269320</v>
          </cell>
          <cell r="J436">
            <v>250570</v>
          </cell>
          <cell r="K436">
            <v>231820</v>
          </cell>
          <cell r="L436">
            <v>213070</v>
          </cell>
          <cell r="M436">
            <v>194320</v>
          </cell>
          <cell r="N436">
            <v>175570</v>
          </cell>
        </row>
        <row r="437">
          <cell r="C437">
            <v>5700000</v>
          </cell>
          <cell r="D437">
            <v>433640</v>
          </cell>
          <cell r="E437">
            <v>404360</v>
          </cell>
          <cell r="F437">
            <v>328150</v>
          </cell>
          <cell r="G437">
            <v>309400</v>
          </cell>
          <cell r="H437">
            <v>290650</v>
          </cell>
          <cell r="I437">
            <v>271900</v>
          </cell>
          <cell r="J437">
            <v>253150</v>
          </cell>
          <cell r="K437">
            <v>234400</v>
          </cell>
          <cell r="L437">
            <v>215650</v>
          </cell>
          <cell r="M437">
            <v>196900</v>
          </cell>
          <cell r="N437">
            <v>178150</v>
          </cell>
        </row>
        <row r="438">
          <cell r="C438">
            <v>5720000</v>
          </cell>
          <cell r="D438">
            <v>436450</v>
          </cell>
          <cell r="E438">
            <v>407150</v>
          </cell>
          <cell r="F438">
            <v>330730</v>
          </cell>
          <cell r="G438">
            <v>311980</v>
          </cell>
          <cell r="H438">
            <v>293230</v>
          </cell>
          <cell r="I438">
            <v>274480</v>
          </cell>
          <cell r="J438">
            <v>255730</v>
          </cell>
          <cell r="K438">
            <v>236980</v>
          </cell>
          <cell r="L438">
            <v>218230</v>
          </cell>
          <cell r="M438">
            <v>199480</v>
          </cell>
          <cell r="N438">
            <v>180730</v>
          </cell>
        </row>
        <row r="439">
          <cell r="C439">
            <v>5740000</v>
          </cell>
          <cell r="D439">
            <v>439250</v>
          </cell>
          <cell r="E439">
            <v>409940</v>
          </cell>
          <cell r="F439">
            <v>333310</v>
          </cell>
          <cell r="G439">
            <v>314560</v>
          </cell>
          <cell r="H439">
            <v>295810</v>
          </cell>
          <cell r="I439">
            <v>277060</v>
          </cell>
          <cell r="J439">
            <v>258310</v>
          </cell>
          <cell r="K439">
            <v>239560</v>
          </cell>
          <cell r="L439">
            <v>220810</v>
          </cell>
          <cell r="M439">
            <v>202060</v>
          </cell>
          <cell r="N439">
            <v>183310</v>
          </cell>
        </row>
        <row r="440">
          <cell r="C440">
            <v>5760000</v>
          </cell>
          <cell r="D440">
            <v>442060</v>
          </cell>
          <cell r="E440">
            <v>412730</v>
          </cell>
          <cell r="F440">
            <v>335890</v>
          </cell>
          <cell r="G440">
            <v>317140</v>
          </cell>
          <cell r="H440">
            <v>298390</v>
          </cell>
          <cell r="I440">
            <v>279640</v>
          </cell>
          <cell r="J440">
            <v>260890</v>
          </cell>
          <cell r="K440">
            <v>242140</v>
          </cell>
          <cell r="L440">
            <v>223390</v>
          </cell>
          <cell r="M440">
            <v>204640</v>
          </cell>
          <cell r="N440">
            <v>185890</v>
          </cell>
        </row>
        <row r="441">
          <cell r="C441">
            <v>5780000</v>
          </cell>
          <cell r="D441">
            <v>444860</v>
          </cell>
          <cell r="E441">
            <v>415520</v>
          </cell>
          <cell r="F441">
            <v>338470</v>
          </cell>
          <cell r="G441">
            <v>319720</v>
          </cell>
          <cell r="H441">
            <v>300970</v>
          </cell>
          <cell r="I441">
            <v>282220</v>
          </cell>
          <cell r="J441">
            <v>263470</v>
          </cell>
          <cell r="K441">
            <v>244720</v>
          </cell>
          <cell r="L441">
            <v>225970</v>
          </cell>
          <cell r="M441">
            <v>207220</v>
          </cell>
          <cell r="N441">
            <v>188470</v>
          </cell>
        </row>
        <row r="442">
          <cell r="C442">
            <v>5800000</v>
          </cell>
          <cell r="D442">
            <v>447670</v>
          </cell>
          <cell r="E442">
            <v>418310</v>
          </cell>
          <cell r="F442">
            <v>341050</v>
          </cell>
          <cell r="G442">
            <v>322300</v>
          </cell>
          <cell r="H442">
            <v>303550</v>
          </cell>
          <cell r="I442">
            <v>284800</v>
          </cell>
          <cell r="J442">
            <v>266050</v>
          </cell>
          <cell r="K442">
            <v>247300</v>
          </cell>
          <cell r="L442">
            <v>228550</v>
          </cell>
          <cell r="M442">
            <v>209800</v>
          </cell>
          <cell r="N442">
            <v>191050</v>
          </cell>
        </row>
        <row r="443">
          <cell r="C443">
            <v>5820000</v>
          </cell>
          <cell r="D443">
            <v>450470</v>
          </cell>
          <cell r="E443">
            <v>421100</v>
          </cell>
          <cell r="F443">
            <v>343630</v>
          </cell>
          <cell r="G443">
            <v>324880</v>
          </cell>
          <cell r="H443">
            <v>306130</v>
          </cell>
          <cell r="I443">
            <v>287380</v>
          </cell>
          <cell r="J443">
            <v>268630</v>
          </cell>
          <cell r="K443">
            <v>249880</v>
          </cell>
          <cell r="L443">
            <v>231130</v>
          </cell>
          <cell r="M443">
            <v>212380</v>
          </cell>
          <cell r="N443">
            <v>193630</v>
          </cell>
        </row>
        <row r="444">
          <cell r="C444">
            <v>5840000</v>
          </cell>
          <cell r="D444">
            <v>470380</v>
          </cell>
          <cell r="E444">
            <v>441000</v>
          </cell>
          <cell r="F444">
            <v>372100</v>
          </cell>
          <cell r="G444">
            <v>353350</v>
          </cell>
          <cell r="H444">
            <v>334600</v>
          </cell>
          <cell r="I444">
            <v>315850</v>
          </cell>
          <cell r="J444">
            <v>297100</v>
          </cell>
          <cell r="K444">
            <v>278350</v>
          </cell>
          <cell r="L444">
            <v>259600</v>
          </cell>
          <cell r="M444">
            <v>240850</v>
          </cell>
          <cell r="N444">
            <v>222100</v>
          </cell>
        </row>
        <row r="445">
          <cell r="C445">
            <v>5860000</v>
          </cell>
          <cell r="D445">
            <v>475720</v>
          </cell>
          <cell r="E445">
            <v>446320</v>
          </cell>
          <cell r="F445">
            <v>377240</v>
          </cell>
          <cell r="G445">
            <v>358490</v>
          </cell>
          <cell r="H445">
            <v>339740</v>
          </cell>
          <cell r="I445">
            <v>320990</v>
          </cell>
          <cell r="J445">
            <v>302240</v>
          </cell>
          <cell r="K445">
            <v>283490</v>
          </cell>
          <cell r="L445">
            <v>264740</v>
          </cell>
          <cell r="M445">
            <v>245990</v>
          </cell>
          <cell r="N445">
            <v>227240</v>
          </cell>
        </row>
        <row r="446">
          <cell r="C446">
            <v>5880000</v>
          </cell>
          <cell r="D446">
            <v>478690</v>
          </cell>
          <cell r="E446">
            <v>449140</v>
          </cell>
          <cell r="F446">
            <v>379880</v>
          </cell>
          <cell r="G446">
            <v>361130</v>
          </cell>
          <cell r="H446">
            <v>342380</v>
          </cell>
          <cell r="I446">
            <v>323630</v>
          </cell>
          <cell r="J446">
            <v>304880</v>
          </cell>
          <cell r="K446">
            <v>286130</v>
          </cell>
          <cell r="L446">
            <v>267380</v>
          </cell>
          <cell r="M446">
            <v>248630</v>
          </cell>
          <cell r="N446">
            <v>229880</v>
          </cell>
        </row>
        <row r="447">
          <cell r="C447">
            <v>5900000</v>
          </cell>
          <cell r="D447">
            <v>483220</v>
          </cell>
          <cell r="E447">
            <v>451960</v>
          </cell>
          <cell r="F447">
            <v>382520</v>
          </cell>
          <cell r="G447">
            <v>363770</v>
          </cell>
          <cell r="H447">
            <v>345020</v>
          </cell>
          <cell r="I447">
            <v>326270</v>
          </cell>
          <cell r="J447">
            <v>307520</v>
          </cell>
          <cell r="K447">
            <v>288770</v>
          </cell>
          <cell r="L447">
            <v>270020</v>
          </cell>
          <cell r="M447">
            <v>251270</v>
          </cell>
          <cell r="N447">
            <v>232520</v>
          </cell>
        </row>
        <row r="448">
          <cell r="C448">
            <v>5920000</v>
          </cell>
          <cell r="D448">
            <v>487760</v>
          </cell>
          <cell r="E448">
            <v>454780</v>
          </cell>
          <cell r="F448">
            <v>385160</v>
          </cell>
          <cell r="G448">
            <v>366410</v>
          </cell>
          <cell r="H448">
            <v>347660</v>
          </cell>
          <cell r="I448">
            <v>328910</v>
          </cell>
          <cell r="J448">
            <v>310160</v>
          </cell>
          <cell r="K448">
            <v>291410</v>
          </cell>
          <cell r="L448">
            <v>272660</v>
          </cell>
          <cell r="M448">
            <v>253910</v>
          </cell>
          <cell r="N448">
            <v>235160</v>
          </cell>
        </row>
        <row r="449">
          <cell r="C449">
            <v>5940000</v>
          </cell>
          <cell r="D449">
            <v>492300</v>
          </cell>
          <cell r="E449">
            <v>457600</v>
          </cell>
          <cell r="F449">
            <v>387800</v>
          </cell>
          <cell r="G449">
            <v>369050</v>
          </cell>
          <cell r="H449">
            <v>350300</v>
          </cell>
          <cell r="I449">
            <v>331550</v>
          </cell>
          <cell r="J449">
            <v>312800</v>
          </cell>
          <cell r="K449">
            <v>294050</v>
          </cell>
          <cell r="L449">
            <v>275300</v>
          </cell>
          <cell r="M449">
            <v>256550</v>
          </cell>
          <cell r="N449">
            <v>237800</v>
          </cell>
        </row>
        <row r="450">
          <cell r="C450">
            <v>5960000</v>
          </cell>
          <cell r="D450">
            <v>496830</v>
          </cell>
          <cell r="E450">
            <v>460420</v>
          </cell>
          <cell r="F450">
            <v>390440</v>
          </cell>
          <cell r="G450">
            <v>371690</v>
          </cell>
          <cell r="H450">
            <v>352940</v>
          </cell>
          <cell r="I450">
            <v>334190</v>
          </cell>
          <cell r="J450">
            <v>315440</v>
          </cell>
          <cell r="K450">
            <v>296690</v>
          </cell>
          <cell r="L450">
            <v>277940</v>
          </cell>
          <cell r="M450">
            <v>259190</v>
          </cell>
          <cell r="N450">
            <v>240440</v>
          </cell>
        </row>
        <row r="451">
          <cell r="C451">
            <v>5980000</v>
          </cell>
          <cell r="D451">
            <v>501370</v>
          </cell>
          <cell r="E451">
            <v>463240</v>
          </cell>
          <cell r="F451">
            <v>393080</v>
          </cell>
          <cell r="G451">
            <v>374330</v>
          </cell>
          <cell r="H451">
            <v>355580</v>
          </cell>
          <cell r="I451">
            <v>336830</v>
          </cell>
          <cell r="J451">
            <v>318080</v>
          </cell>
          <cell r="K451">
            <v>299330</v>
          </cell>
          <cell r="L451">
            <v>280580</v>
          </cell>
          <cell r="M451">
            <v>261830</v>
          </cell>
          <cell r="N451">
            <v>243080</v>
          </cell>
        </row>
        <row r="452">
          <cell r="C452">
            <v>6000000</v>
          </cell>
          <cell r="D452">
            <v>505900</v>
          </cell>
          <cell r="E452">
            <v>466060</v>
          </cell>
          <cell r="F452">
            <v>395720</v>
          </cell>
          <cell r="G452">
            <v>376970</v>
          </cell>
          <cell r="H452">
            <v>358220</v>
          </cell>
          <cell r="I452">
            <v>339470</v>
          </cell>
          <cell r="J452">
            <v>320720</v>
          </cell>
          <cell r="K452">
            <v>301970</v>
          </cell>
          <cell r="L452">
            <v>283220</v>
          </cell>
          <cell r="M452">
            <v>264470</v>
          </cell>
          <cell r="N452">
            <v>245720</v>
          </cell>
        </row>
        <row r="453">
          <cell r="C453">
            <v>6020000</v>
          </cell>
          <cell r="D453">
            <v>510440</v>
          </cell>
          <cell r="E453">
            <v>468880</v>
          </cell>
          <cell r="F453">
            <v>398360</v>
          </cell>
          <cell r="G453">
            <v>379610</v>
          </cell>
          <cell r="H453">
            <v>360860</v>
          </cell>
          <cell r="I453">
            <v>342110</v>
          </cell>
          <cell r="J453">
            <v>323360</v>
          </cell>
          <cell r="K453">
            <v>304610</v>
          </cell>
          <cell r="L453">
            <v>285860</v>
          </cell>
          <cell r="M453">
            <v>267110</v>
          </cell>
          <cell r="N453">
            <v>248360</v>
          </cell>
        </row>
        <row r="454">
          <cell r="C454">
            <v>6040000</v>
          </cell>
          <cell r="D454">
            <v>514980</v>
          </cell>
          <cell r="E454">
            <v>471700</v>
          </cell>
          <cell r="F454">
            <v>401000</v>
          </cell>
          <cell r="G454">
            <v>382250</v>
          </cell>
          <cell r="H454">
            <v>363500</v>
          </cell>
          <cell r="I454">
            <v>344750</v>
          </cell>
          <cell r="J454">
            <v>326000</v>
          </cell>
          <cell r="K454">
            <v>307250</v>
          </cell>
          <cell r="L454">
            <v>288500</v>
          </cell>
          <cell r="M454">
            <v>269750</v>
          </cell>
          <cell r="N454">
            <v>251000</v>
          </cell>
        </row>
        <row r="455">
          <cell r="C455">
            <v>6060000</v>
          </cell>
          <cell r="D455">
            <v>519510</v>
          </cell>
          <cell r="E455">
            <v>474520</v>
          </cell>
          <cell r="F455">
            <v>403640</v>
          </cell>
          <cell r="G455">
            <v>384890</v>
          </cell>
          <cell r="H455">
            <v>366140</v>
          </cell>
          <cell r="I455">
            <v>347390</v>
          </cell>
          <cell r="J455">
            <v>328640</v>
          </cell>
          <cell r="K455">
            <v>309890</v>
          </cell>
          <cell r="L455">
            <v>291140</v>
          </cell>
          <cell r="M455">
            <v>272390</v>
          </cell>
          <cell r="N455">
            <v>253640</v>
          </cell>
        </row>
        <row r="456">
          <cell r="C456">
            <v>6080000</v>
          </cell>
          <cell r="D456">
            <v>524050</v>
          </cell>
          <cell r="E456">
            <v>477340</v>
          </cell>
          <cell r="F456">
            <v>406280</v>
          </cell>
          <cell r="G456">
            <v>387530</v>
          </cell>
          <cell r="H456">
            <v>368780</v>
          </cell>
          <cell r="I456">
            <v>350030</v>
          </cell>
          <cell r="J456">
            <v>331280</v>
          </cell>
          <cell r="K456">
            <v>312530</v>
          </cell>
          <cell r="L456">
            <v>293780</v>
          </cell>
          <cell r="M456">
            <v>275030</v>
          </cell>
          <cell r="N456">
            <v>256280</v>
          </cell>
        </row>
        <row r="457">
          <cell r="C457">
            <v>6100000</v>
          </cell>
          <cell r="D457">
            <v>528580</v>
          </cell>
          <cell r="E457">
            <v>481250</v>
          </cell>
          <cell r="F457">
            <v>408920</v>
          </cell>
          <cell r="G457">
            <v>390170</v>
          </cell>
          <cell r="H457">
            <v>371420</v>
          </cell>
          <cell r="I457">
            <v>352670</v>
          </cell>
          <cell r="J457">
            <v>333920</v>
          </cell>
          <cell r="K457">
            <v>315170</v>
          </cell>
          <cell r="L457">
            <v>296420</v>
          </cell>
          <cell r="M457">
            <v>277670</v>
          </cell>
          <cell r="N457">
            <v>258920</v>
          </cell>
        </row>
        <row r="458">
          <cell r="C458">
            <v>6120000</v>
          </cell>
          <cell r="D458">
            <v>533120</v>
          </cell>
          <cell r="E458">
            <v>485760</v>
          </cell>
          <cell r="F458">
            <v>411560</v>
          </cell>
          <cell r="G458">
            <v>392810</v>
          </cell>
          <cell r="H458">
            <v>374060</v>
          </cell>
          <cell r="I458">
            <v>355310</v>
          </cell>
          <cell r="J458">
            <v>336560</v>
          </cell>
          <cell r="K458">
            <v>317810</v>
          </cell>
          <cell r="L458">
            <v>299060</v>
          </cell>
          <cell r="M458">
            <v>280310</v>
          </cell>
          <cell r="N458">
            <v>261560</v>
          </cell>
        </row>
        <row r="459">
          <cell r="C459">
            <v>6140000</v>
          </cell>
          <cell r="D459">
            <v>537660</v>
          </cell>
          <cell r="E459">
            <v>490280</v>
          </cell>
          <cell r="F459">
            <v>414200</v>
          </cell>
          <cell r="G459">
            <v>395450</v>
          </cell>
          <cell r="H459">
            <v>376700</v>
          </cell>
          <cell r="I459">
            <v>357950</v>
          </cell>
          <cell r="J459">
            <v>339200</v>
          </cell>
          <cell r="K459">
            <v>320450</v>
          </cell>
          <cell r="L459">
            <v>301700</v>
          </cell>
          <cell r="M459">
            <v>282950</v>
          </cell>
          <cell r="N459">
            <v>264200</v>
          </cell>
        </row>
        <row r="460">
          <cell r="C460">
            <v>6160000</v>
          </cell>
          <cell r="D460">
            <v>542190</v>
          </cell>
          <cell r="E460">
            <v>494790</v>
          </cell>
          <cell r="F460">
            <v>416840</v>
          </cell>
          <cell r="G460">
            <v>398090</v>
          </cell>
          <cell r="H460">
            <v>379340</v>
          </cell>
          <cell r="I460">
            <v>360590</v>
          </cell>
          <cell r="J460">
            <v>341840</v>
          </cell>
          <cell r="K460">
            <v>323090</v>
          </cell>
          <cell r="L460">
            <v>304340</v>
          </cell>
          <cell r="M460">
            <v>285590</v>
          </cell>
          <cell r="N460">
            <v>266840</v>
          </cell>
        </row>
        <row r="461">
          <cell r="C461">
            <v>6180000</v>
          </cell>
          <cell r="D461">
            <v>546730</v>
          </cell>
          <cell r="E461">
            <v>499300</v>
          </cell>
          <cell r="F461">
            <v>419480</v>
          </cell>
          <cell r="G461">
            <v>400730</v>
          </cell>
          <cell r="H461">
            <v>381980</v>
          </cell>
          <cell r="I461">
            <v>363230</v>
          </cell>
          <cell r="J461">
            <v>344480</v>
          </cell>
          <cell r="K461">
            <v>325730</v>
          </cell>
          <cell r="L461">
            <v>306980</v>
          </cell>
          <cell r="M461">
            <v>288230</v>
          </cell>
          <cell r="N461">
            <v>269480</v>
          </cell>
        </row>
        <row r="462">
          <cell r="C462">
            <v>6200000</v>
          </cell>
          <cell r="D462">
            <v>551260</v>
          </cell>
          <cell r="E462">
            <v>503810</v>
          </cell>
          <cell r="F462">
            <v>422120</v>
          </cell>
          <cell r="G462">
            <v>403370</v>
          </cell>
          <cell r="H462">
            <v>384620</v>
          </cell>
          <cell r="I462">
            <v>365870</v>
          </cell>
          <cell r="J462">
            <v>347120</v>
          </cell>
          <cell r="K462">
            <v>328370</v>
          </cell>
          <cell r="L462">
            <v>309620</v>
          </cell>
          <cell r="M462">
            <v>290870</v>
          </cell>
          <cell r="N462">
            <v>272120</v>
          </cell>
        </row>
        <row r="463">
          <cell r="C463">
            <v>6220000</v>
          </cell>
          <cell r="D463">
            <v>555800</v>
          </cell>
          <cell r="E463">
            <v>508320</v>
          </cell>
          <cell r="F463">
            <v>424760</v>
          </cell>
          <cell r="G463">
            <v>406010</v>
          </cell>
          <cell r="H463">
            <v>387260</v>
          </cell>
          <cell r="I463">
            <v>368510</v>
          </cell>
          <cell r="J463">
            <v>349760</v>
          </cell>
          <cell r="K463">
            <v>331010</v>
          </cell>
          <cell r="L463">
            <v>312260</v>
          </cell>
          <cell r="M463">
            <v>293510</v>
          </cell>
          <cell r="N463">
            <v>274760</v>
          </cell>
        </row>
        <row r="464">
          <cell r="C464">
            <v>6240000</v>
          </cell>
          <cell r="D464">
            <v>560340</v>
          </cell>
          <cell r="E464">
            <v>512840</v>
          </cell>
          <cell r="F464">
            <v>427400</v>
          </cell>
          <cell r="G464">
            <v>408650</v>
          </cell>
          <cell r="H464">
            <v>389900</v>
          </cell>
          <cell r="I464">
            <v>371150</v>
          </cell>
          <cell r="J464">
            <v>352400</v>
          </cell>
          <cell r="K464">
            <v>333650</v>
          </cell>
          <cell r="L464">
            <v>314900</v>
          </cell>
          <cell r="M464">
            <v>296150</v>
          </cell>
          <cell r="N464">
            <v>277400</v>
          </cell>
        </row>
        <row r="465">
          <cell r="C465">
            <v>6260000</v>
          </cell>
          <cell r="D465">
            <v>564870</v>
          </cell>
          <cell r="E465">
            <v>517350</v>
          </cell>
          <cell r="F465">
            <v>430040</v>
          </cell>
          <cell r="G465">
            <v>411290</v>
          </cell>
          <cell r="H465">
            <v>392540</v>
          </cell>
          <cell r="I465">
            <v>373790</v>
          </cell>
          <cell r="J465">
            <v>355040</v>
          </cell>
          <cell r="K465">
            <v>336290</v>
          </cell>
          <cell r="L465">
            <v>317540</v>
          </cell>
          <cell r="M465">
            <v>298790</v>
          </cell>
          <cell r="N465">
            <v>280040</v>
          </cell>
        </row>
        <row r="466">
          <cell r="C466">
            <v>6280000</v>
          </cell>
          <cell r="D466">
            <v>569410</v>
          </cell>
          <cell r="E466">
            <v>521860</v>
          </cell>
          <cell r="F466">
            <v>432680</v>
          </cell>
          <cell r="G466">
            <v>413930</v>
          </cell>
          <cell r="H466">
            <v>395180</v>
          </cell>
          <cell r="I466">
            <v>376430</v>
          </cell>
          <cell r="J466">
            <v>357680</v>
          </cell>
          <cell r="K466">
            <v>338930</v>
          </cell>
          <cell r="L466">
            <v>320180</v>
          </cell>
          <cell r="M466">
            <v>301430</v>
          </cell>
          <cell r="N466">
            <v>282680</v>
          </cell>
        </row>
        <row r="467">
          <cell r="C467">
            <v>6300000</v>
          </cell>
          <cell r="D467">
            <v>573940</v>
          </cell>
          <cell r="E467">
            <v>526370</v>
          </cell>
          <cell r="F467">
            <v>435320</v>
          </cell>
          <cell r="G467">
            <v>416570</v>
          </cell>
          <cell r="H467">
            <v>397820</v>
          </cell>
          <cell r="I467">
            <v>379070</v>
          </cell>
          <cell r="J467">
            <v>360320</v>
          </cell>
          <cell r="K467">
            <v>341570</v>
          </cell>
          <cell r="L467">
            <v>322820</v>
          </cell>
          <cell r="M467">
            <v>304070</v>
          </cell>
          <cell r="N467">
            <v>285320</v>
          </cell>
        </row>
        <row r="468">
          <cell r="C468">
            <v>6320000</v>
          </cell>
          <cell r="D468">
            <v>578480</v>
          </cell>
          <cell r="E468">
            <v>530880</v>
          </cell>
          <cell r="F468">
            <v>437960</v>
          </cell>
          <cell r="G468">
            <v>419210</v>
          </cell>
          <cell r="H468">
            <v>400460</v>
          </cell>
          <cell r="I468">
            <v>381710</v>
          </cell>
          <cell r="J468">
            <v>362960</v>
          </cell>
          <cell r="K468">
            <v>344210</v>
          </cell>
          <cell r="L468">
            <v>325460</v>
          </cell>
          <cell r="M468">
            <v>306710</v>
          </cell>
          <cell r="N468">
            <v>287960</v>
          </cell>
        </row>
        <row r="469">
          <cell r="C469">
            <v>6340000</v>
          </cell>
          <cell r="D469">
            <v>583020</v>
          </cell>
          <cell r="E469">
            <v>535400</v>
          </cell>
          <cell r="F469">
            <v>440600</v>
          </cell>
          <cell r="G469">
            <v>421850</v>
          </cell>
          <cell r="H469">
            <v>403100</v>
          </cell>
          <cell r="I469">
            <v>384350</v>
          </cell>
          <cell r="J469">
            <v>365600</v>
          </cell>
          <cell r="K469">
            <v>346850</v>
          </cell>
          <cell r="L469">
            <v>328100</v>
          </cell>
          <cell r="M469">
            <v>309350</v>
          </cell>
          <cell r="N469">
            <v>290600</v>
          </cell>
        </row>
        <row r="470">
          <cell r="C470">
            <v>6360000</v>
          </cell>
          <cell r="D470">
            <v>587550</v>
          </cell>
          <cell r="E470">
            <v>539910</v>
          </cell>
          <cell r="F470">
            <v>443240</v>
          </cell>
          <cell r="G470">
            <v>424490</v>
          </cell>
          <cell r="H470">
            <v>405740</v>
          </cell>
          <cell r="I470">
            <v>386990</v>
          </cell>
          <cell r="J470">
            <v>368240</v>
          </cell>
          <cell r="K470">
            <v>349490</v>
          </cell>
          <cell r="L470">
            <v>330740</v>
          </cell>
          <cell r="M470">
            <v>311990</v>
          </cell>
          <cell r="N470">
            <v>293240</v>
          </cell>
        </row>
        <row r="471">
          <cell r="C471">
            <v>6380000</v>
          </cell>
          <cell r="D471">
            <v>592090</v>
          </cell>
          <cell r="E471">
            <v>544420</v>
          </cell>
          <cell r="F471">
            <v>445880</v>
          </cell>
          <cell r="G471">
            <v>427130</v>
          </cell>
          <cell r="H471">
            <v>408380</v>
          </cell>
          <cell r="I471">
            <v>389630</v>
          </cell>
          <cell r="J471">
            <v>370880</v>
          </cell>
          <cell r="K471">
            <v>352130</v>
          </cell>
          <cell r="L471">
            <v>333380</v>
          </cell>
          <cell r="M471">
            <v>314630</v>
          </cell>
          <cell r="N471">
            <v>295880</v>
          </cell>
        </row>
        <row r="472">
          <cell r="C472">
            <v>6400000</v>
          </cell>
          <cell r="D472">
            <v>596620</v>
          </cell>
          <cell r="E472">
            <v>548930</v>
          </cell>
          <cell r="F472">
            <v>448520</v>
          </cell>
          <cell r="G472">
            <v>429770</v>
          </cell>
          <cell r="H472">
            <v>411020</v>
          </cell>
          <cell r="I472">
            <v>392270</v>
          </cell>
          <cell r="J472">
            <v>373520</v>
          </cell>
          <cell r="K472">
            <v>354770</v>
          </cell>
          <cell r="L472">
            <v>336020</v>
          </cell>
          <cell r="M472">
            <v>317270</v>
          </cell>
          <cell r="N472">
            <v>298520</v>
          </cell>
        </row>
        <row r="473">
          <cell r="C473">
            <v>6420000</v>
          </cell>
          <cell r="D473">
            <v>601160</v>
          </cell>
          <cell r="E473">
            <v>553440</v>
          </cell>
          <cell r="F473">
            <v>451160</v>
          </cell>
          <cell r="G473">
            <v>432410</v>
          </cell>
          <cell r="H473">
            <v>413660</v>
          </cell>
          <cell r="I473">
            <v>394910</v>
          </cell>
          <cell r="J473">
            <v>376160</v>
          </cell>
          <cell r="K473">
            <v>357410</v>
          </cell>
          <cell r="L473">
            <v>338660</v>
          </cell>
          <cell r="M473">
            <v>319910</v>
          </cell>
          <cell r="N473">
            <v>301160</v>
          </cell>
        </row>
        <row r="474">
          <cell r="C474">
            <v>6440000</v>
          </cell>
          <cell r="D474">
            <v>605700</v>
          </cell>
          <cell r="E474">
            <v>557960</v>
          </cell>
          <cell r="F474">
            <v>453800</v>
          </cell>
          <cell r="G474">
            <v>435050</v>
          </cell>
          <cell r="H474">
            <v>416300</v>
          </cell>
          <cell r="I474">
            <v>397550</v>
          </cell>
          <cell r="J474">
            <v>378800</v>
          </cell>
          <cell r="K474">
            <v>360050</v>
          </cell>
          <cell r="L474">
            <v>341300</v>
          </cell>
          <cell r="M474">
            <v>322550</v>
          </cell>
          <cell r="N474">
            <v>303800</v>
          </cell>
        </row>
        <row r="475">
          <cell r="C475">
            <v>6460000</v>
          </cell>
          <cell r="D475">
            <v>610230</v>
          </cell>
          <cell r="E475">
            <v>562470</v>
          </cell>
          <cell r="F475">
            <v>456440</v>
          </cell>
          <cell r="G475">
            <v>437690</v>
          </cell>
          <cell r="H475">
            <v>418940</v>
          </cell>
          <cell r="I475">
            <v>400190</v>
          </cell>
          <cell r="J475">
            <v>381440</v>
          </cell>
          <cell r="K475">
            <v>362690</v>
          </cell>
          <cell r="L475">
            <v>343940</v>
          </cell>
          <cell r="M475">
            <v>325190</v>
          </cell>
          <cell r="N475">
            <v>306440</v>
          </cell>
        </row>
        <row r="476">
          <cell r="C476">
            <v>6480000</v>
          </cell>
          <cell r="D476">
            <v>614770</v>
          </cell>
          <cell r="E476">
            <v>566980</v>
          </cell>
          <cell r="F476">
            <v>459080</v>
          </cell>
          <cell r="G476">
            <v>440330</v>
          </cell>
          <cell r="H476">
            <v>421580</v>
          </cell>
          <cell r="I476">
            <v>402830</v>
          </cell>
          <cell r="J476">
            <v>384080</v>
          </cell>
          <cell r="K476">
            <v>365330</v>
          </cell>
          <cell r="L476">
            <v>346580</v>
          </cell>
          <cell r="M476">
            <v>327830</v>
          </cell>
          <cell r="N476">
            <v>309080</v>
          </cell>
        </row>
        <row r="477">
          <cell r="C477">
            <v>6500000</v>
          </cell>
          <cell r="D477">
            <v>619300</v>
          </cell>
          <cell r="E477">
            <v>571490</v>
          </cell>
          <cell r="F477">
            <v>461720</v>
          </cell>
          <cell r="G477">
            <v>442970</v>
          </cell>
          <cell r="H477">
            <v>424220</v>
          </cell>
          <cell r="I477">
            <v>405470</v>
          </cell>
          <cell r="J477">
            <v>386720</v>
          </cell>
          <cell r="K477">
            <v>367970</v>
          </cell>
          <cell r="L477">
            <v>349220</v>
          </cell>
          <cell r="M477">
            <v>330470</v>
          </cell>
          <cell r="N477">
            <v>311720</v>
          </cell>
        </row>
        <row r="478">
          <cell r="C478">
            <v>6520000</v>
          </cell>
          <cell r="D478">
            <v>623840</v>
          </cell>
          <cell r="E478">
            <v>576000</v>
          </cell>
          <cell r="F478">
            <v>464360</v>
          </cell>
          <cell r="G478">
            <v>445610</v>
          </cell>
          <cell r="H478">
            <v>426860</v>
          </cell>
          <cell r="I478">
            <v>408110</v>
          </cell>
          <cell r="J478">
            <v>389360</v>
          </cell>
          <cell r="K478">
            <v>370610</v>
          </cell>
          <cell r="L478">
            <v>351860</v>
          </cell>
          <cell r="M478">
            <v>333110</v>
          </cell>
          <cell r="N478">
            <v>314360</v>
          </cell>
        </row>
        <row r="479">
          <cell r="C479">
            <v>6540000</v>
          </cell>
          <cell r="D479">
            <v>628380</v>
          </cell>
          <cell r="E479">
            <v>580520</v>
          </cell>
          <cell r="F479">
            <v>467000</v>
          </cell>
          <cell r="G479">
            <v>448250</v>
          </cell>
          <cell r="H479">
            <v>429500</v>
          </cell>
          <cell r="I479">
            <v>410750</v>
          </cell>
          <cell r="J479">
            <v>392000</v>
          </cell>
          <cell r="K479">
            <v>373250</v>
          </cell>
          <cell r="L479">
            <v>354500</v>
          </cell>
          <cell r="M479">
            <v>335750</v>
          </cell>
          <cell r="N479">
            <v>317000</v>
          </cell>
        </row>
        <row r="480">
          <cell r="C480">
            <v>6560000</v>
          </cell>
          <cell r="D480">
            <v>632910</v>
          </cell>
          <cell r="E480">
            <v>585030</v>
          </cell>
          <cell r="F480">
            <v>469640</v>
          </cell>
          <cell r="G480">
            <v>450890</v>
          </cell>
          <cell r="H480">
            <v>432140</v>
          </cell>
          <cell r="I480">
            <v>413390</v>
          </cell>
          <cell r="J480">
            <v>394640</v>
          </cell>
          <cell r="K480">
            <v>375890</v>
          </cell>
          <cell r="L480">
            <v>357140</v>
          </cell>
          <cell r="M480">
            <v>338390</v>
          </cell>
          <cell r="N480">
            <v>319640</v>
          </cell>
        </row>
        <row r="481">
          <cell r="C481">
            <v>6580000</v>
          </cell>
          <cell r="D481">
            <v>637450</v>
          </cell>
          <cell r="E481">
            <v>589540</v>
          </cell>
          <cell r="F481">
            <v>472280</v>
          </cell>
          <cell r="G481">
            <v>453530</v>
          </cell>
          <cell r="H481">
            <v>434780</v>
          </cell>
          <cell r="I481">
            <v>416030</v>
          </cell>
          <cell r="J481">
            <v>397280</v>
          </cell>
          <cell r="K481">
            <v>378530</v>
          </cell>
          <cell r="L481">
            <v>359780</v>
          </cell>
          <cell r="M481">
            <v>341030</v>
          </cell>
          <cell r="N481">
            <v>322280</v>
          </cell>
        </row>
        <row r="482">
          <cell r="C482">
            <v>6600000</v>
          </cell>
          <cell r="D482">
            <v>641980</v>
          </cell>
          <cell r="E482">
            <v>594050</v>
          </cell>
          <cell r="F482">
            <v>474920</v>
          </cell>
          <cell r="G482">
            <v>456170</v>
          </cell>
          <cell r="H482">
            <v>437420</v>
          </cell>
          <cell r="I482">
            <v>418670</v>
          </cell>
          <cell r="J482">
            <v>399920</v>
          </cell>
          <cell r="K482">
            <v>381170</v>
          </cell>
          <cell r="L482">
            <v>362420</v>
          </cell>
          <cell r="M482">
            <v>343670</v>
          </cell>
          <cell r="N482">
            <v>324920</v>
          </cell>
        </row>
        <row r="483">
          <cell r="C483">
            <v>6620000</v>
          </cell>
          <cell r="D483">
            <v>646520</v>
          </cell>
          <cell r="E483">
            <v>598560</v>
          </cell>
          <cell r="F483">
            <v>477560</v>
          </cell>
          <cell r="G483">
            <v>458810</v>
          </cell>
          <cell r="H483">
            <v>440060</v>
          </cell>
          <cell r="I483">
            <v>421310</v>
          </cell>
          <cell r="J483">
            <v>402560</v>
          </cell>
          <cell r="K483">
            <v>383810</v>
          </cell>
          <cell r="L483">
            <v>365060</v>
          </cell>
          <cell r="M483">
            <v>346310</v>
          </cell>
          <cell r="N483">
            <v>327560</v>
          </cell>
        </row>
        <row r="484">
          <cell r="C484">
            <v>6640000</v>
          </cell>
          <cell r="D484">
            <v>651060</v>
          </cell>
          <cell r="E484">
            <v>603080</v>
          </cell>
          <cell r="F484">
            <v>481320</v>
          </cell>
          <cell r="G484">
            <v>461450</v>
          </cell>
          <cell r="H484">
            <v>442700</v>
          </cell>
          <cell r="I484">
            <v>423950</v>
          </cell>
          <cell r="J484">
            <v>405200</v>
          </cell>
          <cell r="K484">
            <v>386450</v>
          </cell>
          <cell r="L484">
            <v>367700</v>
          </cell>
          <cell r="M484">
            <v>348950</v>
          </cell>
          <cell r="N484">
            <v>330200</v>
          </cell>
        </row>
        <row r="485">
          <cell r="C485">
            <v>6660000</v>
          </cell>
          <cell r="D485">
            <v>655590</v>
          </cell>
          <cell r="E485">
            <v>607590</v>
          </cell>
          <cell r="F485">
            <v>485540</v>
          </cell>
          <cell r="G485">
            <v>464090</v>
          </cell>
          <cell r="H485">
            <v>445340</v>
          </cell>
          <cell r="I485">
            <v>426590</v>
          </cell>
          <cell r="J485">
            <v>407840</v>
          </cell>
          <cell r="K485">
            <v>389090</v>
          </cell>
          <cell r="L485">
            <v>370340</v>
          </cell>
          <cell r="M485">
            <v>351590</v>
          </cell>
          <cell r="N485">
            <v>332840</v>
          </cell>
        </row>
        <row r="486">
          <cell r="C486">
            <v>6680000</v>
          </cell>
          <cell r="D486">
            <v>660130</v>
          </cell>
          <cell r="E486">
            <v>612100</v>
          </cell>
          <cell r="F486">
            <v>489760</v>
          </cell>
          <cell r="G486">
            <v>466730</v>
          </cell>
          <cell r="H486">
            <v>447980</v>
          </cell>
          <cell r="I486">
            <v>429230</v>
          </cell>
          <cell r="J486">
            <v>410480</v>
          </cell>
          <cell r="K486">
            <v>391730</v>
          </cell>
          <cell r="L486">
            <v>372980</v>
          </cell>
          <cell r="M486">
            <v>354230</v>
          </cell>
          <cell r="N486">
            <v>335480</v>
          </cell>
        </row>
        <row r="487">
          <cell r="C487">
            <v>6700000</v>
          </cell>
          <cell r="D487">
            <v>664660</v>
          </cell>
          <cell r="E487">
            <v>616610</v>
          </cell>
          <cell r="F487">
            <v>493990</v>
          </cell>
          <cell r="G487">
            <v>469370</v>
          </cell>
          <cell r="H487">
            <v>450620</v>
          </cell>
          <cell r="I487">
            <v>431870</v>
          </cell>
          <cell r="J487">
            <v>413120</v>
          </cell>
          <cell r="K487">
            <v>394370</v>
          </cell>
          <cell r="L487">
            <v>375620</v>
          </cell>
          <cell r="M487">
            <v>356870</v>
          </cell>
          <cell r="N487">
            <v>338120</v>
          </cell>
        </row>
        <row r="488">
          <cell r="C488">
            <v>6720000</v>
          </cell>
          <cell r="D488">
            <v>669200</v>
          </cell>
          <cell r="E488">
            <v>621120</v>
          </cell>
          <cell r="F488">
            <v>498210</v>
          </cell>
          <cell r="G488">
            <v>472010</v>
          </cell>
          <cell r="H488">
            <v>453260</v>
          </cell>
          <cell r="I488">
            <v>434510</v>
          </cell>
          <cell r="J488">
            <v>415760</v>
          </cell>
          <cell r="K488">
            <v>397010</v>
          </cell>
          <cell r="L488">
            <v>378260</v>
          </cell>
          <cell r="M488">
            <v>359510</v>
          </cell>
          <cell r="N488">
            <v>340760</v>
          </cell>
        </row>
        <row r="489">
          <cell r="C489">
            <v>6740000</v>
          </cell>
          <cell r="D489">
            <v>673740</v>
          </cell>
          <cell r="E489">
            <v>625640</v>
          </cell>
          <cell r="F489">
            <v>502440</v>
          </cell>
          <cell r="G489">
            <v>474650</v>
          </cell>
          <cell r="H489">
            <v>455900</v>
          </cell>
          <cell r="I489">
            <v>437150</v>
          </cell>
          <cell r="J489">
            <v>418400</v>
          </cell>
          <cell r="K489">
            <v>399650</v>
          </cell>
          <cell r="L489">
            <v>380900</v>
          </cell>
          <cell r="M489">
            <v>362150</v>
          </cell>
          <cell r="N489">
            <v>343400</v>
          </cell>
        </row>
        <row r="490">
          <cell r="C490">
            <v>6760000</v>
          </cell>
          <cell r="D490">
            <v>678270</v>
          </cell>
          <cell r="E490">
            <v>630150</v>
          </cell>
          <cell r="F490">
            <v>506660</v>
          </cell>
          <cell r="G490">
            <v>477290</v>
          </cell>
          <cell r="H490">
            <v>458540</v>
          </cell>
          <cell r="I490">
            <v>439790</v>
          </cell>
          <cell r="J490">
            <v>421040</v>
          </cell>
          <cell r="K490">
            <v>402290</v>
          </cell>
          <cell r="L490">
            <v>383540</v>
          </cell>
          <cell r="M490">
            <v>364790</v>
          </cell>
          <cell r="N490">
            <v>346040</v>
          </cell>
        </row>
        <row r="491">
          <cell r="C491">
            <v>6780000</v>
          </cell>
          <cell r="D491">
            <v>682810</v>
          </cell>
          <cell r="E491">
            <v>634660</v>
          </cell>
          <cell r="F491">
            <v>510880</v>
          </cell>
          <cell r="G491">
            <v>480880</v>
          </cell>
          <cell r="H491">
            <v>461180</v>
          </cell>
          <cell r="I491">
            <v>442430</v>
          </cell>
          <cell r="J491">
            <v>423680</v>
          </cell>
          <cell r="K491">
            <v>404930</v>
          </cell>
          <cell r="L491">
            <v>386180</v>
          </cell>
          <cell r="M491">
            <v>367430</v>
          </cell>
          <cell r="N491">
            <v>348680</v>
          </cell>
        </row>
        <row r="492">
          <cell r="C492">
            <v>6800000</v>
          </cell>
          <cell r="D492">
            <v>687340</v>
          </cell>
          <cell r="E492">
            <v>639170</v>
          </cell>
          <cell r="F492">
            <v>515110</v>
          </cell>
          <cell r="G492">
            <v>485110</v>
          </cell>
          <cell r="H492">
            <v>463820</v>
          </cell>
          <cell r="I492">
            <v>445070</v>
          </cell>
          <cell r="J492">
            <v>426320</v>
          </cell>
          <cell r="K492">
            <v>407570</v>
          </cell>
          <cell r="L492">
            <v>388820</v>
          </cell>
          <cell r="M492">
            <v>370070</v>
          </cell>
          <cell r="N492">
            <v>351320</v>
          </cell>
        </row>
        <row r="493">
          <cell r="C493">
            <v>6820000</v>
          </cell>
          <cell r="D493">
            <v>691880</v>
          </cell>
          <cell r="E493">
            <v>643680</v>
          </cell>
          <cell r="F493">
            <v>519330</v>
          </cell>
          <cell r="G493">
            <v>489330</v>
          </cell>
          <cell r="H493">
            <v>466460</v>
          </cell>
          <cell r="I493">
            <v>447710</v>
          </cell>
          <cell r="J493">
            <v>428960</v>
          </cell>
          <cell r="K493">
            <v>410210</v>
          </cell>
          <cell r="L493">
            <v>391460</v>
          </cell>
          <cell r="M493">
            <v>372710</v>
          </cell>
          <cell r="N493">
            <v>353960</v>
          </cell>
        </row>
        <row r="494">
          <cell r="C494">
            <v>6840000</v>
          </cell>
          <cell r="D494">
            <v>696420</v>
          </cell>
          <cell r="E494">
            <v>648200</v>
          </cell>
          <cell r="F494">
            <v>523560</v>
          </cell>
          <cell r="G494">
            <v>493560</v>
          </cell>
          <cell r="H494">
            <v>469100</v>
          </cell>
          <cell r="I494">
            <v>450350</v>
          </cell>
          <cell r="J494">
            <v>431600</v>
          </cell>
          <cell r="K494">
            <v>412850</v>
          </cell>
          <cell r="L494">
            <v>394100</v>
          </cell>
          <cell r="M494">
            <v>375350</v>
          </cell>
          <cell r="N494">
            <v>356600</v>
          </cell>
        </row>
        <row r="495">
          <cell r="C495">
            <v>6860000</v>
          </cell>
          <cell r="D495">
            <v>700950</v>
          </cell>
          <cell r="E495">
            <v>652710</v>
          </cell>
          <cell r="F495">
            <v>527780</v>
          </cell>
          <cell r="G495">
            <v>497780</v>
          </cell>
          <cell r="H495">
            <v>471740</v>
          </cell>
          <cell r="I495">
            <v>452990</v>
          </cell>
          <cell r="J495">
            <v>434240</v>
          </cell>
          <cell r="K495">
            <v>415490</v>
          </cell>
          <cell r="L495">
            <v>396740</v>
          </cell>
          <cell r="M495">
            <v>377990</v>
          </cell>
          <cell r="N495">
            <v>359240</v>
          </cell>
        </row>
        <row r="496">
          <cell r="C496">
            <v>6880000</v>
          </cell>
          <cell r="D496">
            <v>705490</v>
          </cell>
          <cell r="E496">
            <v>657220</v>
          </cell>
          <cell r="F496">
            <v>532000</v>
          </cell>
          <cell r="G496">
            <v>502000</v>
          </cell>
          <cell r="H496">
            <v>474380</v>
          </cell>
          <cell r="I496">
            <v>455630</v>
          </cell>
          <cell r="J496">
            <v>436880</v>
          </cell>
          <cell r="K496">
            <v>418130</v>
          </cell>
          <cell r="L496">
            <v>399380</v>
          </cell>
          <cell r="M496">
            <v>380630</v>
          </cell>
          <cell r="N496">
            <v>361880</v>
          </cell>
        </row>
        <row r="497">
          <cell r="C497">
            <v>6900000</v>
          </cell>
          <cell r="D497">
            <v>710020</v>
          </cell>
          <cell r="E497">
            <v>661730</v>
          </cell>
          <cell r="F497">
            <v>536230</v>
          </cell>
          <cell r="G497">
            <v>506230</v>
          </cell>
          <cell r="H497">
            <v>477020</v>
          </cell>
          <cell r="I497">
            <v>458270</v>
          </cell>
          <cell r="J497">
            <v>439520</v>
          </cell>
          <cell r="K497">
            <v>420770</v>
          </cell>
          <cell r="L497">
            <v>402020</v>
          </cell>
          <cell r="M497">
            <v>383270</v>
          </cell>
          <cell r="N497">
            <v>364520</v>
          </cell>
        </row>
        <row r="498">
          <cell r="C498">
            <v>6920000</v>
          </cell>
          <cell r="D498">
            <v>714560</v>
          </cell>
          <cell r="E498">
            <v>666240</v>
          </cell>
          <cell r="F498">
            <v>540450</v>
          </cell>
          <cell r="G498">
            <v>510450</v>
          </cell>
          <cell r="H498">
            <v>480450</v>
          </cell>
          <cell r="I498">
            <v>460910</v>
          </cell>
          <cell r="J498">
            <v>442160</v>
          </cell>
          <cell r="K498">
            <v>423410</v>
          </cell>
          <cell r="L498">
            <v>404660</v>
          </cell>
          <cell r="M498">
            <v>385910</v>
          </cell>
          <cell r="N498">
            <v>367160</v>
          </cell>
        </row>
        <row r="499">
          <cell r="C499">
            <v>6940000</v>
          </cell>
          <cell r="D499">
            <v>719100</v>
          </cell>
          <cell r="E499">
            <v>670760</v>
          </cell>
          <cell r="F499">
            <v>544680</v>
          </cell>
          <cell r="G499">
            <v>514680</v>
          </cell>
          <cell r="H499">
            <v>484680</v>
          </cell>
          <cell r="I499">
            <v>463550</v>
          </cell>
          <cell r="J499">
            <v>444800</v>
          </cell>
          <cell r="K499">
            <v>426050</v>
          </cell>
          <cell r="L499">
            <v>407300</v>
          </cell>
          <cell r="M499">
            <v>388550</v>
          </cell>
          <cell r="N499">
            <v>369800</v>
          </cell>
        </row>
        <row r="500">
          <cell r="C500">
            <v>6960000</v>
          </cell>
          <cell r="D500">
            <v>723630</v>
          </cell>
          <cell r="E500">
            <v>675270</v>
          </cell>
          <cell r="F500">
            <v>548900</v>
          </cell>
          <cell r="G500">
            <v>518900</v>
          </cell>
          <cell r="H500">
            <v>488900</v>
          </cell>
          <cell r="I500">
            <v>466190</v>
          </cell>
          <cell r="J500">
            <v>447440</v>
          </cell>
          <cell r="K500">
            <v>428690</v>
          </cell>
          <cell r="L500">
            <v>409940</v>
          </cell>
          <cell r="M500">
            <v>391190</v>
          </cell>
          <cell r="N500">
            <v>372440</v>
          </cell>
        </row>
        <row r="501">
          <cell r="C501">
            <v>6980000</v>
          </cell>
          <cell r="D501">
            <v>728170</v>
          </cell>
          <cell r="E501">
            <v>679780</v>
          </cell>
          <cell r="F501">
            <v>553120</v>
          </cell>
          <cell r="G501">
            <v>523120</v>
          </cell>
          <cell r="H501">
            <v>493120</v>
          </cell>
          <cell r="I501">
            <v>468830</v>
          </cell>
          <cell r="J501">
            <v>450080</v>
          </cell>
          <cell r="K501">
            <v>431330</v>
          </cell>
          <cell r="L501">
            <v>412580</v>
          </cell>
          <cell r="M501">
            <v>393830</v>
          </cell>
          <cell r="N501">
            <v>375080</v>
          </cell>
        </row>
        <row r="502">
          <cell r="C502">
            <v>7000000</v>
          </cell>
          <cell r="D502">
            <v>732700</v>
          </cell>
          <cell r="E502">
            <v>684290</v>
          </cell>
          <cell r="F502">
            <v>557350</v>
          </cell>
          <cell r="G502">
            <v>527350</v>
          </cell>
          <cell r="H502">
            <v>497350</v>
          </cell>
          <cell r="I502">
            <v>471470</v>
          </cell>
          <cell r="J502">
            <v>452720</v>
          </cell>
          <cell r="K502">
            <v>433970</v>
          </cell>
          <cell r="L502">
            <v>415220</v>
          </cell>
          <cell r="M502">
            <v>396470</v>
          </cell>
          <cell r="N502">
            <v>377720</v>
          </cell>
        </row>
        <row r="503">
          <cell r="C503">
            <v>7020000</v>
          </cell>
          <cell r="D503">
            <v>737240</v>
          </cell>
          <cell r="E503">
            <v>688800</v>
          </cell>
          <cell r="F503">
            <v>561570</v>
          </cell>
          <cell r="G503">
            <v>531570</v>
          </cell>
          <cell r="H503">
            <v>501570</v>
          </cell>
          <cell r="I503">
            <v>474110</v>
          </cell>
          <cell r="J503">
            <v>455360</v>
          </cell>
          <cell r="K503">
            <v>436610</v>
          </cell>
          <cell r="L503">
            <v>417860</v>
          </cell>
          <cell r="M503">
            <v>399110</v>
          </cell>
          <cell r="N503">
            <v>380360</v>
          </cell>
        </row>
        <row r="504">
          <cell r="C504">
            <v>7040000</v>
          </cell>
          <cell r="D504">
            <v>741780</v>
          </cell>
          <cell r="E504">
            <v>693320</v>
          </cell>
          <cell r="F504">
            <v>565800</v>
          </cell>
          <cell r="G504">
            <v>535800</v>
          </cell>
          <cell r="H504">
            <v>505800</v>
          </cell>
          <cell r="I504">
            <v>476750</v>
          </cell>
          <cell r="J504">
            <v>458000</v>
          </cell>
          <cell r="K504">
            <v>439250</v>
          </cell>
          <cell r="L504">
            <v>420500</v>
          </cell>
          <cell r="M504">
            <v>401750</v>
          </cell>
          <cell r="N504">
            <v>383000</v>
          </cell>
        </row>
        <row r="505">
          <cell r="C505">
            <v>7060000</v>
          </cell>
          <cell r="D505">
            <v>746310</v>
          </cell>
          <cell r="E505">
            <v>697830</v>
          </cell>
          <cell r="F505">
            <v>570020</v>
          </cell>
          <cell r="G505">
            <v>540020</v>
          </cell>
          <cell r="H505">
            <v>510020</v>
          </cell>
          <cell r="I505">
            <v>480020</v>
          </cell>
          <cell r="J505">
            <v>460640</v>
          </cell>
          <cell r="K505">
            <v>441890</v>
          </cell>
          <cell r="L505">
            <v>423140</v>
          </cell>
          <cell r="M505">
            <v>404390</v>
          </cell>
          <cell r="N505">
            <v>385640</v>
          </cell>
        </row>
        <row r="506">
          <cell r="C506">
            <v>7080000</v>
          </cell>
          <cell r="D506">
            <v>750850</v>
          </cell>
          <cell r="E506">
            <v>702340</v>
          </cell>
          <cell r="F506">
            <v>574240</v>
          </cell>
          <cell r="G506">
            <v>544240</v>
          </cell>
          <cell r="H506">
            <v>514240</v>
          </cell>
          <cell r="I506">
            <v>484240</v>
          </cell>
          <cell r="J506">
            <v>463280</v>
          </cell>
          <cell r="K506">
            <v>444530</v>
          </cell>
          <cell r="L506">
            <v>425780</v>
          </cell>
          <cell r="M506">
            <v>407030</v>
          </cell>
          <cell r="N506">
            <v>388280</v>
          </cell>
        </row>
        <row r="507">
          <cell r="C507">
            <v>7100000</v>
          </cell>
          <cell r="D507">
            <v>755380</v>
          </cell>
          <cell r="E507">
            <v>706850</v>
          </cell>
          <cell r="F507">
            <v>578470</v>
          </cell>
          <cell r="G507">
            <v>548470</v>
          </cell>
          <cell r="H507">
            <v>518470</v>
          </cell>
          <cell r="I507">
            <v>488470</v>
          </cell>
          <cell r="J507">
            <v>465920</v>
          </cell>
          <cell r="K507">
            <v>447170</v>
          </cell>
          <cell r="L507">
            <v>428420</v>
          </cell>
          <cell r="M507">
            <v>409670</v>
          </cell>
          <cell r="N507">
            <v>390920</v>
          </cell>
        </row>
        <row r="508">
          <cell r="C508">
            <v>7120000</v>
          </cell>
          <cell r="D508">
            <v>759920</v>
          </cell>
          <cell r="E508">
            <v>711360</v>
          </cell>
          <cell r="F508">
            <v>582690</v>
          </cell>
          <cell r="G508">
            <v>552690</v>
          </cell>
          <cell r="H508">
            <v>522690</v>
          </cell>
          <cell r="I508">
            <v>492690</v>
          </cell>
          <cell r="J508">
            <v>468560</v>
          </cell>
          <cell r="K508">
            <v>449810</v>
          </cell>
          <cell r="L508">
            <v>431060</v>
          </cell>
          <cell r="M508">
            <v>412310</v>
          </cell>
          <cell r="N508">
            <v>393560</v>
          </cell>
        </row>
        <row r="509">
          <cell r="C509">
            <v>7140000</v>
          </cell>
          <cell r="D509">
            <v>764460</v>
          </cell>
          <cell r="E509">
            <v>715880</v>
          </cell>
          <cell r="F509">
            <v>586920</v>
          </cell>
          <cell r="G509">
            <v>556920</v>
          </cell>
          <cell r="H509">
            <v>526920</v>
          </cell>
          <cell r="I509">
            <v>496920</v>
          </cell>
          <cell r="J509">
            <v>471200</v>
          </cell>
          <cell r="K509">
            <v>452450</v>
          </cell>
          <cell r="L509">
            <v>433700</v>
          </cell>
          <cell r="M509">
            <v>414950</v>
          </cell>
          <cell r="N509">
            <v>396200</v>
          </cell>
        </row>
        <row r="510">
          <cell r="C510">
            <v>7160000</v>
          </cell>
          <cell r="D510">
            <v>768990</v>
          </cell>
          <cell r="E510">
            <v>720390</v>
          </cell>
          <cell r="F510">
            <v>591140</v>
          </cell>
          <cell r="G510">
            <v>561140</v>
          </cell>
          <cell r="H510">
            <v>531140</v>
          </cell>
          <cell r="I510">
            <v>501140</v>
          </cell>
          <cell r="J510">
            <v>473840</v>
          </cell>
          <cell r="K510">
            <v>455090</v>
          </cell>
          <cell r="L510">
            <v>436340</v>
          </cell>
          <cell r="M510">
            <v>417590</v>
          </cell>
          <cell r="N510">
            <v>398840</v>
          </cell>
        </row>
        <row r="511">
          <cell r="C511">
            <v>7180000</v>
          </cell>
          <cell r="D511">
            <v>773530</v>
          </cell>
          <cell r="E511">
            <v>724900</v>
          </cell>
          <cell r="F511">
            <v>595360</v>
          </cell>
          <cell r="G511">
            <v>565360</v>
          </cell>
          <cell r="H511">
            <v>535360</v>
          </cell>
          <cell r="I511">
            <v>505360</v>
          </cell>
          <cell r="J511">
            <v>476480</v>
          </cell>
          <cell r="K511">
            <v>457730</v>
          </cell>
          <cell r="L511">
            <v>438980</v>
          </cell>
          <cell r="M511">
            <v>420230</v>
          </cell>
          <cell r="N511">
            <v>401480</v>
          </cell>
        </row>
        <row r="512">
          <cell r="C512">
            <v>7200000</v>
          </cell>
          <cell r="D512">
            <v>778060</v>
          </cell>
          <cell r="E512">
            <v>729410</v>
          </cell>
          <cell r="F512">
            <v>599590</v>
          </cell>
          <cell r="G512">
            <v>569590</v>
          </cell>
          <cell r="H512">
            <v>539590</v>
          </cell>
          <cell r="I512">
            <v>509590</v>
          </cell>
          <cell r="J512">
            <v>479590</v>
          </cell>
          <cell r="K512">
            <v>460370</v>
          </cell>
          <cell r="L512">
            <v>441620</v>
          </cell>
          <cell r="M512">
            <v>422870</v>
          </cell>
          <cell r="N512">
            <v>404120</v>
          </cell>
        </row>
        <row r="513">
          <cell r="C513">
            <v>7220000</v>
          </cell>
          <cell r="D513">
            <v>782600</v>
          </cell>
          <cell r="E513">
            <v>733920</v>
          </cell>
          <cell r="F513">
            <v>603810</v>
          </cell>
          <cell r="G513">
            <v>573810</v>
          </cell>
          <cell r="H513">
            <v>543810</v>
          </cell>
          <cell r="I513">
            <v>513810</v>
          </cell>
          <cell r="J513">
            <v>483810</v>
          </cell>
          <cell r="K513">
            <v>463010</v>
          </cell>
          <cell r="L513">
            <v>444260</v>
          </cell>
          <cell r="M513">
            <v>425510</v>
          </cell>
          <cell r="N513">
            <v>406760</v>
          </cell>
        </row>
        <row r="514">
          <cell r="C514">
            <v>7240000</v>
          </cell>
          <cell r="D514">
            <v>787140</v>
          </cell>
          <cell r="E514">
            <v>738440</v>
          </cell>
          <cell r="F514">
            <v>608040</v>
          </cell>
          <cell r="G514">
            <v>578040</v>
          </cell>
          <cell r="H514">
            <v>548040</v>
          </cell>
          <cell r="I514">
            <v>518040</v>
          </cell>
          <cell r="J514">
            <v>488040</v>
          </cell>
          <cell r="K514">
            <v>465650</v>
          </cell>
          <cell r="L514">
            <v>446900</v>
          </cell>
          <cell r="M514">
            <v>428150</v>
          </cell>
          <cell r="N514">
            <v>409400</v>
          </cell>
        </row>
        <row r="515">
          <cell r="C515">
            <v>7260000</v>
          </cell>
          <cell r="D515">
            <v>791670</v>
          </cell>
          <cell r="E515">
            <v>742950</v>
          </cell>
          <cell r="F515">
            <v>612260</v>
          </cell>
          <cell r="G515">
            <v>582260</v>
          </cell>
          <cell r="H515">
            <v>552260</v>
          </cell>
          <cell r="I515">
            <v>522260</v>
          </cell>
          <cell r="J515">
            <v>492260</v>
          </cell>
          <cell r="K515">
            <v>468290</v>
          </cell>
          <cell r="L515">
            <v>449540</v>
          </cell>
          <cell r="M515">
            <v>430790</v>
          </cell>
          <cell r="N515">
            <v>412040</v>
          </cell>
        </row>
        <row r="516">
          <cell r="C516">
            <v>7280000</v>
          </cell>
          <cell r="D516">
            <v>796210</v>
          </cell>
          <cell r="E516">
            <v>747460</v>
          </cell>
          <cell r="F516">
            <v>616480</v>
          </cell>
          <cell r="G516">
            <v>586480</v>
          </cell>
          <cell r="H516">
            <v>556480</v>
          </cell>
          <cell r="I516">
            <v>526480</v>
          </cell>
          <cell r="J516">
            <v>496480</v>
          </cell>
          <cell r="K516">
            <v>470930</v>
          </cell>
          <cell r="L516">
            <v>452180</v>
          </cell>
          <cell r="M516">
            <v>433430</v>
          </cell>
          <cell r="N516">
            <v>414680</v>
          </cell>
        </row>
        <row r="517">
          <cell r="C517">
            <v>7300000</v>
          </cell>
          <cell r="D517">
            <v>800740</v>
          </cell>
          <cell r="E517">
            <v>751970</v>
          </cell>
          <cell r="F517">
            <v>620710</v>
          </cell>
          <cell r="G517">
            <v>590710</v>
          </cell>
          <cell r="H517">
            <v>560710</v>
          </cell>
          <cell r="I517">
            <v>530710</v>
          </cell>
          <cell r="J517">
            <v>500710</v>
          </cell>
          <cell r="K517">
            <v>473570</v>
          </cell>
          <cell r="L517">
            <v>454820</v>
          </cell>
          <cell r="M517">
            <v>436070</v>
          </cell>
          <cell r="N517">
            <v>417320</v>
          </cell>
        </row>
        <row r="518">
          <cell r="C518">
            <v>7320000</v>
          </cell>
          <cell r="D518">
            <v>805280</v>
          </cell>
          <cell r="E518">
            <v>756480</v>
          </cell>
          <cell r="F518">
            <v>624930</v>
          </cell>
          <cell r="G518">
            <v>594930</v>
          </cell>
          <cell r="H518">
            <v>564930</v>
          </cell>
          <cell r="I518">
            <v>534930</v>
          </cell>
          <cell r="J518">
            <v>504930</v>
          </cell>
          <cell r="K518">
            <v>476210</v>
          </cell>
          <cell r="L518">
            <v>457460</v>
          </cell>
          <cell r="M518">
            <v>438710</v>
          </cell>
          <cell r="N518">
            <v>419960</v>
          </cell>
        </row>
        <row r="519">
          <cell r="C519">
            <v>7340000</v>
          </cell>
          <cell r="D519">
            <v>809820</v>
          </cell>
          <cell r="E519">
            <v>761000</v>
          </cell>
          <cell r="F519">
            <v>629160</v>
          </cell>
          <cell r="G519">
            <v>599160</v>
          </cell>
          <cell r="H519">
            <v>569160</v>
          </cell>
          <cell r="I519">
            <v>539160</v>
          </cell>
          <cell r="J519">
            <v>509160</v>
          </cell>
          <cell r="K519">
            <v>479160</v>
          </cell>
          <cell r="L519">
            <v>460100</v>
          </cell>
          <cell r="M519">
            <v>441350</v>
          </cell>
          <cell r="N519">
            <v>422600</v>
          </cell>
        </row>
        <row r="520">
          <cell r="C520">
            <v>7360000</v>
          </cell>
          <cell r="D520">
            <v>814350</v>
          </cell>
          <cell r="E520">
            <v>765510</v>
          </cell>
          <cell r="F520">
            <v>633380</v>
          </cell>
          <cell r="G520">
            <v>603380</v>
          </cell>
          <cell r="H520">
            <v>573380</v>
          </cell>
          <cell r="I520">
            <v>543380</v>
          </cell>
          <cell r="J520">
            <v>513380</v>
          </cell>
          <cell r="K520">
            <v>483380</v>
          </cell>
          <cell r="L520">
            <v>462740</v>
          </cell>
          <cell r="M520">
            <v>443990</v>
          </cell>
          <cell r="N520">
            <v>425240</v>
          </cell>
        </row>
        <row r="521">
          <cell r="C521">
            <v>7380000</v>
          </cell>
          <cell r="D521">
            <v>818890</v>
          </cell>
          <cell r="E521">
            <v>770020</v>
          </cell>
          <cell r="F521">
            <v>637600</v>
          </cell>
          <cell r="G521">
            <v>607600</v>
          </cell>
          <cell r="H521">
            <v>577600</v>
          </cell>
          <cell r="I521">
            <v>547600</v>
          </cell>
          <cell r="J521">
            <v>517600</v>
          </cell>
          <cell r="K521">
            <v>487600</v>
          </cell>
          <cell r="L521">
            <v>465380</v>
          </cell>
          <cell r="M521">
            <v>446630</v>
          </cell>
          <cell r="N521">
            <v>427880</v>
          </cell>
        </row>
        <row r="522">
          <cell r="C522">
            <v>7400000</v>
          </cell>
          <cell r="D522">
            <v>823420</v>
          </cell>
          <cell r="E522">
            <v>774530</v>
          </cell>
          <cell r="F522">
            <v>641830</v>
          </cell>
          <cell r="G522">
            <v>611830</v>
          </cell>
          <cell r="H522">
            <v>581830</v>
          </cell>
          <cell r="I522">
            <v>551830</v>
          </cell>
          <cell r="J522">
            <v>521830</v>
          </cell>
          <cell r="K522">
            <v>491830</v>
          </cell>
          <cell r="L522">
            <v>468020</v>
          </cell>
          <cell r="M522">
            <v>449270</v>
          </cell>
          <cell r="N522">
            <v>430520</v>
          </cell>
        </row>
        <row r="523">
          <cell r="C523">
            <v>7420000</v>
          </cell>
          <cell r="D523">
            <v>827960</v>
          </cell>
          <cell r="E523">
            <v>779040</v>
          </cell>
          <cell r="F523">
            <v>646050</v>
          </cell>
          <cell r="G523">
            <v>616050</v>
          </cell>
          <cell r="H523">
            <v>586050</v>
          </cell>
          <cell r="I523">
            <v>556050</v>
          </cell>
          <cell r="J523">
            <v>526050</v>
          </cell>
          <cell r="K523">
            <v>496050</v>
          </cell>
          <cell r="L523">
            <v>470660</v>
          </cell>
          <cell r="M523">
            <v>451910</v>
          </cell>
          <cell r="N523">
            <v>433160</v>
          </cell>
        </row>
        <row r="524">
          <cell r="C524">
            <v>7440000</v>
          </cell>
          <cell r="D524">
            <v>832500</v>
          </cell>
          <cell r="E524">
            <v>783560</v>
          </cell>
          <cell r="F524">
            <v>650280</v>
          </cell>
          <cell r="G524">
            <v>620280</v>
          </cell>
          <cell r="H524">
            <v>590280</v>
          </cell>
          <cell r="I524">
            <v>560280</v>
          </cell>
          <cell r="J524">
            <v>530280</v>
          </cell>
          <cell r="K524">
            <v>500280</v>
          </cell>
          <cell r="L524">
            <v>473300</v>
          </cell>
          <cell r="M524">
            <v>454550</v>
          </cell>
          <cell r="N524">
            <v>435800</v>
          </cell>
        </row>
        <row r="525">
          <cell r="C525">
            <v>7460000</v>
          </cell>
          <cell r="D525">
            <v>837030</v>
          </cell>
          <cell r="E525">
            <v>788070</v>
          </cell>
          <cell r="F525">
            <v>654500</v>
          </cell>
          <cell r="G525">
            <v>624500</v>
          </cell>
          <cell r="H525">
            <v>594500</v>
          </cell>
          <cell r="I525">
            <v>564500</v>
          </cell>
          <cell r="J525">
            <v>534500</v>
          </cell>
          <cell r="K525">
            <v>504500</v>
          </cell>
          <cell r="L525">
            <v>475940</v>
          </cell>
          <cell r="M525">
            <v>457190</v>
          </cell>
          <cell r="N525">
            <v>438440</v>
          </cell>
        </row>
        <row r="526">
          <cell r="C526">
            <v>7480000</v>
          </cell>
          <cell r="D526">
            <v>841570</v>
          </cell>
          <cell r="E526">
            <v>792580</v>
          </cell>
          <cell r="F526">
            <v>658720</v>
          </cell>
          <cell r="G526">
            <v>628720</v>
          </cell>
          <cell r="H526">
            <v>598720</v>
          </cell>
          <cell r="I526">
            <v>568720</v>
          </cell>
          <cell r="J526">
            <v>538720</v>
          </cell>
          <cell r="K526">
            <v>508720</v>
          </cell>
          <cell r="L526">
            <v>478720</v>
          </cell>
          <cell r="M526">
            <v>459830</v>
          </cell>
          <cell r="N526">
            <v>441080</v>
          </cell>
        </row>
        <row r="527">
          <cell r="C527">
            <v>7500000</v>
          </cell>
          <cell r="D527">
            <v>846100</v>
          </cell>
          <cell r="E527">
            <v>797090</v>
          </cell>
          <cell r="F527">
            <v>662950</v>
          </cell>
          <cell r="G527">
            <v>632950</v>
          </cell>
          <cell r="H527">
            <v>602950</v>
          </cell>
          <cell r="I527">
            <v>572950</v>
          </cell>
          <cell r="J527">
            <v>542950</v>
          </cell>
          <cell r="K527">
            <v>512950</v>
          </cell>
          <cell r="L527">
            <v>482950</v>
          </cell>
          <cell r="M527">
            <v>462470</v>
          </cell>
          <cell r="N527">
            <v>443720</v>
          </cell>
        </row>
        <row r="528">
          <cell r="C528">
            <v>7520000</v>
          </cell>
          <cell r="D528">
            <v>850640</v>
          </cell>
          <cell r="E528">
            <v>801600</v>
          </cell>
          <cell r="F528">
            <v>667170</v>
          </cell>
          <cell r="G528">
            <v>637170</v>
          </cell>
          <cell r="H528">
            <v>607170</v>
          </cell>
          <cell r="I528">
            <v>577170</v>
          </cell>
          <cell r="J528">
            <v>547170</v>
          </cell>
          <cell r="K528">
            <v>517170</v>
          </cell>
          <cell r="L528">
            <v>487170</v>
          </cell>
          <cell r="M528">
            <v>465110</v>
          </cell>
          <cell r="N528">
            <v>446360</v>
          </cell>
        </row>
        <row r="529">
          <cell r="C529">
            <v>7540000</v>
          </cell>
          <cell r="D529">
            <v>855180</v>
          </cell>
          <cell r="E529">
            <v>806120</v>
          </cell>
          <cell r="F529">
            <v>671400</v>
          </cell>
          <cell r="G529">
            <v>641400</v>
          </cell>
          <cell r="H529">
            <v>611400</v>
          </cell>
          <cell r="I529">
            <v>581400</v>
          </cell>
          <cell r="J529">
            <v>551400</v>
          </cell>
          <cell r="K529">
            <v>521400</v>
          </cell>
          <cell r="L529">
            <v>491400</v>
          </cell>
          <cell r="M529">
            <v>467750</v>
          </cell>
          <cell r="N529">
            <v>449000</v>
          </cell>
        </row>
        <row r="530">
          <cell r="C530">
            <v>7560000</v>
          </cell>
          <cell r="D530">
            <v>859710</v>
          </cell>
          <cell r="E530">
            <v>810630</v>
          </cell>
          <cell r="F530">
            <v>675620</v>
          </cell>
          <cell r="G530">
            <v>645620</v>
          </cell>
          <cell r="H530">
            <v>615620</v>
          </cell>
          <cell r="I530">
            <v>585620</v>
          </cell>
          <cell r="J530">
            <v>555620</v>
          </cell>
          <cell r="K530">
            <v>525620</v>
          </cell>
          <cell r="L530">
            <v>495620</v>
          </cell>
          <cell r="M530">
            <v>470390</v>
          </cell>
          <cell r="N530">
            <v>451640</v>
          </cell>
        </row>
        <row r="531">
          <cell r="C531">
            <v>7580000</v>
          </cell>
          <cell r="D531">
            <v>864250</v>
          </cell>
          <cell r="E531">
            <v>815140</v>
          </cell>
          <cell r="F531">
            <v>679840</v>
          </cell>
          <cell r="G531">
            <v>649840</v>
          </cell>
          <cell r="H531">
            <v>619840</v>
          </cell>
          <cell r="I531">
            <v>589840</v>
          </cell>
          <cell r="J531">
            <v>559840</v>
          </cell>
          <cell r="K531">
            <v>529840</v>
          </cell>
          <cell r="L531">
            <v>499840</v>
          </cell>
          <cell r="M531">
            <v>473030</v>
          </cell>
          <cell r="N531">
            <v>454280</v>
          </cell>
        </row>
        <row r="532">
          <cell r="C532">
            <v>7600000</v>
          </cell>
          <cell r="D532">
            <v>868780</v>
          </cell>
          <cell r="E532">
            <v>819650</v>
          </cell>
          <cell r="F532">
            <v>684070</v>
          </cell>
          <cell r="G532">
            <v>654070</v>
          </cell>
          <cell r="H532">
            <v>624070</v>
          </cell>
          <cell r="I532">
            <v>594070</v>
          </cell>
          <cell r="J532">
            <v>564070</v>
          </cell>
          <cell r="K532">
            <v>534070</v>
          </cell>
          <cell r="L532">
            <v>504070</v>
          </cell>
          <cell r="M532">
            <v>475670</v>
          </cell>
          <cell r="N532">
            <v>456920</v>
          </cell>
        </row>
        <row r="533">
          <cell r="C533">
            <v>7620000</v>
          </cell>
          <cell r="D533">
            <v>873320</v>
          </cell>
          <cell r="E533">
            <v>824160</v>
          </cell>
          <cell r="F533">
            <v>688290</v>
          </cell>
          <cell r="G533">
            <v>658290</v>
          </cell>
          <cell r="H533">
            <v>628290</v>
          </cell>
          <cell r="I533">
            <v>598290</v>
          </cell>
          <cell r="J533">
            <v>568290</v>
          </cell>
          <cell r="K533">
            <v>538290</v>
          </cell>
          <cell r="L533">
            <v>508290</v>
          </cell>
          <cell r="M533">
            <v>478310</v>
          </cell>
          <cell r="N533">
            <v>459560</v>
          </cell>
        </row>
        <row r="534">
          <cell r="C534">
            <v>7640000</v>
          </cell>
          <cell r="D534">
            <v>877860</v>
          </cell>
          <cell r="E534">
            <v>828680</v>
          </cell>
          <cell r="F534">
            <v>692520</v>
          </cell>
          <cell r="G534">
            <v>662520</v>
          </cell>
          <cell r="H534">
            <v>632520</v>
          </cell>
          <cell r="I534">
            <v>602520</v>
          </cell>
          <cell r="J534">
            <v>572520</v>
          </cell>
          <cell r="K534">
            <v>542520</v>
          </cell>
          <cell r="L534">
            <v>512520</v>
          </cell>
          <cell r="M534">
            <v>482520</v>
          </cell>
          <cell r="N534">
            <v>462200</v>
          </cell>
        </row>
        <row r="535">
          <cell r="C535">
            <v>7660000</v>
          </cell>
          <cell r="D535">
            <v>882390</v>
          </cell>
          <cell r="E535">
            <v>833190</v>
          </cell>
          <cell r="F535">
            <v>696740</v>
          </cell>
          <cell r="G535">
            <v>666740</v>
          </cell>
          <cell r="H535">
            <v>636740</v>
          </cell>
          <cell r="I535">
            <v>606740</v>
          </cell>
          <cell r="J535">
            <v>576740</v>
          </cell>
          <cell r="K535">
            <v>546740</v>
          </cell>
          <cell r="L535">
            <v>516740</v>
          </cell>
          <cell r="M535">
            <v>486740</v>
          </cell>
          <cell r="N535">
            <v>464840</v>
          </cell>
        </row>
        <row r="536">
          <cell r="C536">
            <v>7680000</v>
          </cell>
          <cell r="D536">
            <v>886930</v>
          </cell>
          <cell r="E536">
            <v>837700</v>
          </cell>
          <cell r="F536">
            <v>700960</v>
          </cell>
          <cell r="G536">
            <v>670960</v>
          </cell>
          <cell r="H536">
            <v>640960</v>
          </cell>
          <cell r="I536">
            <v>610960</v>
          </cell>
          <cell r="J536">
            <v>580960</v>
          </cell>
          <cell r="K536">
            <v>550960</v>
          </cell>
          <cell r="L536">
            <v>520960</v>
          </cell>
          <cell r="M536">
            <v>490960</v>
          </cell>
          <cell r="N536">
            <v>467480</v>
          </cell>
        </row>
        <row r="537">
          <cell r="C537">
            <v>7700000</v>
          </cell>
          <cell r="D537">
            <v>891460</v>
          </cell>
          <cell r="E537">
            <v>842210</v>
          </cell>
          <cell r="F537">
            <v>705190</v>
          </cell>
          <cell r="G537">
            <v>675190</v>
          </cell>
          <cell r="H537">
            <v>645190</v>
          </cell>
          <cell r="I537">
            <v>615190</v>
          </cell>
          <cell r="J537">
            <v>585190</v>
          </cell>
          <cell r="K537">
            <v>555190</v>
          </cell>
          <cell r="L537">
            <v>525190</v>
          </cell>
          <cell r="M537">
            <v>495190</v>
          </cell>
          <cell r="N537">
            <v>470120</v>
          </cell>
        </row>
        <row r="538">
          <cell r="C538">
            <v>7720000</v>
          </cell>
          <cell r="D538">
            <v>896000</v>
          </cell>
          <cell r="E538">
            <v>846720</v>
          </cell>
          <cell r="F538">
            <v>709410</v>
          </cell>
          <cell r="G538">
            <v>679410</v>
          </cell>
          <cell r="H538">
            <v>649410</v>
          </cell>
          <cell r="I538">
            <v>619410</v>
          </cell>
          <cell r="J538">
            <v>589410</v>
          </cell>
          <cell r="K538">
            <v>559410</v>
          </cell>
          <cell r="L538">
            <v>529410</v>
          </cell>
          <cell r="M538">
            <v>499410</v>
          </cell>
          <cell r="N538">
            <v>472760</v>
          </cell>
        </row>
        <row r="539">
          <cell r="C539">
            <v>7740000</v>
          </cell>
          <cell r="D539">
            <v>900540</v>
          </cell>
          <cell r="E539">
            <v>851240</v>
          </cell>
          <cell r="F539">
            <v>713640</v>
          </cell>
          <cell r="G539">
            <v>683640</v>
          </cell>
          <cell r="H539">
            <v>653640</v>
          </cell>
          <cell r="I539">
            <v>623640</v>
          </cell>
          <cell r="J539">
            <v>593640</v>
          </cell>
          <cell r="K539">
            <v>563640</v>
          </cell>
          <cell r="L539">
            <v>533640</v>
          </cell>
          <cell r="M539">
            <v>503640</v>
          </cell>
          <cell r="N539">
            <v>475400</v>
          </cell>
        </row>
        <row r="540">
          <cell r="C540">
            <v>7760000</v>
          </cell>
          <cell r="D540">
            <v>905070</v>
          </cell>
          <cell r="E540">
            <v>855750</v>
          </cell>
          <cell r="F540">
            <v>717860</v>
          </cell>
          <cell r="G540">
            <v>687860</v>
          </cell>
          <cell r="H540">
            <v>657860</v>
          </cell>
          <cell r="I540">
            <v>627860</v>
          </cell>
          <cell r="J540">
            <v>597860</v>
          </cell>
          <cell r="K540">
            <v>567860</v>
          </cell>
          <cell r="L540">
            <v>537860</v>
          </cell>
          <cell r="M540">
            <v>507860</v>
          </cell>
          <cell r="N540">
            <v>478040</v>
          </cell>
        </row>
        <row r="541">
          <cell r="C541">
            <v>7780000</v>
          </cell>
          <cell r="D541">
            <v>909610</v>
          </cell>
          <cell r="E541">
            <v>860260</v>
          </cell>
          <cell r="F541">
            <v>722080</v>
          </cell>
          <cell r="G541">
            <v>692080</v>
          </cell>
          <cell r="H541">
            <v>662080</v>
          </cell>
          <cell r="I541">
            <v>632080</v>
          </cell>
          <cell r="J541">
            <v>602080</v>
          </cell>
          <cell r="K541">
            <v>572080</v>
          </cell>
          <cell r="L541">
            <v>542080</v>
          </cell>
          <cell r="M541">
            <v>512080</v>
          </cell>
          <cell r="N541">
            <v>482080</v>
          </cell>
        </row>
        <row r="542">
          <cell r="C542">
            <v>7800000</v>
          </cell>
          <cell r="D542">
            <v>914140</v>
          </cell>
          <cell r="E542">
            <v>864770</v>
          </cell>
          <cell r="F542">
            <v>726310</v>
          </cell>
          <cell r="G542">
            <v>696310</v>
          </cell>
          <cell r="H542">
            <v>666310</v>
          </cell>
          <cell r="I542">
            <v>636310</v>
          </cell>
          <cell r="J542">
            <v>606310</v>
          </cell>
          <cell r="K542">
            <v>576310</v>
          </cell>
          <cell r="L542">
            <v>546310</v>
          </cell>
          <cell r="M542">
            <v>516310</v>
          </cell>
          <cell r="N542">
            <v>486310</v>
          </cell>
        </row>
        <row r="543">
          <cell r="C543">
            <v>7820000</v>
          </cell>
          <cell r="D543">
            <v>918680</v>
          </cell>
          <cell r="E543">
            <v>869280</v>
          </cell>
          <cell r="F543">
            <v>730530</v>
          </cell>
          <cell r="G543">
            <v>700530</v>
          </cell>
          <cell r="H543">
            <v>670530</v>
          </cell>
          <cell r="I543">
            <v>640530</v>
          </cell>
          <cell r="J543">
            <v>610530</v>
          </cell>
          <cell r="K543">
            <v>580530</v>
          </cell>
          <cell r="L543">
            <v>550530</v>
          </cell>
          <cell r="M543">
            <v>520530</v>
          </cell>
          <cell r="N543">
            <v>490530</v>
          </cell>
        </row>
        <row r="544">
          <cell r="C544">
            <v>7840000</v>
          </cell>
          <cell r="D544">
            <v>923220</v>
          </cell>
          <cell r="E544">
            <v>873800</v>
          </cell>
          <cell r="F544">
            <v>734760</v>
          </cell>
          <cell r="G544">
            <v>704760</v>
          </cell>
          <cell r="H544">
            <v>674760</v>
          </cell>
          <cell r="I544">
            <v>644760</v>
          </cell>
          <cell r="J544">
            <v>614760</v>
          </cell>
          <cell r="K544">
            <v>584760</v>
          </cell>
          <cell r="L544">
            <v>554760</v>
          </cell>
          <cell r="M544">
            <v>524760</v>
          </cell>
          <cell r="N544">
            <v>494760</v>
          </cell>
        </row>
        <row r="545">
          <cell r="C545">
            <v>7860000</v>
          </cell>
          <cell r="D545">
            <v>927750</v>
          </cell>
          <cell r="E545">
            <v>878310</v>
          </cell>
          <cell r="F545">
            <v>738980</v>
          </cell>
          <cell r="G545">
            <v>708980</v>
          </cell>
          <cell r="H545">
            <v>678980</v>
          </cell>
          <cell r="I545">
            <v>648980</v>
          </cell>
          <cell r="J545">
            <v>618980</v>
          </cell>
          <cell r="K545">
            <v>588980</v>
          </cell>
          <cell r="L545">
            <v>558980</v>
          </cell>
          <cell r="M545">
            <v>528980</v>
          </cell>
          <cell r="N545">
            <v>498980</v>
          </cell>
        </row>
        <row r="546">
          <cell r="C546">
            <v>7880000</v>
          </cell>
          <cell r="D546">
            <v>932290</v>
          </cell>
          <cell r="E546">
            <v>882820</v>
          </cell>
          <cell r="F546">
            <v>743200</v>
          </cell>
          <cell r="G546">
            <v>713200</v>
          </cell>
          <cell r="H546">
            <v>683200</v>
          </cell>
          <cell r="I546">
            <v>653200</v>
          </cell>
          <cell r="J546">
            <v>623200</v>
          </cell>
          <cell r="K546">
            <v>593200</v>
          </cell>
          <cell r="L546">
            <v>563200</v>
          </cell>
          <cell r="M546">
            <v>533200</v>
          </cell>
          <cell r="N546">
            <v>503200</v>
          </cell>
        </row>
        <row r="547">
          <cell r="C547">
            <v>7900000</v>
          </cell>
          <cell r="D547">
            <v>936820</v>
          </cell>
          <cell r="E547">
            <v>887330</v>
          </cell>
          <cell r="F547">
            <v>747430</v>
          </cell>
          <cell r="G547">
            <v>717430</v>
          </cell>
          <cell r="H547">
            <v>687430</v>
          </cell>
          <cell r="I547">
            <v>657430</v>
          </cell>
          <cell r="J547">
            <v>627430</v>
          </cell>
          <cell r="K547">
            <v>597430</v>
          </cell>
          <cell r="L547">
            <v>567430</v>
          </cell>
          <cell r="M547">
            <v>537430</v>
          </cell>
          <cell r="N547">
            <v>507430</v>
          </cell>
        </row>
        <row r="548">
          <cell r="C548">
            <v>7920000</v>
          </cell>
          <cell r="D548">
            <v>941360</v>
          </cell>
          <cell r="E548">
            <v>891840</v>
          </cell>
          <cell r="F548">
            <v>751650</v>
          </cell>
          <cell r="G548">
            <v>721650</v>
          </cell>
          <cell r="H548">
            <v>691650</v>
          </cell>
          <cell r="I548">
            <v>661650</v>
          </cell>
          <cell r="J548">
            <v>631650</v>
          </cell>
          <cell r="K548">
            <v>601650</v>
          </cell>
          <cell r="L548">
            <v>571650</v>
          </cell>
          <cell r="M548">
            <v>541650</v>
          </cell>
          <cell r="N548">
            <v>511650</v>
          </cell>
        </row>
        <row r="549">
          <cell r="C549">
            <v>7940000</v>
          </cell>
          <cell r="D549">
            <v>945900</v>
          </cell>
          <cell r="E549">
            <v>896360</v>
          </cell>
          <cell r="F549">
            <v>755880</v>
          </cell>
          <cell r="G549">
            <v>725880</v>
          </cell>
          <cell r="H549">
            <v>695880</v>
          </cell>
          <cell r="I549">
            <v>665880</v>
          </cell>
          <cell r="J549">
            <v>635880</v>
          </cell>
          <cell r="K549">
            <v>605880</v>
          </cell>
          <cell r="L549">
            <v>575880</v>
          </cell>
          <cell r="M549">
            <v>545880</v>
          </cell>
          <cell r="N549">
            <v>515880</v>
          </cell>
        </row>
        <row r="550">
          <cell r="C550">
            <v>7960000</v>
          </cell>
          <cell r="D550">
            <v>950430</v>
          </cell>
          <cell r="E550">
            <v>900870</v>
          </cell>
          <cell r="F550">
            <v>760100</v>
          </cell>
          <cell r="G550">
            <v>730100</v>
          </cell>
          <cell r="H550">
            <v>700100</v>
          </cell>
          <cell r="I550">
            <v>670100</v>
          </cell>
          <cell r="J550">
            <v>640100</v>
          </cell>
          <cell r="K550">
            <v>610100</v>
          </cell>
          <cell r="L550">
            <v>580100</v>
          </cell>
          <cell r="M550">
            <v>550100</v>
          </cell>
          <cell r="N550">
            <v>520100</v>
          </cell>
        </row>
        <row r="551">
          <cell r="C551">
            <v>7980000</v>
          </cell>
          <cell r="D551">
            <v>954970</v>
          </cell>
          <cell r="E551">
            <v>905380</v>
          </cell>
          <cell r="F551">
            <v>764320</v>
          </cell>
          <cell r="G551">
            <v>734320</v>
          </cell>
          <cell r="H551">
            <v>704320</v>
          </cell>
          <cell r="I551">
            <v>674320</v>
          </cell>
          <cell r="J551">
            <v>644320</v>
          </cell>
          <cell r="K551">
            <v>614320</v>
          </cell>
          <cell r="L551">
            <v>584320</v>
          </cell>
          <cell r="M551">
            <v>554320</v>
          </cell>
          <cell r="N551">
            <v>524320</v>
          </cell>
        </row>
        <row r="552">
          <cell r="C552">
            <v>8000000</v>
          </cell>
          <cell r="D552">
            <v>959500</v>
          </cell>
          <cell r="E552">
            <v>909890</v>
          </cell>
          <cell r="F552">
            <v>768550</v>
          </cell>
          <cell r="G552">
            <v>738550</v>
          </cell>
          <cell r="H552">
            <v>708550</v>
          </cell>
          <cell r="I552">
            <v>678550</v>
          </cell>
          <cell r="J552">
            <v>648550</v>
          </cell>
          <cell r="K552">
            <v>618550</v>
          </cell>
          <cell r="L552">
            <v>588550</v>
          </cell>
          <cell r="M552">
            <v>558550</v>
          </cell>
          <cell r="N552">
            <v>528550</v>
          </cell>
        </row>
        <row r="553">
          <cell r="C553">
            <v>8020000</v>
          </cell>
          <cell r="D553">
            <v>964040</v>
          </cell>
          <cell r="E553">
            <v>914400</v>
          </cell>
          <cell r="F553">
            <v>772770</v>
          </cell>
          <cell r="G553">
            <v>742770</v>
          </cell>
          <cell r="H553">
            <v>712770</v>
          </cell>
          <cell r="I553">
            <v>682770</v>
          </cell>
          <cell r="J553">
            <v>652770</v>
          </cell>
          <cell r="K553">
            <v>622770</v>
          </cell>
          <cell r="L553">
            <v>592770</v>
          </cell>
          <cell r="M553">
            <v>562770</v>
          </cell>
          <cell r="N553">
            <v>532770</v>
          </cell>
        </row>
        <row r="554">
          <cell r="C554">
            <v>8040000</v>
          </cell>
          <cell r="D554">
            <v>968580</v>
          </cell>
          <cell r="E554">
            <v>918920</v>
          </cell>
          <cell r="F554">
            <v>777000</v>
          </cell>
          <cell r="G554">
            <v>747000</v>
          </cell>
          <cell r="H554">
            <v>717000</v>
          </cell>
          <cell r="I554">
            <v>687000</v>
          </cell>
          <cell r="J554">
            <v>657000</v>
          </cell>
          <cell r="K554">
            <v>627000</v>
          </cell>
          <cell r="L554">
            <v>597000</v>
          </cell>
          <cell r="M554">
            <v>567000</v>
          </cell>
          <cell r="N554">
            <v>537000</v>
          </cell>
        </row>
        <row r="555">
          <cell r="C555">
            <v>8060000</v>
          </cell>
          <cell r="D555">
            <v>973110</v>
          </cell>
          <cell r="E555">
            <v>923430</v>
          </cell>
          <cell r="F555">
            <v>781220</v>
          </cell>
          <cell r="G555">
            <v>751220</v>
          </cell>
          <cell r="H555">
            <v>721220</v>
          </cell>
          <cell r="I555">
            <v>691220</v>
          </cell>
          <cell r="J555">
            <v>661220</v>
          </cell>
          <cell r="K555">
            <v>631220</v>
          </cell>
          <cell r="L555">
            <v>601220</v>
          </cell>
          <cell r="M555">
            <v>571220</v>
          </cell>
          <cell r="N555">
            <v>541220</v>
          </cell>
        </row>
        <row r="556">
          <cell r="C556">
            <v>8080000</v>
          </cell>
          <cell r="D556">
            <v>977650</v>
          </cell>
          <cell r="E556">
            <v>927940</v>
          </cell>
          <cell r="F556">
            <v>785440</v>
          </cell>
          <cell r="G556">
            <v>755440</v>
          </cell>
          <cell r="H556">
            <v>725440</v>
          </cell>
          <cell r="I556">
            <v>695440</v>
          </cell>
          <cell r="J556">
            <v>665440</v>
          </cell>
          <cell r="K556">
            <v>635440</v>
          </cell>
          <cell r="L556">
            <v>605440</v>
          </cell>
          <cell r="M556">
            <v>575440</v>
          </cell>
          <cell r="N556">
            <v>545440</v>
          </cell>
        </row>
        <row r="557">
          <cell r="C557">
            <v>8100000</v>
          </cell>
          <cell r="D557">
            <v>982180</v>
          </cell>
          <cell r="E557">
            <v>932450</v>
          </cell>
          <cell r="F557">
            <v>789670</v>
          </cell>
          <cell r="G557">
            <v>759670</v>
          </cell>
          <cell r="H557">
            <v>729670</v>
          </cell>
          <cell r="I557">
            <v>699670</v>
          </cell>
          <cell r="J557">
            <v>669670</v>
          </cell>
          <cell r="K557">
            <v>639670</v>
          </cell>
          <cell r="L557">
            <v>609670</v>
          </cell>
          <cell r="M557">
            <v>579670</v>
          </cell>
          <cell r="N557">
            <v>549670</v>
          </cell>
        </row>
        <row r="558">
          <cell r="C558">
            <v>8120000</v>
          </cell>
          <cell r="D558">
            <v>986720</v>
          </cell>
          <cell r="E558">
            <v>936960</v>
          </cell>
          <cell r="F558">
            <v>793890</v>
          </cell>
          <cell r="G558">
            <v>763890</v>
          </cell>
          <cell r="H558">
            <v>733890</v>
          </cell>
          <cell r="I558">
            <v>703890</v>
          </cell>
          <cell r="J558">
            <v>673890</v>
          </cell>
          <cell r="K558">
            <v>643890</v>
          </cell>
          <cell r="L558">
            <v>613890</v>
          </cell>
          <cell r="M558">
            <v>583890</v>
          </cell>
          <cell r="N558">
            <v>553890</v>
          </cell>
        </row>
        <row r="559">
          <cell r="C559">
            <v>8140000</v>
          </cell>
          <cell r="D559">
            <v>991260</v>
          </cell>
          <cell r="E559">
            <v>941480</v>
          </cell>
          <cell r="F559">
            <v>798120</v>
          </cell>
          <cell r="G559">
            <v>768120</v>
          </cell>
          <cell r="H559">
            <v>738120</v>
          </cell>
          <cell r="I559">
            <v>708120</v>
          </cell>
          <cell r="J559">
            <v>678120</v>
          </cell>
          <cell r="K559">
            <v>648120</v>
          </cell>
          <cell r="L559">
            <v>618120</v>
          </cell>
          <cell r="M559">
            <v>588120</v>
          </cell>
          <cell r="N559">
            <v>558120</v>
          </cell>
        </row>
        <row r="560">
          <cell r="C560">
            <v>8160000</v>
          </cell>
          <cell r="D560">
            <v>995790</v>
          </cell>
          <cell r="E560">
            <v>945990</v>
          </cell>
          <cell r="F560">
            <v>802340</v>
          </cell>
          <cell r="G560">
            <v>772340</v>
          </cell>
          <cell r="H560">
            <v>742340</v>
          </cell>
          <cell r="I560">
            <v>712340</v>
          </cell>
          <cell r="J560">
            <v>682340</v>
          </cell>
          <cell r="K560">
            <v>652340</v>
          </cell>
          <cell r="L560">
            <v>622340</v>
          </cell>
          <cell r="M560">
            <v>592340</v>
          </cell>
          <cell r="N560">
            <v>562340</v>
          </cell>
        </row>
        <row r="561">
          <cell r="C561">
            <v>8180000</v>
          </cell>
          <cell r="D561">
            <v>1000330</v>
          </cell>
          <cell r="E561">
            <v>950500</v>
          </cell>
          <cell r="F561">
            <v>806560</v>
          </cell>
          <cell r="G561">
            <v>776560</v>
          </cell>
          <cell r="H561">
            <v>746560</v>
          </cell>
          <cell r="I561">
            <v>716560</v>
          </cell>
          <cell r="J561">
            <v>686560</v>
          </cell>
          <cell r="K561">
            <v>656560</v>
          </cell>
          <cell r="L561">
            <v>626560</v>
          </cell>
          <cell r="M561">
            <v>596560</v>
          </cell>
          <cell r="N561">
            <v>566560</v>
          </cell>
        </row>
        <row r="562">
          <cell r="C562">
            <v>8200000</v>
          </cell>
          <cell r="D562">
            <v>1004860</v>
          </cell>
          <cell r="E562">
            <v>955010</v>
          </cell>
          <cell r="F562">
            <v>810790</v>
          </cell>
          <cell r="G562">
            <v>780790</v>
          </cell>
          <cell r="H562">
            <v>750790</v>
          </cell>
          <cell r="I562">
            <v>720790</v>
          </cell>
          <cell r="J562">
            <v>690790</v>
          </cell>
          <cell r="K562">
            <v>660790</v>
          </cell>
          <cell r="L562">
            <v>630790</v>
          </cell>
          <cell r="M562">
            <v>600790</v>
          </cell>
          <cell r="N562">
            <v>570790</v>
          </cell>
        </row>
        <row r="563">
          <cell r="C563">
            <v>8220000</v>
          </cell>
          <cell r="D563">
            <v>1009400</v>
          </cell>
          <cell r="E563">
            <v>959520</v>
          </cell>
          <cell r="F563">
            <v>815010</v>
          </cell>
          <cell r="G563">
            <v>785010</v>
          </cell>
          <cell r="H563">
            <v>755010</v>
          </cell>
          <cell r="I563">
            <v>725010</v>
          </cell>
          <cell r="J563">
            <v>695010</v>
          </cell>
          <cell r="K563">
            <v>665010</v>
          </cell>
          <cell r="L563">
            <v>635010</v>
          </cell>
          <cell r="M563">
            <v>605010</v>
          </cell>
          <cell r="N563">
            <v>575010</v>
          </cell>
        </row>
        <row r="564">
          <cell r="C564">
            <v>8240000</v>
          </cell>
          <cell r="D564">
            <v>1013940</v>
          </cell>
          <cell r="E564">
            <v>964040</v>
          </cell>
          <cell r="F564">
            <v>819240</v>
          </cell>
          <cell r="G564">
            <v>789240</v>
          </cell>
          <cell r="H564">
            <v>759240</v>
          </cell>
          <cell r="I564">
            <v>729240</v>
          </cell>
          <cell r="J564">
            <v>699240</v>
          </cell>
          <cell r="K564">
            <v>669240</v>
          </cell>
          <cell r="L564">
            <v>639240</v>
          </cell>
          <cell r="M564">
            <v>609240</v>
          </cell>
          <cell r="N564">
            <v>579240</v>
          </cell>
        </row>
        <row r="565">
          <cell r="C565">
            <v>8260000</v>
          </cell>
          <cell r="D565">
            <v>1018470</v>
          </cell>
          <cell r="E565">
            <v>968550</v>
          </cell>
          <cell r="F565">
            <v>823460</v>
          </cell>
          <cell r="G565">
            <v>793460</v>
          </cell>
          <cell r="H565">
            <v>763460</v>
          </cell>
          <cell r="I565">
            <v>733460</v>
          </cell>
          <cell r="J565">
            <v>703460</v>
          </cell>
          <cell r="K565">
            <v>673460</v>
          </cell>
          <cell r="L565">
            <v>643460</v>
          </cell>
          <cell r="M565">
            <v>613460</v>
          </cell>
          <cell r="N565">
            <v>583460</v>
          </cell>
        </row>
        <row r="566">
          <cell r="C566">
            <v>8280000</v>
          </cell>
          <cell r="D566">
            <v>1023010</v>
          </cell>
          <cell r="E566">
            <v>973060</v>
          </cell>
          <cell r="F566">
            <v>827680</v>
          </cell>
          <cell r="G566">
            <v>797680</v>
          </cell>
          <cell r="H566">
            <v>767680</v>
          </cell>
          <cell r="I566">
            <v>737680</v>
          </cell>
          <cell r="J566">
            <v>707680</v>
          </cell>
          <cell r="K566">
            <v>677680</v>
          </cell>
          <cell r="L566">
            <v>647680</v>
          </cell>
          <cell r="M566">
            <v>617680</v>
          </cell>
          <cell r="N566">
            <v>587680</v>
          </cell>
        </row>
        <row r="567">
          <cell r="C567">
            <v>8300000</v>
          </cell>
          <cell r="D567">
            <v>1027540</v>
          </cell>
          <cell r="E567">
            <v>977570</v>
          </cell>
          <cell r="F567">
            <v>831910</v>
          </cell>
          <cell r="G567">
            <v>801910</v>
          </cell>
          <cell r="H567">
            <v>771910</v>
          </cell>
          <cell r="I567">
            <v>741910</v>
          </cell>
          <cell r="J567">
            <v>711910</v>
          </cell>
          <cell r="K567">
            <v>681910</v>
          </cell>
          <cell r="L567">
            <v>651910</v>
          </cell>
          <cell r="M567">
            <v>621910</v>
          </cell>
          <cell r="N567">
            <v>591910</v>
          </cell>
        </row>
        <row r="568">
          <cell r="C568">
            <v>8320000</v>
          </cell>
          <cell r="D568">
            <v>1032080</v>
          </cell>
          <cell r="E568">
            <v>982080</v>
          </cell>
          <cell r="F568">
            <v>836130</v>
          </cell>
          <cell r="G568">
            <v>806130</v>
          </cell>
          <cell r="H568">
            <v>776130</v>
          </cell>
          <cell r="I568">
            <v>746130</v>
          </cell>
          <cell r="J568">
            <v>716130</v>
          </cell>
          <cell r="K568">
            <v>686130</v>
          </cell>
          <cell r="L568">
            <v>656130</v>
          </cell>
          <cell r="M568">
            <v>626130</v>
          </cell>
          <cell r="N568">
            <v>596130</v>
          </cell>
        </row>
        <row r="569">
          <cell r="C569">
            <v>8340000</v>
          </cell>
          <cell r="D569">
            <v>1036740</v>
          </cell>
          <cell r="E569">
            <v>986720</v>
          </cell>
          <cell r="F569">
            <v>840480</v>
          </cell>
          <cell r="G569">
            <v>810480</v>
          </cell>
          <cell r="H569">
            <v>780480</v>
          </cell>
          <cell r="I569">
            <v>750480</v>
          </cell>
          <cell r="J569">
            <v>720480</v>
          </cell>
          <cell r="K569">
            <v>690480</v>
          </cell>
          <cell r="L569">
            <v>660480</v>
          </cell>
          <cell r="M569">
            <v>630480</v>
          </cell>
          <cell r="N569">
            <v>600480</v>
          </cell>
        </row>
        <row r="570">
          <cell r="C570">
            <v>8360000</v>
          </cell>
          <cell r="D570">
            <v>1041420</v>
          </cell>
          <cell r="E570">
            <v>991370</v>
          </cell>
          <cell r="F570">
            <v>844840</v>
          </cell>
          <cell r="G570">
            <v>814840</v>
          </cell>
          <cell r="H570">
            <v>784840</v>
          </cell>
          <cell r="I570">
            <v>754840</v>
          </cell>
          <cell r="J570">
            <v>724840</v>
          </cell>
          <cell r="K570">
            <v>694840</v>
          </cell>
          <cell r="L570">
            <v>664840</v>
          </cell>
          <cell r="M570">
            <v>634840</v>
          </cell>
          <cell r="N570">
            <v>604840</v>
          </cell>
        </row>
        <row r="571">
          <cell r="C571">
            <v>8380000</v>
          </cell>
          <cell r="D571">
            <v>1046100</v>
          </cell>
          <cell r="E571">
            <v>996030</v>
          </cell>
          <cell r="F571">
            <v>849210</v>
          </cell>
          <cell r="G571">
            <v>819210</v>
          </cell>
          <cell r="H571">
            <v>789210</v>
          </cell>
          <cell r="I571">
            <v>759210</v>
          </cell>
          <cell r="J571">
            <v>729210</v>
          </cell>
          <cell r="K571">
            <v>699210</v>
          </cell>
          <cell r="L571">
            <v>669210</v>
          </cell>
          <cell r="M571">
            <v>639210</v>
          </cell>
          <cell r="N571">
            <v>609210</v>
          </cell>
        </row>
        <row r="572">
          <cell r="C572">
            <v>8400000</v>
          </cell>
          <cell r="D572">
            <v>1050780</v>
          </cell>
          <cell r="E572">
            <v>1000680</v>
          </cell>
          <cell r="F572">
            <v>853580</v>
          </cell>
          <cell r="G572">
            <v>823580</v>
          </cell>
          <cell r="H572">
            <v>793580</v>
          </cell>
          <cell r="I572">
            <v>763580</v>
          </cell>
          <cell r="J572">
            <v>733580</v>
          </cell>
          <cell r="K572">
            <v>703580</v>
          </cell>
          <cell r="L572">
            <v>673580</v>
          </cell>
          <cell r="M572">
            <v>643580</v>
          </cell>
          <cell r="N572">
            <v>613580</v>
          </cell>
        </row>
        <row r="573">
          <cell r="C573">
            <v>8420000</v>
          </cell>
          <cell r="D573">
            <v>1055460</v>
          </cell>
          <cell r="E573">
            <v>1005340</v>
          </cell>
          <cell r="F573">
            <v>857950</v>
          </cell>
          <cell r="G573">
            <v>827950</v>
          </cell>
          <cell r="H573">
            <v>797950</v>
          </cell>
          <cell r="I573">
            <v>767950</v>
          </cell>
          <cell r="J573">
            <v>737950</v>
          </cell>
          <cell r="K573">
            <v>707950</v>
          </cell>
          <cell r="L573">
            <v>677950</v>
          </cell>
          <cell r="M573">
            <v>647950</v>
          </cell>
          <cell r="N573">
            <v>617950</v>
          </cell>
        </row>
        <row r="574">
          <cell r="C574">
            <v>8440000</v>
          </cell>
          <cell r="D574">
            <v>1060140</v>
          </cell>
          <cell r="E574">
            <v>1010000</v>
          </cell>
          <cell r="F574">
            <v>862320</v>
          </cell>
          <cell r="G574">
            <v>832320</v>
          </cell>
          <cell r="H574">
            <v>802320</v>
          </cell>
          <cell r="I574">
            <v>772320</v>
          </cell>
          <cell r="J574">
            <v>742320</v>
          </cell>
          <cell r="K574">
            <v>712320</v>
          </cell>
          <cell r="L574">
            <v>682320</v>
          </cell>
          <cell r="M574">
            <v>652320</v>
          </cell>
          <cell r="N574">
            <v>622320</v>
          </cell>
        </row>
        <row r="575">
          <cell r="C575">
            <v>8460000</v>
          </cell>
          <cell r="D575">
            <v>1064820</v>
          </cell>
          <cell r="E575">
            <v>1014650</v>
          </cell>
          <cell r="F575">
            <v>866680</v>
          </cell>
          <cell r="G575">
            <v>836680</v>
          </cell>
          <cell r="H575">
            <v>806680</v>
          </cell>
          <cell r="I575">
            <v>776680</v>
          </cell>
          <cell r="J575">
            <v>746680</v>
          </cell>
          <cell r="K575">
            <v>716680</v>
          </cell>
          <cell r="L575">
            <v>686680</v>
          </cell>
          <cell r="M575">
            <v>656680</v>
          </cell>
          <cell r="N575">
            <v>626680</v>
          </cell>
        </row>
        <row r="576">
          <cell r="C576">
            <v>8480000</v>
          </cell>
          <cell r="D576">
            <v>1069500</v>
          </cell>
          <cell r="E576">
            <v>1019310</v>
          </cell>
          <cell r="F576">
            <v>871050</v>
          </cell>
          <cell r="G576">
            <v>841050</v>
          </cell>
          <cell r="H576">
            <v>811050</v>
          </cell>
          <cell r="I576">
            <v>781050</v>
          </cell>
          <cell r="J576">
            <v>751050</v>
          </cell>
          <cell r="K576">
            <v>721050</v>
          </cell>
          <cell r="L576">
            <v>691050</v>
          </cell>
          <cell r="M576">
            <v>661050</v>
          </cell>
          <cell r="N576">
            <v>631050</v>
          </cell>
        </row>
        <row r="577">
          <cell r="C577">
            <v>8500000</v>
          </cell>
          <cell r="D577">
            <v>1074180</v>
          </cell>
          <cell r="E577">
            <v>1023960</v>
          </cell>
          <cell r="F577">
            <v>875420</v>
          </cell>
          <cell r="G577">
            <v>845420</v>
          </cell>
          <cell r="H577">
            <v>815420</v>
          </cell>
          <cell r="I577">
            <v>785420</v>
          </cell>
          <cell r="J577">
            <v>755420</v>
          </cell>
          <cell r="K577">
            <v>725420</v>
          </cell>
          <cell r="L577">
            <v>695420</v>
          </cell>
          <cell r="M577">
            <v>665420</v>
          </cell>
          <cell r="N577">
            <v>635420</v>
          </cell>
        </row>
        <row r="578">
          <cell r="C578">
            <v>8520000</v>
          </cell>
          <cell r="D578">
            <v>1078860</v>
          </cell>
          <cell r="E578">
            <v>1028620</v>
          </cell>
          <cell r="F578">
            <v>879790</v>
          </cell>
          <cell r="G578">
            <v>849790</v>
          </cell>
          <cell r="H578">
            <v>819790</v>
          </cell>
          <cell r="I578">
            <v>789790</v>
          </cell>
          <cell r="J578">
            <v>759790</v>
          </cell>
          <cell r="K578">
            <v>729790</v>
          </cell>
          <cell r="L578">
            <v>699790</v>
          </cell>
          <cell r="M578">
            <v>669790</v>
          </cell>
          <cell r="N578">
            <v>639790</v>
          </cell>
        </row>
        <row r="579">
          <cell r="C579">
            <v>8540000</v>
          </cell>
          <cell r="D579">
            <v>1083540</v>
          </cell>
          <cell r="E579">
            <v>1033280</v>
          </cell>
          <cell r="F579">
            <v>884160</v>
          </cell>
          <cell r="G579">
            <v>854160</v>
          </cell>
          <cell r="H579">
            <v>824160</v>
          </cell>
          <cell r="I579">
            <v>794160</v>
          </cell>
          <cell r="J579">
            <v>764160</v>
          </cell>
          <cell r="K579">
            <v>734160</v>
          </cell>
          <cell r="L579">
            <v>704160</v>
          </cell>
          <cell r="M579">
            <v>674160</v>
          </cell>
          <cell r="N579">
            <v>644160</v>
          </cell>
        </row>
        <row r="580">
          <cell r="C580">
            <v>8560000</v>
          </cell>
          <cell r="D580">
            <v>1088220</v>
          </cell>
          <cell r="E580">
            <v>1037930</v>
          </cell>
          <cell r="F580">
            <v>888520</v>
          </cell>
          <cell r="G580">
            <v>858520</v>
          </cell>
          <cell r="H580">
            <v>828520</v>
          </cell>
          <cell r="I580">
            <v>798520</v>
          </cell>
          <cell r="J580">
            <v>768520</v>
          </cell>
          <cell r="K580">
            <v>738520</v>
          </cell>
          <cell r="L580">
            <v>708520</v>
          </cell>
          <cell r="M580">
            <v>678520</v>
          </cell>
          <cell r="N580">
            <v>648520</v>
          </cell>
        </row>
        <row r="581">
          <cell r="C581">
            <v>8580000</v>
          </cell>
          <cell r="D581">
            <v>1092900</v>
          </cell>
          <cell r="E581">
            <v>1042590</v>
          </cell>
          <cell r="F581">
            <v>892890</v>
          </cell>
          <cell r="G581">
            <v>862890</v>
          </cell>
          <cell r="H581">
            <v>832890</v>
          </cell>
          <cell r="I581">
            <v>802890</v>
          </cell>
          <cell r="J581">
            <v>772890</v>
          </cell>
          <cell r="K581">
            <v>742890</v>
          </cell>
          <cell r="L581">
            <v>712890</v>
          </cell>
          <cell r="M581">
            <v>682890</v>
          </cell>
          <cell r="N581">
            <v>652890</v>
          </cell>
        </row>
        <row r="582">
          <cell r="C582">
            <v>8600000</v>
          </cell>
          <cell r="D582">
            <v>1097580</v>
          </cell>
          <cell r="E582">
            <v>1047240</v>
          </cell>
          <cell r="F582">
            <v>897260</v>
          </cell>
          <cell r="G582">
            <v>867260</v>
          </cell>
          <cell r="H582">
            <v>837260</v>
          </cell>
          <cell r="I582">
            <v>807260</v>
          </cell>
          <cell r="J582">
            <v>777260</v>
          </cell>
          <cell r="K582">
            <v>747260</v>
          </cell>
          <cell r="L582">
            <v>717260</v>
          </cell>
          <cell r="M582">
            <v>687260</v>
          </cell>
          <cell r="N582">
            <v>657260</v>
          </cell>
        </row>
        <row r="583">
          <cell r="C583">
            <v>8620000</v>
          </cell>
          <cell r="D583">
            <v>1102260</v>
          </cell>
          <cell r="E583">
            <v>1051900</v>
          </cell>
          <cell r="F583">
            <v>901630</v>
          </cell>
          <cell r="G583">
            <v>871630</v>
          </cell>
          <cell r="H583">
            <v>841630</v>
          </cell>
          <cell r="I583">
            <v>811630</v>
          </cell>
          <cell r="J583">
            <v>781630</v>
          </cell>
          <cell r="K583">
            <v>751630</v>
          </cell>
          <cell r="L583">
            <v>721630</v>
          </cell>
          <cell r="M583">
            <v>691630</v>
          </cell>
          <cell r="N583">
            <v>661630</v>
          </cell>
        </row>
        <row r="584">
          <cell r="C584">
            <v>8640000</v>
          </cell>
          <cell r="D584">
            <v>1106940</v>
          </cell>
          <cell r="E584">
            <v>1056560</v>
          </cell>
          <cell r="F584">
            <v>906000</v>
          </cell>
          <cell r="G584">
            <v>876000</v>
          </cell>
          <cell r="H584">
            <v>846000</v>
          </cell>
          <cell r="I584">
            <v>816000</v>
          </cell>
          <cell r="J584">
            <v>786000</v>
          </cell>
          <cell r="K584">
            <v>756000</v>
          </cell>
          <cell r="L584">
            <v>726000</v>
          </cell>
          <cell r="M584">
            <v>696000</v>
          </cell>
          <cell r="N584">
            <v>666000</v>
          </cell>
        </row>
        <row r="585">
          <cell r="C585">
            <v>8660000</v>
          </cell>
          <cell r="D585">
            <v>1111620</v>
          </cell>
          <cell r="E585">
            <v>1061210</v>
          </cell>
          <cell r="F585">
            <v>910360</v>
          </cell>
          <cell r="G585">
            <v>880360</v>
          </cell>
          <cell r="H585">
            <v>850360</v>
          </cell>
          <cell r="I585">
            <v>820360</v>
          </cell>
          <cell r="J585">
            <v>790360</v>
          </cell>
          <cell r="K585">
            <v>760360</v>
          </cell>
          <cell r="L585">
            <v>730360</v>
          </cell>
          <cell r="M585">
            <v>700360</v>
          </cell>
          <cell r="N585">
            <v>670360</v>
          </cell>
        </row>
        <row r="586">
          <cell r="C586">
            <v>8680000</v>
          </cell>
          <cell r="D586">
            <v>1116300</v>
          </cell>
          <cell r="E586">
            <v>1065870</v>
          </cell>
          <cell r="F586">
            <v>914730</v>
          </cell>
          <cell r="G586">
            <v>884730</v>
          </cell>
          <cell r="H586">
            <v>854730</v>
          </cell>
          <cell r="I586">
            <v>824730</v>
          </cell>
          <cell r="J586">
            <v>794730</v>
          </cell>
          <cell r="K586">
            <v>764730</v>
          </cell>
          <cell r="L586">
            <v>734730</v>
          </cell>
          <cell r="M586">
            <v>704730</v>
          </cell>
          <cell r="N586">
            <v>674730</v>
          </cell>
        </row>
        <row r="587">
          <cell r="C587">
            <v>8700000</v>
          </cell>
          <cell r="D587">
            <v>1120980</v>
          </cell>
          <cell r="E587">
            <v>1070520</v>
          </cell>
          <cell r="F587">
            <v>919100</v>
          </cell>
          <cell r="G587">
            <v>889100</v>
          </cell>
          <cell r="H587">
            <v>859100</v>
          </cell>
          <cell r="I587">
            <v>829100</v>
          </cell>
          <cell r="J587">
            <v>799100</v>
          </cell>
          <cell r="K587">
            <v>769100</v>
          </cell>
          <cell r="L587">
            <v>739100</v>
          </cell>
          <cell r="M587">
            <v>709100</v>
          </cell>
          <cell r="N587">
            <v>679100</v>
          </cell>
        </row>
        <row r="588">
          <cell r="C588">
            <v>8720000</v>
          </cell>
          <cell r="D588">
            <v>1125660</v>
          </cell>
          <cell r="E588">
            <v>1075180</v>
          </cell>
          <cell r="F588">
            <v>923470</v>
          </cell>
          <cell r="G588">
            <v>893470</v>
          </cell>
          <cell r="H588">
            <v>863470</v>
          </cell>
          <cell r="I588">
            <v>833470</v>
          </cell>
          <cell r="J588">
            <v>803470</v>
          </cell>
          <cell r="K588">
            <v>773470</v>
          </cell>
          <cell r="L588">
            <v>743470</v>
          </cell>
          <cell r="M588">
            <v>713470</v>
          </cell>
          <cell r="N588">
            <v>683470</v>
          </cell>
        </row>
        <row r="589">
          <cell r="C589">
            <v>8740000</v>
          </cell>
          <cell r="D589">
            <v>1130340</v>
          </cell>
          <cell r="E589">
            <v>1079840</v>
          </cell>
          <cell r="F589">
            <v>927840</v>
          </cell>
          <cell r="G589">
            <v>897840</v>
          </cell>
          <cell r="H589">
            <v>867840</v>
          </cell>
          <cell r="I589">
            <v>837840</v>
          </cell>
          <cell r="J589">
            <v>807840</v>
          </cell>
          <cell r="K589">
            <v>777840</v>
          </cell>
          <cell r="L589">
            <v>747840</v>
          </cell>
          <cell r="M589">
            <v>717840</v>
          </cell>
          <cell r="N589">
            <v>687840</v>
          </cell>
        </row>
        <row r="590">
          <cell r="C590">
            <v>8760000</v>
          </cell>
          <cell r="D590">
            <v>1135020</v>
          </cell>
          <cell r="E590">
            <v>1084490</v>
          </cell>
          <cell r="F590">
            <v>932200</v>
          </cell>
          <cell r="G590">
            <v>902200</v>
          </cell>
          <cell r="H590">
            <v>872200</v>
          </cell>
          <cell r="I590">
            <v>842200</v>
          </cell>
          <cell r="J590">
            <v>812200</v>
          </cell>
          <cell r="K590">
            <v>782200</v>
          </cell>
          <cell r="L590">
            <v>752200</v>
          </cell>
          <cell r="M590">
            <v>722200</v>
          </cell>
          <cell r="N590">
            <v>692200</v>
          </cell>
        </row>
        <row r="591">
          <cell r="C591">
            <v>8780000</v>
          </cell>
          <cell r="D591">
            <v>1139700</v>
          </cell>
          <cell r="E591">
            <v>1089150</v>
          </cell>
          <cell r="F591">
            <v>936570</v>
          </cell>
          <cell r="G591">
            <v>906570</v>
          </cell>
          <cell r="H591">
            <v>876570</v>
          </cell>
          <cell r="I591">
            <v>846570</v>
          </cell>
          <cell r="J591">
            <v>816570</v>
          </cell>
          <cell r="K591">
            <v>786570</v>
          </cell>
          <cell r="L591">
            <v>756570</v>
          </cell>
          <cell r="M591">
            <v>726570</v>
          </cell>
          <cell r="N591">
            <v>696570</v>
          </cell>
        </row>
        <row r="592">
          <cell r="C592">
            <v>8800000</v>
          </cell>
          <cell r="D592">
            <v>1144380</v>
          </cell>
          <cell r="E592">
            <v>1093800</v>
          </cell>
          <cell r="F592">
            <v>940940</v>
          </cell>
          <cell r="G592">
            <v>910940</v>
          </cell>
          <cell r="H592">
            <v>880940</v>
          </cell>
          <cell r="I592">
            <v>850940</v>
          </cell>
          <cell r="J592">
            <v>820940</v>
          </cell>
          <cell r="K592">
            <v>790940</v>
          </cell>
          <cell r="L592">
            <v>760940</v>
          </cell>
          <cell r="M592">
            <v>730940</v>
          </cell>
          <cell r="N592">
            <v>700940</v>
          </cell>
        </row>
        <row r="593">
          <cell r="C593">
            <v>8820000</v>
          </cell>
          <cell r="D593">
            <v>1149060</v>
          </cell>
          <cell r="E593">
            <v>1098460</v>
          </cell>
          <cell r="F593">
            <v>945310</v>
          </cell>
          <cell r="G593">
            <v>915310</v>
          </cell>
          <cell r="H593">
            <v>885310</v>
          </cell>
          <cell r="I593">
            <v>855310</v>
          </cell>
          <cell r="J593">
            <v>825310</v>
          </cell>
          <cell r="K593">
            <v>795310</v>
          </cell>
          <cell r="L593">
            <v>765310</v>
          </cell>
          <cell r="M593">
            <v>735310</v>
          </cell>
          <cell r="N593">
            <v>705310</v>
          </cell>
        </row>
        <row r="594">
          <cell r="C594">
            <v>8840000</v>
          </cell>
          <cell r="D594">
            <v>1153740</v>
          </cell>
          <cell r="E594">
            <v>1103120</v>
          </cell>
          <cell r="F594">
            <v>949680</v>
          </cell>
          <cell r="G594">
            <v>919680</v>
          </cell>
          <cell r="H594">
            <v>889680</v>
          </cell>
          <cell r="I594">
            <v>859680</v>
          </cell>
          <cell r="J594">
            <v>829680</v>
          </cell>
          <cell r="K594">
            <v>799680</v>
          </cell>
          <cell r="L594">
            <v>769680</v>
          </cell>
          <cell r="M594">
            <v>739680</v>
          </cell>
          <cell r="N594">
            <v>709680</v>
          </cell>
        </row>
        <row r="595">
          <cell r="C595">
            <v>8860000</v>
          </cell>
          <cell r="D595">
            <v>1158420</v>
          </cell>
          <cell r="E595">
            <v>1107770</v>
          </cell>
          <cell r="F595">
            <v>954040</v>
          </cell>
          <cell r="G595">
            <v>924040</v>
          </cell>
          <cell r="H595">
            <v>894040</v>
          </cell>
          <cell r="I595">
            <v>864040</v>
          </cell>
          <cell r="J595">
            <v>834040</v>
          </cell>
          <cell r="K595">
            <v>804040</v>
          </cell>
          <cell r="L595">
            <v>774040</v>
          </cell>
          <cell r="M595">
            <v>744040</v>
          </cell>
          <cell r="N595">
            <v>714040</v>
          </cell>
        </row>
        <row r="596">
          <cell r="C596">
            <v>8880000</v>
          </cell>
          <cell r="D596">
            <v>1163100</v>
          </cell>
          <cell r="E596">
            <v>1112430</v>
          </cell>
          <cell r="F596">
            <v>958410</v>
          </cell>
          <cell r="G596">
            <v>928410</v>
          </cell>
          <cell r="H596">
            <v>898410</v>
          </cell>
          <cell r="I596">
            <v>868410</v>
          </cell>
          <cell r="J596">
            <v>838410</v>
          </cell>
          <cell r="K596">
            <v>808410</v>
          </cell>
          <cell r="L596">
            <v>778410</v>
          </cell>
          <cell r="M596">
            <v>748410</v>
          </cell>
          <cell r="N596">
            <v>718410</v>
          </cell>
        </row>
        <row r="597">
          <cell r="C597">
            <v>8900000</v>
          </cell>
          <cell r="D597">
            <v>1167780</v>
          </cell>
          <cell r="E597">
            <v>1117080</v>
          </cell>
          <cell r="F597">
            <v>962780</v>
          </cell>
          <cell r="G597">
            <v>932780</v>
          </cell>
          <cell r="H597">
            <v>902780</v>
          </cell>
          <cell r="I597">
            <v>872780</v>
          </cell>
          <cell r="J597">
            <v>842780</v>
          </cell>
          <cell r="K597">
            <v>812780</v>
          </cell>
          <cell r="L597">
            <v>782780</v>
          </cell>
          <cell r="M597">
            <v>752780</v>
          </cell>
          <cell r="N597">
            <v>722780</v>
          </cell>
        </row>
        <row r="598">
          <cell r="C598">
            <v>8920000</v>
          </cell>
          <cell r="D598">
            <v>1172460</v>
          </cell>
          <cell r="E598">
            <v>1121740</v>
          </cell>
          <cell r="F598">
            <v>967150</v>
          </cell>
          <cell r="G598">
            <v>937150</v>
          </cell>
          <cell r="H598">
            <v>907150</v>
          </cell>
          <cell r="I598">
            <v>877150</v>
          </cell>
          <cell r="J598">
            <v>847150</v>
          </cell>
          <cell r="K598">
            <v>817150</v>
          </cell>
          <cell r="L598">
            <v>787150</v>
          </cell>
          <cell r="M598">
            <v>757150</v>
          </cell>
          <cell r="N598">
            <v>727150</v>
          </cell>
        </row>
        <row r="599">
          <cell r="C599">
            <v>8940000</v>
          </cell>
          <cell r="D599">
            <v>1177140</v>
          </cell>
          <cell r="E599">
            <v>1126400</v>
          </cell>
          <cell r="F599">
            <v>971520</v>
          </cell>
          <cell r="G599">
            <v>941520</v>
          </cell>
          <cell r="H599">
            <v>911520</v>
          </cell>
          <cell r="I599">
            <v>881520</v>
          </cell>
          <cell r="J599">
            <v>851520</v>
          </cell>
          <cell r="K599">
            <v>821520</v>
          </cell>
          <cell r="L599">
            <v>791520</v>
          </cell>
          <cell r="M599">
            <v>761520</v>
          </cell>
          <cell r="N599">
            <v>731520</v>
          </cell>
        </row>
        <row r="600">
          <cell r="C600">
            <v>8960000</v>
          </cell>
          <cell r="D600">
            <v>1181820</v>
          </cell>
          <cell r="E600">
            <v>1131050</v>
          </cell>
          <cell r="F600">
            <v>975880</v>
          </cell>
          <cell r="G600">
            <v>945880</v>
          </cell>
          <cell r="H600">
            <v>915880</v>
          </cell>
          <cell r="I600">
            <v>885880</v>
          </cell>
          <cell r="J600">
            <v>855880</v>
          </cell>
          <cell r="K600">
            <v>825880</v>
          </cell>
          <cell r="L600">
            <v>795880</v>
          </cell>
          <cell r="M600">
            <v>765880</v>
          </cell>
          <cell r="N600">
            <v>735880</v>
          </cell>
        </row>
        <row r="601">
          <cell r="C601">
            <v>8980000</v>
          </cell>
          <cell r="D601">
            <v>1186500</v>
          </cell>
          <cell r="E601">
            <v>1135710</v>
          </cell>
          <cell r="F601">
            <v>980250</v>
          </cell>
          <cell r="G601">
            <v>950250</v>
          </cell>
          <cell r="H601">
            <v>920250</v>
          </cell>
          <cell r="I601">
            <v>890250</v>
          </cell>
          <cell r="J601">
            <v>860250</v>
          </cell>
          <cell r="K601">
            <v>830250</v>
          </cell>
          <cell r="L601">
            <v>800250</v>
          </cell>
          <cell r="M601">
            <v>770250</v>
          </cell>
          <cell r="N601">
            <v>740250</v>
          </cell>
        </row>
        <row r="602">
          <cell r="C602">
            <v>9000000</v>
          </cell>
          <cell r="D602">
            <v>1191180</v>
          </cell>
          <cell r="E602">
            <v>1140360</v>
          </cell>
          <cell r="F602">
            <v>984620</v>
          </cell>
          <cell r="G602">
            <v>954620</v>
          </cell>
          <cell r="H602">
            <v>924620</v>
          </cell>
          <cell r="I602">
            <v>894620</v>
          </cell>
          <cell r="J602">
            <v>864620</v>
          </cell>
          <cell r="K602">
            <v>834620</v>
          </cell>
          <cell r="L602">
            <v>804620</v>
          </cell>
          <cell r="M602">
            <v>774620</v>
          </cell>
          <cell r="N602">
            <v>744620</v>
          </cell>
        </row>
        <row r="603">
          <cell r="C603">
            <v>9020000</v>
          </cell>
          <cell r="D603">
            <v>1195860</v>
          </cell>
          <cell r="E603">
            <v>1145020</v>
          </cell>
          <cell r="F603">
            <v>988990</v>
          </cell>
          <cell r="G603">
            <v>958990</v>
          </cell>
          <cell r="H603">
            <v>928990</v>
          </cell>
          <cell r="I603">
            <v>898990</v>
          </cell>
          <cell r="J603">
            <v>868990</v>
          </cell>
          <cell r="K603">
            <v>838990</v>
          </cell>
          <cell r="L603">
            <v>808990</v>
          </cell>
          <cell r="M603">
            <v>778990</v>
          </cell>
          <cell r="N603">
            <v>748990</v>
          </cell>
        </row>
        <row r="604">
          <cell r="C604">
            <v>9040000</v>
          </cell>
          <cell r="D604">
            <v>1200540</v>
          </cell>
          <cell r="E604">
            <v>1149680</v>
          </cell>
          <cell r="F604">
            <v>993360</v>
          </cell>
          <cell r="G604">
            <v>963360</v>
          </cell>
          <cell r="H604">
            <v>933360</v>
          </cell>
          <cell r="I604">
            <v>903360</v>
          </cell>
          <cell r="J604">
            <v>873360</v>
          </cell>
          <cell r="K604">
            <v>843360</v>
          </cell>
          <cell r="L604">
            <v>813360</v>
          </cell>
          <cell r="M604">
            <v>783360</v>
          </cell>
          <cell r="N604">
            <v>753360</v>
          </cell>
        </row>
        <row r="605">
          <cell r="C605">
            <v>9060000</v>
          </cell>
          <cell r="D605">
            <v>1205220</v>
          </cell>
          <cell r="E605">
            <v>1154330</v>
          </cell>
          <cell r="F605">
            <v>997720</v>
          </cell>
          <cell r="G605">
            <v>967720</v>
          </cell>
          <cell r="H605">
            <v>937720</v>
          </cell>
          <cell r="I605">
            <v>907720</v>
          </cell>
          <cell r="J605">
            <v>877720</v>
          </cell>
          <cell r="K605">
            <v>847720</v>
          </cell>
          <cell r="L605">
            <v>817720</v>
          </cell>
          <cell r="M605">
            <v>787720</v>
          </cell>
          <cell r="N605">
            <v>757720</v>
          </cell>
        </row>
        <row r="606">
          <cell r="C606">
            <v>9080000</v>
          </cell>
          <cell r="D606">
            <v>1209900</v>
          </cell>
          <cell r="E606">
            <v>1158990</v>
          </cell>
          <cell r="F606">
            <v>1002090</v>
          </cell>
          <cell r="G606">
            <v>972090</v>
          </cell>
          <cell r="H606">
            <v>942090</v>
          </cell>
          <cell r="I606">
            <v>912090</v>
          </cell>
          <cell r="J606">
            <v>882090</v>
          </cell>
          <cell r="K606">
            <v>852090</v>
          </cell>
          <cell r="L606">
            <v>822090</v>
          </cell>
          <cell r="M606">
            <v>792090</v>
          </cell>
          <cell r="N606">
            <v>762090</v>
          </cell>
        </row>
        <row r="607">
          <cell r="C607">
            <v>9100000</v>
          </cell>
          <cell r="D607">
            <v>1214580</v>
          </cell>
          <cell r="E607">
            <v>1163640</v>
          </cell>
          <cell r="F607">
            <v>1006460</v>
          </cell>
          <cell r="G607">
            <v>976460</v>
          </cell>
          <cell r="H607">
            <v>946460</v>
          </cell>
          <cell r="I607">
            <v>916460</v>
          </cell>
          <cell r="J607">
            <v>886460</v>
          </cell>
          <cell r="K607">
            <v>856460</v>
          </cell>
          <cell r="L607">
            <v>826460</v>
          </cell>
          <cell r="M607">
            <v>796460</v>
          </cell>
          <cell r="N607">
            <v>766460</v>
          </cell>
        </row>
        <row r="608">
          <cell r="C608">
            <v>9120000</v>
          </cell>
          <cell r="D608">
            <v>1219260</v>
          </cell>
          <cell r="E608">
            <v>1168300</v>
          </cell>
          <cell r="F608">
            <v>1010830</v>
          </cell>
          <cell r="G608">
            <v>980830</v>
          </cell>
          <cell r="H608">
            <v>950830</v>
          </cell>
          <cell r="I608">
            <v>920830</v>
          </cell>
          <cell r="J608">
            <v>890830</v>
          </cell>
          <cell r="K608">
            <v>860830</v>
          </cell>
          <cell r="L608">
            <v>830830</v>
          </cell>
          <cell r="M608">
            <v>800830</v>
          </cell>
          <cell r="N608">
            <v>770830</v>
          </cell>
        </row>
        <row r="609">
          <cell r="C609">
            <v>9140000</v>
          </cell>
          <cell r="D609">
            <v>1223940</v>
          </cell>
          <cell r="E609">
            <v>1172960</v>
          </cell>
          <cell r="F609">
            <v>1015200</v>
          </cell>
          <cell r="G609">
            <v>985200</v>
          </cell>
          <cell r="H609">
            <v>955200</v>
          </cell>
          <cell r="I609">
            <v>925200</v>
          </cell>
          <cell r="J609">
            <v>895200</v>
          </cell>
          <cell r="K609">
            <v>865200</v>
          </cell>
          <cell r="L609">
            <v>835200</v>
          </cell>
          <cell r="M609">
            <v>805200</v>
          </cell>
          <cell r="N609">
            <v>775200</v>
          </cell>
        </row>
        <row r="610">
          <cell r="C610">
            <v>9160000</v>
          </cell>
          <cell r="D610">
            <v>1228620</v>
          </cell>
          <cell r="E610">
            <v>1177610</v>
          </cell>
          <cell r="F610">
            <v>1019560</v>
          </cell>
          <cell r="G610">
            <v>989560</v>
          </cell>
          <cell r="H610">
            <v>959560</v>
          </cell>
          <cell r="I610">
            <v>929560</v>
          </cell>
          <cell r="J610">
            <v>899560</v>
          </cell>
          <cell r="K610">
            <v>869560</v>
          </cell>
          <cell r="L610">
            <v>839560</v>
          </cell>
          <cell r="M610">
            <v>809560</v>
          </cell>
          <cell r="N610">
            <v>779560</v>
          </cell>
        </row>
        <row r="611">
          <cell r="C611">
            <v>9180000</v>
          </cell>
          <cell r="D611">
            <v>1233300</v>
          </cell>
          <cell r="E611">
            <v>1182270</v>
          </cell>
          <cell r="F611">
            <v>1023930</v>
          </cell>
          <cell r="G611">
            <v>993930</v>
          </cell>
          <cell r="H611">
            <v>963930</v>
          </cell>
          <cell r="I611">
            <v>933930</v>
          </cell>
          <cell r="J611">
            <v>903930</v>
          </cell>
          <cell r="K611">
            <v>873930</v>
          </cell>
          <cell r="L611">
            <v>843930</v>
          </cell>
          <cell r="M611">
            <v>813930</v>
          </cell>
          <cell r="N611">
            <v>783930</v>
          </cell>
        </row>
        <row r="612">
          <cell r="C612">
            <v>9200000</v>
          </cell>
          <cell r="D612">
            <v>1237980</v>
          </cell>
          <cell r="E612">
            <v>1186920</v>
          </cell>
          <cell r="F612">
            <v>1028300</v>
          </cell>
          <cell r="G612">
            <v>998300</v>
          </cell>
          <cell r="H612">
            <v>968300</v>
          </cell>
          <cell r="I612">
            <v>938300</v>
          </cell>
          <cell r="J612">
            <v>908300</v>
          </cell>
          <cell r="K612">
            <v>878300</v>
          </cell>
          <cell r="L612">
            <v>848300</v>
          </cell>
          <cell r="M612">
            <v>818300</v>
          </cell>
          <cell r="N612">
            <v>788300</v>
          </cell>
        </row>
        <row r="613">
          <cell r="C613">
            <v>9220000</v>
          </cell>
          <cell r="D613">
            <v>1244640</v>
          </cell>
          <cell r="E613">
            <v>1191580</v>
          </cell>
          <cell r="F613">
            <v>1032670</v>
          </cell>
          <cell r="G613">
            <v>1002670</v>
          </cell>
          <cell r="H613">
            <v>972670</v>
          </cell>
          <cell r="I613">
            <v>942670</v>
          </cell>
          <cell r="J613">
            <v>912670</v>
          </cell>
          <cell r="K613">
            <v>882670</v>
          </cell>
          <cell r="L613">
            <v>852670</v>
          </cell>
          <cell r="M613">
            <v>822670</v>
          </cell>
          <cell r="N613">
            <v>792670</v>
          </cell>
        </row>
        <row r="614">
          <cell r="C614">
            <v>9240000</v>
          </cell>
          <cell r="D614">
            <v>1251470</v>
          </cell>
          <cell r="E614">
            <v>1196240</v>
          </cell>
          <cell r="F614">
            <v>1037040</v>
          </cell>
          <cell r="G614">
            <v>1007040</v>
          </cell>
          <cell r="H614">
            <v>977040</v>
          </cell>
          <cell r="I614">
            <v>947040</v>
          </cell>
          <cell r="J614">
            <v>917040</v>
          </cell>
          <cell r="K614">
            <v>887040</v>
          </cell>
          <cell r="L614">
            <v>857040</v>
          </cell>
          <cell r="M614">
            <v>827040</v>
          </cell>
          <cell r="N614">
            <v>797040</v>
          </cell>
        </row>
        <row r="615">
          <cell r="C615">
            <v>9260000</v>
          </cell>
          <cell r="D615">
            <v>1258290</v>
          </cell>
          <cell r="E615">
            <v>1200890</v>
          </cell>
          <cell r="F615">
            <v>1041400</v>
          </cell>
          <cell r="G615">
            <v>1011400</v>
          </cell>
          <cell r="H615">
            <v>981400</v>
          </cell>
          <cell r="I615">
            <v>951400</v>
          </cell>
          <cell r="J615">
            <v>921400</v>
          </cell>
          <cell r="K615">
            <v>891400</v>
          </cell>
          <cell r="L615">
            <v>861400</v>
          </cell>
          <cell r="M615">
            <v>831400</v>
          </cell>
          <cell r="N615">
            <v>801400</v>
          </cell>
        </row>
        <row r="616">
          <cell r="C616">
            <v>9280000</v>
          </cell>
          <cell r="D616">
            <v>1265120</v>
          </cell>
          <cell r="E616">
            <v>1205550</v>
          </cell>
          <cell r="F616">
            <v>1045770</v>
          </cell>
          <cell r="G616">
            <v>1015770</v>
          </cell>
          <cell r="H616">
            <v>985770</v>
          </cell>
          <cell r="I616">
            <v>955770</v>
          </cell>
          <cell r="J616">
            <v>925770</v>
          </cell>
          <cell r="K616">
            <v>895770</v>
          </cell>
          <cell r="L616">
            <v>865770</v>
          </cell>
          <cell r="M616">
            <v>835770</v>
          </cell>
          <cell r="N616">
            <v>805770</v>
          </cell>
        </row>
        <row r="617">
          <cell r="C617">
            <v>9300000</v>
          </cell>
          <cell r="D617">
            <v>1271940</v>
          </cell>
          <cell r="E617">
            <v>1210200</v>
          </cell>
          <cell r="F617">
            <v>1050140</v>
          </cell>
          <cell r="G617">
            <v>1020140</v>
          </cell>
          <cell r="H617">
            <v>990140</v>
          </cell>
          <cell r="I617">
            <v>960140</v>
          </cell>
          <cell r="J617">
            <v>930140</v>
          </cell>
          <cell r="K617">
            <v>900140</v>
          </cell>
          <cell r="L617">
            <v>870140</v>
          </cell>
          <cell r="M617">
            <v>840140</v>
          </cell>
          <cell r="N617">
            <v>810140</v>
          </cell>
        </row>
        <row r="618">
          <cell r="C618">
            <v>9320000</v>
          </cell>
          <cell r="D618">
            <v>1278770</v>
          </cell>
          <cell r="E618">
            <v>1214860</v>
          </cell>
          <cell r="F618">
            <v>1054510</v>
          </cell>
          <cell r="G618">
            <v>1024510</v>
          </cell>
          <cell r="H618">
            <v>994510</v>
          </cell>
          <cell r="I618">
            <v>964510</v>
          </cell>
          <cell r="J618">
            <v>934510</v>
          </cell>
          <cell r="K618">
            <v>904510</v>
          </cell>
          <cell r="L618">
            <v>874510</v>
          </cell>
          <cell r="M618">
            <v>844510</v>
          </cell>
          <cell r="N618">
            <v>814510</v>
          </cell>
        </row>
        <row r="619">
          <cell r="C619">
            <v>9340000</v>
          </cell>
          <cell r="D619">
            <v>1285590</v>
          </cell>
          <cell r="E619">
            <v>1219520</v>
          </cell>
          <cell r="F619">
            <v>1058880</v>
          </cell>
          <cell r="G619">
            <v>1028880</v>
          </cell>
          <cell r="H619">
            <v>998880</v>
          </cell>
          <cell r="I619">
            <v>968880</v>
          </cell>
          <cell r="J619">
            <v>938880</v>
          </cell>
          <cell r="K619">
            <v>908880</v>
          </cell>
          <cell r="L619">
            <v>878880</v>
          </cell>
          <cell r="M619">
            <v>848880</v>
          </cell>
          <cell r="N619">
            <v>818880</v>
          </cell>
        </row>
        <row r="620">
          <cell r="C620">
            <v>9360000</v>
          </cell>
          <cell r="D620">
            <v>1292420</v>
          </cell>
          <cell r="E620">
            <v>1224170</v>
          </cell>
          <cell r="F620">
            <v>1063240</v>
          </cell>
          <cell r="G620">
            <v>1033240</v>
          </cell>
          <cell r="H620">
            <v>1003240</v>
          </cell>
          <cell r="I620">
            <v>973240</v>
          </cell>
          <cell r="J620">
            <v>943240</v>
          </cell>
          <cell r="K620">
            <v>913240</v>
          </cell>
          <cell r="L620">
            <v>883240</v>
          </cell>
          <cell r="M620">
            <v>853240</v>
          </cell>
          <cell r="N620">
            <v>823240</v>
          </cell>
        </row>
        <row r="621">
          <cell r="C621">
            <v>9380000</v>
          </cell>
          <cell r="D621">
            <v>1299240</v>
          </cell>
          <cell r="E621">
            <v>1228830</v>
          </cell>
          <cell r="F621">
            <v>1067610</v>
          </cell>
          <cell r="G621">
            <v>1037610</v>
          </cell>
          <cell r="H621">
            <v>1007610</v>
          </cell>
          <cell r="I621">
            <v>977610</v>
          </cell>
          <cell r="J621">
            <v>947610</v>
          </cell>
          <cell r="K621">
            <v>917610</v>
          </cell>
          <cell r="L621">
            <v>887610</v>
          </cell>
          <cell r="M621">
            <v>857610</v>
          </cell>
          <cell r="N621">
            <v>827610</v>
          </cell>
        </row>
        <row r="622">
          <cell r="C622">
            <v>9400000</v>
          </cell>
          <cell r="D622">
            <v>1306070</v>
          </cell>
          <cell r="E622">
            <v>1233480</v>
          </cell>
          <cell r="F622">
            <v>1071980</v>
          </cell>
          <cell r="G622">
            <v>1041980</v>
          </cell>
          <cell r="H622">
            <v>1011980</v>
          </cell>
          <cell r="I622">
            <v>981980</v>
          </cell>
          <cell r="J622">
            <v>951980</v>
          </cell>
          <cell r="K622">
            <v>921980</v>
          </cell>
          <cell r="L622">
            <v>891980</v>
          </cell>
          <cell r="M622">
            <v>861980</v>
          </cell>
          <cell r="N622">
            <v>831980</v>
          </cell>
        </row>
        <row r="623">
          <cell r="C623">
            <v>9420000</v>
          </cell>
          <cell r="D623">
            <v>1312890</v>
          </cell>
          <cell r="E623">
            <v>1238140</v>
          </cell>
          <cell r="F623">
            <v>1076350</v>
          </cell>
          <cell r="G623">
            <v>1046350</v>
          </cell>
          <cell r="H623">
            <v>1016350</v>
          </cell>
          <cell r="I623">
            <v>986350</v>
          </cell>
          <cell r="J623">
            <v>956350</v>
          </cell>
          <cell r="K623">
            <v>926350</v>
          </cell>
          <cell r="L623">
            <v>896350</v>
          </cell>
          <cell r="M623">
            <v>866350</v>
          </cell>
          <cell r="N623">
            <v>836350</v>
          </cell>
        </row>
        <row r="624">
          <cell r="C624">
            <v>9440000</v>
          </cell>
          <cell r="D624">
            <v>1319720</v>
          </cell>
          <cell r="E624">
            <v>1244840</v>
          </cell>
          <cell r="F624">
            <v>1080720</v>
          </cell>
          <cell r="G624">
            <v>1050720</v>
          </cell>
          <cell r="H624">
            <v>1020720</v>
          </cell>
          <cell r="I624">
            <v>990720</v>
          </cell>
          <cell r="J624">
            <v>960720</v>
          </cell>
          <cell r="K624">
            <v>930720</v>
          </cell>
          <cell r="L624">
            <v>900720</v>
          </cell>
          <cell r="M624">
            <v>870720</v>
          </cell>
          <cell r="N624">
            <v>840720</v>
          </cell>
        </row>
        <row r="625">
          <cell r="C625">
            <v>9460000</v>
          </cell>
          <cell r="D625">
            <v>1326540</v>
          </cell>
          <cell r="E625">
            <v>1251630</v>
          </cell>
          <cell r="F625">
            <v>1085080</v>
          </cell>
          <cell r="G625">
            <v>1055080</v>
          </cell>
          <cell r="H625">
            <v>1025080</v>
          </cell>
          <cell r="I625">
            <v>995080</v>
          </cell>
          <cell r="J625">
            <v>965080</v>
          </cell>
          <cell r="K625">
            <v>935080</v>
          </cell>
          <cell r="L625">
            <v>905080</v>
          </cell>
          <cell r="M625">
            <v>875080</v>
          </cell>
          <cell r="N625">
            <v>845080</v>
          </cell>
        </row>
        <row r="626">
          <cell r="C626">
            <v>9480000</v>
          </cell>
          <cell r="D626">
            <v>1333370</v>
          </cell>
          <cell r="E626">
            <v>1258420</v>
          </cell>
          <cell r="F626">
            <v>1089450</v>
          </cell>
          <cell r="G626">
            <v>1059450</v>
          </cell>
          <cell r="H626">
            <v>1029450</v>
          </cell>
          <cell r="I626">
            <v>999450</v>
          </cell>
          <cell r="J626">
            <v>969450</v>
          </cell>
          <cell r="K626">
            <v>939450</v>
          </cell>
          <cell r="L626">
            <v>909450</v>
          </cell>
          <cell r="M626">
            <v>879450</v>
          </cell>
          <cell r="N626">
            <v>849450</v>
          </cell>
        </row>
        <row r="627">
          <cell r="C627">
            <v>9500000</v>
          </cell>
          <cell r="D627">
            <v>1340190</v>
          </cell>
          <cell r="E627">
            <v>1265210</v>
          </cell>
          <cell r="F627">
            <v>1093820</v>
          </cell>
          <cell r="G627">
            <v>1063820</v>
          </cell>
          <cell r="H627">
            <v>1033820</v>
          </cell>
          <cell r="I627">
            <v>1003820</v>
          </cell>
          <cell r="J627">
            <v>973820</v>
          </cell>
          <cell r="K627">
            <v>943820</v>
          </cell>
          <cell r="L627">
            <v>913820</v>
          </cell>
          <cell r="M627">
            <v>883820</v>
          </cell>
          <cell r="N627">
            <v>853820</v>
          </cell>
        </row>
        <row r="628">
          <cell r="C628">
            <v>9520000</v>
          </cell>
          <cell r="D628">
            <v>1347020</v>
          </cell>
          <cell r="E628">
            <v>1272000</v>
          </cell>
          <cell r="F628">
            <v>1098190</v>
          </cell>
          <cell r="G628">
            <v>1068190</v>
          </cell>
          <cell r="H628">
            <v>1038190</v>
          </cell>
          <cell r="I628">
            <v>1008190</v>
          </cell>
          <cell r="J628">
            <v>978190</v>
          </cell>
          <cell r="K628">
            <v>948190</v>
          </cell>
          <cell r="L628">
            <v>918190</v>
          </cell>
          <cell r="M628">
            <v>888190</v>
          </cell>
          <cell r="N628">
            <v>858190</v>
          </cell>
        </row>
        <row r="629">
          <cell r="C629">
            <v>9540000</v>
          </cell>
          <cell r="D629">
            <v>1353840</v>
          </cell>
          <cell r="E629">
            <v>1278790</v>
          </cell>
          <cell r="F629">
            <v>1102560</v>
          </cell>
          <cell r="G629">
            <v>1072560</v>
          </cell>
          <cell r="H629">
            <v>1042560</v>
          </cell>
          <cell r="I629">
            <v>1012560</v>
          </cell>
          <cell r="J629">
            <v>982560</v>
          </cell>
          <cell r="K629">
            <v>952560</v>
          </cell>
          <cell r="L629">
            <v>922560</v>
          </cell>
          <cell r="M629">
            <v>892560</v>
          </cell>
          <cell r="N629">
            <v>862560</v>
          </cell>
        </row>
        <row r="630">
          <cell r="C630">
            <v>9560000</v>
          </cell>
          <cell r="D630">
            <v>1360670</v>
          </cell>
          <cell r="E630">
            <v>1285580</v>
          </cell>
          <cell r="F630">
            <v>1106920</v>
          </cell>
          <cell r="G630">
            <v>1076920</v>
          </cell>
          <cell r="H630">
            <v>1046920</v>
          </cell>
          <cell r="I630">
            <v>1016920</v>
          </cell>
          <cell r="J630">
            <v>986920</v>
          </cell>
          <cell r="K630">
            <v>956920</v>
          </cell>
          <cell r="L630">
            <v>926920</v>
          </cell>
          <cell r="M630">
            <v>896920</v>
          </cell>
          <cell r="N630">
            <v>866920</v>
          </cell>
        </row>
        <row r="631">
          <cell r="C631">
            <v>9580000</v>
          </cell>
          <cell r="D631">
            <v>1367490</v>
          </cell>
          <cell r="E631">
            <v>1292370</v>
          </cell>
          <cell r="F631">
            <v>1111290</v>
          </cell>
          <cell r="G631">
            <v>1081290</v>
          </cell>
          <cell r="H631">
            <v>1051290</v>
          </cell>
          <cell r="I631">
            <v>1021290</v>
          </cell>
          <cell r="J631">
            <v>991290</v>
          </cell>
          <cell r="K631">
            <v>961290</v>
          </cell>
          <cell r="L631">
            <v>931290</v>
          </cell>
          <cell r="M631">
            <v>901290</v>
          </cell>
          <cell r="N631">
            <v>871290</v>
          </cell>
        </row>
        <row r="632">
          <cell r="C632">
            <v>9600000</v>
          </cell>
          <cell r="D632">
            <v>1374320</v>
          </cell>
          <cell r="E632">
            <v>1299160</v>
          </cell>
          <cell r="F632">
            <v>1115660</v>
          </cell>
          <cell r="G632">
            <v>1085660</v>
          </cell>
          <cell r="H632">
            <v>1055660</v>
          </cell>
          <cell r="I632">
            <v>1025660</v>
          </cell>
          <cell r="J632">
            <v>995660</v>
          </cell>
          <cell r="K632">
            <v>965660</v>
          </cell>
          <cell r="L632">
            <v>935660</v>
          </cell>
          <cell r="M632">
            <v>905660</v>
          </cell>
          <cell r="N632">
            <v>875660</v>
          </cell>
        </row>
        <row r="633">
          <cell r="C633">
            <v>9620000</v>
          </cell>
          <cell r="D633">
            <v>1381140</v>
          </cell>
          <cell r="E633">
            <v>1305950</v>
          </cell>
          <cell r="F633">
            <v>1120030</v>
          </cell>
          <cell r="G633">
            <v>1090030</v>
          </cell>
          <cell r="H633">
            <v>1060030</v>
          </cell>
          <cell r="I633">
            <v>1030030</v>
          </cell>
          <cell r="J633">
            <v>1000030</v>
          </cell>
          <cell r="K633">
            <v>970030</v>
          </cell>
          <cell r="L633">
            <v>940030</v>
          </cell>
          <cell r="M633">
            <v>910030</v>
          </cell>
          <cell r="N633">
            <v>880030</v>
          </cell>
        </row>
        <row r="634">
          <cell r="C634">
            <v>9640000</v>
          </cell>
          <cell r="D634">
            <v>1387970</v>
          </cell>
          <cell r="E634">
            <v>1312740</v>
          </cell>
          <cell r="F634">
            <v>1124400</v>
          </cell>
          <cell r="G634">
            <v>1094400</v>
          </cell>
          <cell r="H634">
            <v>1064400</v>
          </cell>
          <cell r="I634">
            <v>1034400</v>
          </cell>
          <cell r="J634">
            <v>1004400</v>
          </cell>
          <cell r="K634">
            <v>974400</v>
          </cell>
          <cell r="L634">
            <v>944400</v>
          </cell>
          <cell r="M634">
            <v>914400</v>
          </cell>
          <cell r="N634">
            <v>884400</v>
          </cell>
        </row>
        <row r="635">
          <cell r="C635">
            <v>9660000</v>
          </cell>
          <cell r="D635">
            <v>1394790</v>
          </cell>
          <cell r="E635">
            <v>1319530</v>
          </cell>
          <cell r="F635">
            <v>1128760</v>
          </cell>
          <cell r="G635">
            <v>1098760</v>
          </cell>
          <cell r="H635">
            <v>1068760</v>
          </cell>
          <cell r="I635">
            <v>1038760</v>
          </cell>
          <cell r="J635">
            <v>1008760</v>
          </cell>
          <cell r="K635">
            <v>978760</v>
          </cell>
          <cell r="L635">
            <v>948760</v>
          </cell>
          <cell r="M635">
            <v>918760</v>
          </cell>
          <cell r="N635">
            <v>888760</v>
          </cell>
        </row>
        <row r="636">
          <cell r="C636">
            <v>9680000</v>
          </cell>
          <cell r="D636">
            <v>1401620</v>
          </cell>
          <cell r="E636">
            <v>1326320</v>
          </cell>
          <cell r="F636">
            <v>1133130</v>
          </cell>
          <cell r="G636">
            <v>1103130</v>
          </cell>
          <cell r="H636">
            <v>1073130</v>
          </cell>
          <cell r="I636">
            <v>1043130</v>
          </cell>
          <cell r="J636">
            <v>1013130</v>
          </cell>
          <cell r="K636">
            <v>983130</v>
          </cell>
          <cell r="L636">
            <v>953130</v>
          </cell>
          <cell r="M636">
            <v>923130</v>
          </cell>
          <cell r="N636">
            <v>893130</v>
          </cell>
        </row>
        <row r="637">
          <cell r="C637">
            <v>9700000</v>
          </cell>
          <cell r="D637">
            <v>1408440</v>
          </cell>
          <cell r="E637">
            <v>1333110</v>
          </cell>
          <cell r="F637">
            <v>1137500</v>
          </cell>
          <cell r="G637">
            <v>1107500</v>
          </cell>
          <cell r="H637">
            <v>1077500</v>
          </cell>
          <cell r="I637">
            <v>1047500</v>
          </cell>
          <cell r="J637">
            <v>1017500</v>
          </cell>
          <cell r="K637">
            <v>987500</v>
          </cell>
          <cell r="L637">
            <v>957500</v>
          </cell>
          <cell r="M637">
            <v>927500</v>
          </cell>
          <cell r="N637">
            <v>897500</v>
          </cell>
        </row>
        <row r="638">
          <cell r="C638">
            <v>9720000</v>
          </cell>
          <cell r="D638">
            <v>1415270</v>
          </cell>
          <cell r="E638">
            <v>1339900</v>
          </cell>
          <cell r="F638">
            <v>1141870</v>
          </cell>
          <cell r="G638">
            <v>1111870</v>
          </cell>
          <cell r="H638">
            <v>1081870</v>
          </cell>
          <cell r="I638">
            <v>1051870</v>
          </cell>
          <cell r="J638">
            <v>1021870</v>
          </cell>
          <cell r="K638">
            <v>991870</v>
          </cell>
          <cell r="L638">
            <v>961870</v>
          </cell>
          <cell r="M638">
            <v>931870</v>
          </cell>
          <cell r="N638">
            <v>901870</v>
          </cell>
        </row>
        <row r="639">
          <cell r="C639">
            <v>9740000</v>
          </cell>
          <cell r="D639">
            <v>1422090</v>
          </cell>
          <cell r="E639">
            <v>1346690</v>
          </cell>
          <cell r="F639">
            <v>1146240</v>
          </cell>
          <cell r="G639">
            <v>1116240</v>
          </cell>
          <cell r="H639">
            <v>1086240</v>
          </cell>
          <cell r="I639">
            <v>1056240</v>
          </cell>
          <cell r="J639">
            <v>1026240</v>
          </cell>
          <cell r="K639">
            <v>996240</v>
          </cell>
          <cell r="L639">
            <v>966240</v>
          </cell>
          <cell r="M639">
            <v>936240</v>
          </cell>
          <cell r="N639">
            <v>906240</v>
          </cell>
        </row>
        <row r="640">
          <cell r="C640">
            <v>9760000</v>
          </cell>
          <cell r="D640">
            <v>1428920</v>
          </cell>
          <cell r="E640">
            <v>1353480</v>
          </cell>
          <cell r="F640">
            <v>1150600</v>
          </cell>
          <cell r="G640">
            <v>1120600</v>
          </cell>
          <cell r="H640">
            <v>1090600</v>
          </cell>
          <cell r="I640">
            <v>1060600</v>
          </cell>
          <cell r="J640">
            <v>1030600</v>
          </cell>
          <cell r="K640">
            <v>1000600</v>
          </cell>
          <cell r="L640">
            <v>970600</v>
          </cell>
          <cell r="M640">
            <v>940600</v>
          </cell>
          <cell r="N640">
            <v>910600</v>
          </cell>
        </row>
        <row r="641">
          <cell r="C641">
            <v>9780000</v>
          </cell>
          <cell r="D641">
            <v>1435740</v>
          </cell>
          <cell r="E641">
            <v>1360270</v>
          </cell>
          <cell r="F641">
            <v>1154970</v>
          </cell>
          <cell r="G641">
            <v>1124970</v>
          </cell>
          <cell r="H641">
            <v>1094970</v>
          </cell>
          <cell r="I641">
            <v>1064970</v>
          </cell>
          <cell r="J641">
            <v>1034970</v>
          </cell>
          <cell r="K641">
            <v>1004970</v>
          </cell>
          <cell r="L641">
            <v>974970</v>
          </cell>
          <cell r="M641">
            <v>944970</v>
          </cell>
          <cell r="N641">
            <v>914970</v>
          </cell>
        </row>
        <row r="642">
          <cell r="C642">
            <v>9800000</v>
          </cell>
          <cell r="D642">
            <v>1442570</v>
          </cell>
          <cell r="E642">
            <v>1367060</v>
          </cell>
          <cell r="F642">
            <v>1159340</v>
          </cell>
          <cell r="G642">
            <v>1129340</v>
          </cell>
          <cell r="H642">
            <v>1099340</v>
          </cell>
          <cell r="I642">
            <v>1069340</v>
          </cell>
          <cell r="J642">
            <v>1039340</v>
          </cell>
          <cell r="K642">
            <v>1009340</v>
          </cell>
          <cell r="L642">
            <v>979340</v>
          </cell>
          <cell r="M642">
            <v>949340</v>
          </cell>
          <cell r="N642">
            <v>919340</v>
          </cell>
        </row>
        <row r="643">
          <cell r="C643">
            <v>9820000</v>
          </cell>
          <cell r="D643">
            <v>1449390</v>
          </cell>
          <cell r="E643">
            <v>1373850</v>
          </cell>
          <cell r="F643">
            <v>1163710</v>
          </cell>
          <cell r="G643">
            <v>1133710</v>
          </cell>
          <cell r="H643">
            <v>1103710</v>
          </cell>
          <cell r="I643">
            <v>1073710</v>
          </cell>
          <cell r="J643">
            <v>1043710</v>
          </cell>
          <cell r="K643">
            <v>1013710</v>
          </cell>
          <cell r="L643">
            <v>983710</v>
          </cell>
          <cell r="M643">
            <v>953710</v>
          </cell>
          <cell r="N643">
            <v>923710</v>
          </cell>
        </row>
        <row r="644">
          <cell r="C644">
            <v>9840000</v>
          </cell>
          <cell r="D644">
            <v>1456220</v>
          </cell>
          <cell r="E644">
            <v>1380640</v>
          </cell>
          <cell r="F644">
            <v>1168080</v>
          </cell>
          <cell r="G644">
            <v>1138080</v>
          </cell>
          <cell r="H644">
            <v>1108080</v>
          </cell>
          <cell r="I644">
            <v>1078080</v>
          </cell>
          <cell r="J644">
            <v>1048080</v>
          </cell>
          <cell r="K644">
            <v>1018080</v>
          </cell>
          <cell r="L644">
            <v>988080</v>
          </cell>
          <cell r="M644">
            <v>958080</v>
          </cell>
          <cell r="N644">
            <v>928080</v>
          </cell>
        </row>
        <row r="645">
          <cell r="C645">
            <v>9860000</v>
          </cell>
          <cell r="D645">
            <v>1463040</v>
          </cell>
          <cell r="E645">
            <v>1387430</v>
          </cell>
          <cell r="F645">
            <v>1172440</v>
          </cell>
          <cell r="G645">
            <v>1142440</v>
          </cell>
          <cell r="H645">
            <v>1112440</v>
          </cell>
          <cell r="I645">
            <v>1082440</v>
          </cell>
          <cell r="J645">
            <v>1052440</v>
          </cell>
          <cell r="K645">
            <v>1022440</v>
          </cell>
          <cell r="L645">
            <v>992440</v>
          </cell>
          <cell r="M645">
            <v>962440</v>
          </cell>
          <cell r="N645">
            <v>932440</v>
          </cell>
        </row>
        <row r="646">
          <cell r="C646">
            <v>9880000</v>
          </cell>
          <cell r="D646">
            <v>1469870</v>
          </cell>
          <cell r="E646">
            <v>1394220</v>
          </cell>
          <cell r="F646">
            <v>1176810</v>
          </cell>
          <cell r="G646">
            <v>1146810</v>
          </cell>
          <cell r="H646">
            <v>1116810</v>
          </cell>
          <cell r="I646">
            <v>1086810</v>
          </cell>
          <cell r="J646">
            <v>1056810</v>
          </cell>
          <cell r="K646">
            <v>1026810</v>
          </cell>
          <cell r="L646">
            <v>996810</v>
          </cell>
          <cell r="M646">
            <v>966810</v>
          </cell>
          <cell r="N646">
            <v>936810</v>
          </cell>
        </row>
        <row r="647">
          <cell r="C647">
            <v>9900000</v>
          </cell>
          <cell r="D647">
            <v>1476690</v>
          </cell>
          <cell r="E647">
            <v>1401010</v>
          </cell>
          <cell r="F647">
            <v>1181180</v>
          </cell>
          <cell r="G647">
            <v>1151180</v>
          </cell>
          <cell r="H647">
            <v>1121180</v>
          </cell>
          <cell r="I647">
            <v>1091180</v>
          </cell>
          <cell r="J647">
            <v>1061180</v>
          </cell>
          <cell r="K647">
            <v>1031180</v>
          </cell>
          <cell r="L647">
            <v>1001180</v>
          </cell>
          <cell r="M647">
            <v>971180</v>
          </cell>
          <cell r="N647">
            <v>941180</v>
          </cell>
        </row>
        <row r="648">
          <cell r="C648">
            <v>9920000</v>
          </cell>
          <cell r="D648">
            <v>1483520</v>
          </cell>
          <cell r="E648">
            <v>1407800</v>
          </cell>
          <cell r="F648">
            <v>1185550</v>
          </cell>
          <cell r="G648">
            <v>1155550</v>
          </cell>
          <cell r="H648">
            <v>1125550</v>
          </cell>
          <cell r="I648">
            <v>1095550</v>
          </cell>
          <cell r="J648">
            <v>1065550</v>
          </cell>
          <cell r="K648">
            <v>1035550</v>
          </cell>
          <cell r="L648">
            <v>1005550</v>
          </cell>
          <cell r="M648">
            <v>975550</v>
          </cell>
          <cell r="N648">
            <v>945550</v>
          </cell>
        </row>
        <row r="649">
          <cell r="C649">
            <v>9940000</v>
          </cell>
          <cell r="D649">
            <v>1490340</v>
          </cell>
          <cell r="E649">
            <v>1414590</v>
          </cell>
          <cell r="F649">
            <v>1189920</v>
          </cell>
          <cell r="G649">
            <v>1159920</v>
          </cell>
          <cell r="H649">
            <v>1129920</v>
          </cell>
          <cell r="I649">
            <v>1099920</v>
          </cell>
          <cell r="J649">
            <v>1069920</v>
          </cell>
          <cell r="K649">
            <v>1039920</v>
          </cell>
          <cell r="L649">
            <v>1009920</v>
          </cell>
          <cell r="M649">
            <v>979920</v>
          </cell>
          <cell r="N649">
            <v>949920</v>
          </cell>
        </row>
        <row r="650">
          <cell r="C650">
            <v>9960000</v>
          </cell>
          <cell r="D650">
            <v>1497170</v>
          </cell>
          <cell r="E650">
            <v>1421380</v>
          </cell>
          <cell r="F650">
            <v>1194280</v>
          </cell>
          <cell r="G650">
            <v>1164280</v>
          </cell>
          <cell r="H650">
            <v>1134280</v>
          </cell>
          <cell r="I650">
            <v>1104280</v>
          </cell>
          <cell r="J650">
            <v>1074280</v>
          </cell>
          <cell r="K650">
            <v>1044280</v>
          </cell>
          <cell r="L650">
            <v>1014280</v>
          </cell>
          <cell r="M650">
            <v>984280</v>
          </cell>
          <cell r="N650">
            <v>954280</v>
          </cell>
        </row>
        <row r="651">
          <cell r="C651">
            <v>9980000</v>
          </cell>
          <cell r="D651">
            <v>1503990</v>
          </cell>
          <cell r="E651">
            <v>1428170</v>
          </cell>
          <cell r="F651">
            <v>1198650</v>
          </cell>
          <cell r="G651">
            <v>1168650</v>
          </cell>
          <cell r="H651">
            <v>1138650</v>
          </cell>
          <cell r="I651">
            <v>1108650</v>
          </cell>
          <cell r="J651">
            <v>1078650</v>
          </cell>
          <cell r="K651">
            <v>1048650</v>
          </cell>
          <cell r="L651">
            <v>1018650</v>
          </cell>
          <cell r="M651">
            <v>988650</v>
          </cell>
          <cell r="N651">
            <v>958650</v>
          </cell>
        </row>
        <row r="652">
          <cell r="C652">
            <v>10000000</v>
          </cell>
          <cell r="D652">
            <v>1507400</v>
          </cell>
          <cell r="E652">
            <v>1431570</v>
          </cell>
          <cell r="F652">
            <v>1200840</v>
          </cell>
          <cell r="G652">
            <v>1170840</v>
          </cell>
          <cell r="H652">
            <v>1140840</v>
          </cell>
          <cell r="I652">
            <v>1110840</v>
          </cell>
          <cell r="J652">
            <v>1080840</v>
          </cell>
          <cell r="K652">
            <v>1050840</v>
          </cell>
          <cell r="L652">
            <v>1020840</v>
          </cell>
          <cell r="M652">
            <v>990840</v>
          </cell>
          <cell r="N652">
            <v>960840</v>
          </cell>
        </row>
      </sheetData>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퇴사관리"/>
      <sheetName val="급여기준"/>
      <sheetName val="급여대장"/>
      <sheetName val="간이세액표"/>
      <sheetName val="국민연금표"/>
      <sheetName val="개인명세서"/>
      <sheetName val="사업소득자"/>
      <sheetName val="기타소득자"/>
      <sheetName val="Sheet1"/>
      <sheetName val="Sheet2"/>
    </sheetNames>
    <sheetDataSet>
      <sheetData sheetId="0" refreshError="1"/>
      <sheetData sheetId="1">
        <row r="5">
          <cell r="B5" t="str">
            <v>어혜경</v>
          </cell>
          <cell r="C5">
            <v>36526</v>
          </cell>
          <cell r="E5" t="str">
            <v>대표</v>
          </cell>
          <cell r="F5" t="str">
            <v>여</v>
          </cell>
          <cell r="L5">
            <v>5775000</v>
          </cell>
          <cell r="U5">
            <v>4875000</v>
          </cell>
          <cell r="V5">
            <v>600000</v>
          </cell>
          <cell r="Y5">
            <v>0</v>
          </cell>
          <cell r="Z5">
            <v>0</v>
          </cell>
          <cell r="AA5">
            <v>0</v>
          </cell>
          <cell r="AB5">
            <v>0</v>
          </cell>
          <cell r="AC5">
            <v>0</v>
          </cell>
          <cell r="AD5">
            <v>0</v>
          </cell>
          <cell r="AE5">
            <v>0</v>
          </cell>
          <cell r="AF5">
            <v>0</v>
          </cell>
          <cell r="AG5">
            <v>100000</v>
          </cell>
          <cell r="AH5">
            <v>200000</v>
          </cell>
          <cell r="AJ5">
            <v>438230</v>
          </cell>
          <cell r="AK5">
            <v>43820</v>
          </cell>
          <cell r="AL5">
            <v>0</v>
          </cell>
          <cell r="AM5">
            <v>0</v>
          </cell>
          <cell r="AN5">
            <v>0</v>
          </cell>
          <cell r="AO5">
            <v>157260</v>
          </cell>
          <cell r="AP5">
            <v>10300</v>
          </cell>
          <cell r="AQ5">
            <v>0</v>
          </cell>
          <cell r="AS5">
            <v>649610</v>
          </cell>
          <cell r="AT5">
            <v>5125390</v>
          </cell>
        </row>
        <row r="6">
          <cell r="B6" t="str">
            <v>김현욱</v>
          </cell>
          <cell r="C6">
            <v>36495</v>
          </cell>
          <cell r="E6" t="str">
            <v>원장</v>
          </cell>
          <cell r="F6" t="str">
            <v>남</v>
          </cell>
          <cell r="L6">
            <v>7183151.538461539</v>
          </cell>
          <cell r="U6">
            <v>4981412.0926711094</v>
          </cell>
          <cell r="V6">
            <v>600000</v>
          </cell>
          <cell r="Y6">
            <v>881275.59357964876</v>
          </cell>
          <cell r="Z6">
            <v>0</v>
          </cell>
          <cell r="AA6">
            <v>320463.85221078136</v>
          </cell>
          <cell r="AB6">
            <v>0</v>
          </cell>
          <cell r="AC6">
            <v>0</v>
          </cell>
          <cell r="AD6">
            <v>100000</v>
          </cell>
          <cell r="AE6">
            <v>0</v>
          </cell>
          <cell r="AF6">
            <v>0</v>
          </cell>
          <cell r="AG6">
            <v>100000</v>
          </cell>
          <cell r="AH6">
            <v>200000</v>
          </cell>
          <cell r="AJ6">
            <v>548390</v>
          </cell>
          <cell r="AK6">
            <v>54830</v>
          </cell>
          <cell r="AL6">
            <v>0</v>
          </cell>
          <cell r="AM6">
            <v>37850</v>
          </cell>
          <cell r="AN6">
            <v>168750</v>
          </cell>
          <cell r="AO6">
            <v>175390</v>
          </cell>
          <cell r="AP6">
            <v>11480</v>
          </cell>
          <cell r="AQ6">
            <v>0</v>
          </cell>
          <cell r="AS6">
            <v>996690</v>
          </cell>
          <cell r="AT6">
            <v>6186461.538461539</v>
          </cell>
        </row>
        <row r="7">
          <cell r="B7" t="str">
            <v>김혜진</v>
          </cell>
          <cell r="C7">
            <v>36617</v>
          </cell>
          <cell r="E7" t="str">
            <v>연구소장</v>
          </cell>
          <cell r="F7" t="str">
            <v>여</v>
          </cell>
          <cell r="L7">
            <v>5179038.153846154</v>
          </cell>
          <cell r="U7">
            <v>3279208.5596608119</v>
          </cell>
          <cell r="V7">
            <v>400000</v>
          </cell>
          <cell r="W7">
            <v>500000</v>
          </cell>
          <cell r="Y7">
            <v>659875.03573591774</v>
          </cell>
          <cell r="Z7">
            <v>0</v>
          </cell>
          <cell r="AA7">
            <v>239954.55844942463</v>
          </cell>
          <cell r="AB7">
            <v>0</v>
          </cell>
          <cell r="AC7">
            <v>0</v>
          </cell>
          <cell r="AD7">
            <v>0</v>
          </cell>
          <cell r="AE7">
            <v>0</v>
          </cell>
          <cell r="AF7">
            <v>0</v>
          </cell>
          <cell r="AG7">
            <v>100000</v>
          </cell>
          <cell r="AJ7">
            <v>382730</v>
          </cell>
          <cell r="AK7">
            <v>38270</v>
          </cell>
          <cell r="AL7">
            <v>0</v>
          </cell>
          <cell r="AM7">
            <v>27930</v>
          </cell>
          <cell r="AN7">
            <v>165010</v>
          </cell>
          <cell r="AO7">
            <v>117350</v>
          </cell>
          <cell r="AP7">
            <v>7680</v>
          </cell>
          <cell r="AQ7">
            <v>0</v>
          </cell>
          <cell r="AS7">
            <v>738970</v>
          </cell>
          <cell r="AT7">
            <v>4440068.153846154</v>
          </cell>
        </row>
        <row r="8">
          <cell r="B8" t="str">
            <v>장재영</v>
          </cell>
          <cell r="C8">
            <v>38245</v>
          </cell>
          <cell r="E8" t="str">
            <v>진료부장</v>
          </cell>
          <cell r="F8" t="str">
            <v>남</v>
          </cell>
          <cell r="L8">
            <v>6166922.692307692</v>
          </cell>
          <cell r="U8">
            <v>4427507.2546941247</v>
          </cell>
          <cell r="V8">
            <v>400000</v>
          </cell>
          <cell r="Y8">
            <v>762237.98758328275</v>
          </cell>
          <cell r="Z8">
            <v>0</v>
          </cell>
          <cell r="AA8">
            <v>277177.45003028464</v>
          </cell>
          <cell r="AB8">
            <v>0</v>
          </cell>
          <cell r="AC8">
            <v>0</v>
          </cell>
          <cell r="AD8">
            <v>0</v>
          </cell>
          <cell r="AE8">
            <v>0</v>
          </cell>
          <cell r="AF8">
            <v>0</v>
          </cell>
          <cell r="AG8">
            <v>100000</v>
          </cell>
          <cell r="AH8">
            <v>200000</v>
          </cell>
          <cell r="AJ8">
            <v>523970</v>
          </cell>
          <cell r="AK8">
            <v>52390</v>
          </cell>
          <cell r="AL8">
            <v>0</v>
          </cell>
          <cell r="AM8">
            <v>32260</v>
          </cell>
          <cell r="AN8">
            <v>168750</v>
          </cell>
          <cell r="AO8">
            <v>154210</v>
          </cell>
          <cell r="AP8">
            <v>10100</v>
          </cell>
          <cell r="AQ8">
            <v>0</v>
          </cell>
          <cell r="AS8">
            <v>941680</v>
          </cell>
          <cell r="AT8">
            <v>5225242.692307692</v>
          </cell>
        </row>
        <row r="9">
          <cell r="B9" t="str">
            <v>최희연</v>
          </cell>
          <cell r="C9">
            <v>38985</v>
          </cell>
          <cell r="E9" t="str">
            <v>외과수의사</v>
          </cell>
          <cell r="F9" t="str">
            <v>여</v>
          </cell>
          <cell r="L9">
            <v>3918768</v>
          </cell>
          <cell r="U9">
            <v>3142214.6141732284</v>
          </cell>
          <cell r="Y9">
            <v>496139.14960629918</v>
          </cell>
          <cell r="Z9">
            <v>0</v>
          </cell>
          <cell r="AA9">
            <v>180414.23622047243</v>
          </cell>
          <cell r="AB9">
            <v>0</v>
          </cell>
          <cell r="AC9">
            <v>0</v>
          </cell>
          <cell r="AD9">
            <v>0</v>
          </cell>
          <cell r="AE9">
            <v>0</v>
          </cell>
          <cell r="AF9">
            <v>0</v>
          </cell>
          <cell r="AG9">
            <v>100000</v>
          </cell>
          <cell r="AJ9">
            <v>207900</v>
          </cell>
          <cell r="AK9">
            <v>20790</v>
          </cell>
          <cell r="AL9">
            <v>0</v>
          </cell>
          <cell r="AM9">
            <v>21000</v>
          </cell>
          <cell r="AN9">
            <v>141430</v>
          </cell>
          <cell r="AO9">
            <v>102070</v>
          </cell>
          <cell r="AP9">
            <v>6680</v>
          </cell>
          <cell r="AQ9">
            <v>0</v>
          </cell>
          <cell r="AS9">
            <v>499870</v>
          </cell>
          <cell r="AT9">
            <v>3418898</v>
          </cell>
        </row>
        <row r="10">
          <cell r="B10" t="str">
            <v>김성수</v>
          </cell>
          <cell r="C10">
            <v>39237</v>
          </cell>
          <cell r="E10" t="str">
            <v>내과과장</v>
          </cell>
          <cell r="F10" t="str">
            <v>남</v>
          </cell>
          <cell r="L10">
            <v>5644824.692307692</v>
          </cell>
          <cell r="U10">
            <v>4180190.3964264086</v>
          </cell>
          <cell r="V10">
            <v>300000</v>
          </cell>
          <cell r="Y10">
            <v>707398.48364627501</v>
          </cell>
          <cell r="Z10">
            <v>0</v>
          </cell>
          <cell r="AA10">
            <v>257235.8122350091</v>
          </cell>
          <cell r="AB10">
            <v>0</v>
          </cell>
          <cell r="AC10">
            <v>0</v>
          </cell>
          <cell r="AD10">
            <v>0</v>
          </cell>
          <cell r="AE10">
            <v>0</v>
          </cell>
          <cell r="AF10">
            <v>0</v>
          </cell>
          <cell r="AG10">
            <v>100000</v>
          </cell>
          <cell r="AH10">
            <v>0</v>
          </cell>
          <cell r="AI10">
            <v>100000</v>
          </cell>
          <cell r="AJ10">
            <v>416700</v>
          </cell>
          <cell r="AK10">
            <v>41670</v>
          </cell>
          <cell r="AL10">
            <v>0</v>
          </cell>
          <cell r="AM10">
            <v>29940</v>
          </cell>
          <cell r="AN10">
            <v>168750</v>
          </cell>
          <cell r="AO10">
            <v>138230</v>
          </cell>
          <cell r="AP10">
            <v>9050</v>
          </cell>
          <cell r="AQ10">
            <v>0</v>
          </cell>
          <cell r="AS10">
            <v>804340</v>
          </cell>
          <cell r="AT10">
            <v>4840484.692307692</v>
          </cell>
        </row>
        <row r="11">
          <cell r="B11" t="str">
            <v>이진수</v>
          </cell>
          <cell r="C11">
            <v>39440</v>
          </cell>
          <cell r="E11" t="str">
            <v>내과수의사</v>
          </cell>
          <cell r="F11" t="str">
            <v>남</v>
          </cell>
          <cell r="L11">
            <v>3969230.7692307695</v>
          </cell>
          <cell r="U11">
            <v>2854603.2707450031</v>
          </cell>
          <cell r="Y11">
            <v>450726.83222289523</v>
          </cell>
          <cell r="Z11">
            <v>0</v>
          </cell>
          <cell r="AA11">
            <v>163900.666262871</v>
          </cell>
          <cell r="AB11">
            <v>0</v>
          </cell>
          <cell r="AC11">
            <v>0</v>
          </cell>
          <cell r="AD11">
            <v>200000</v>
          </cell>
          <cell r="AE11">
            <v>0</v>
          </cell>
          <cell r="AF11">
            <v>0</v>
          </cell>
          <cell r="AG11">
            <v>100000</v>
          </cell>
          <cell r="AH11">
            <v>200000</v>
          </cell>
          <cell r="AJ11">
            <v>189620</v>
          </cell>
          <cell r="AK11">
            <v>18960</v>
          </cell>
          <cell r="AL11">
            <v>0</v>
          </cell>
          <cell r="AM11">
            <v>20180</v>
          </cell>
          <cell r="AN11">
            <v>127170</v>
          </cell>
          <cell r="AO11">
            <v>91150</v>
          </cell>
          <cell r="AP11">
            <v>5970</v>
          </cell>
          <cell r="AQ11">
            <v>0</v>
          </cell>
          <cell r="AS11">
            <v>453050</v>
          </cell>
          <cell r="AT11">
            <v>3516180.7692307695</v>
          </cell>
        </row>
        <row r="12">
          <cell r="B12" t="str">
            <v>임윤지</v>
          </cell>
          <cell r="C12">
            <v>39755</v>
          </cell>
          <cell r="E12" t="str">
            <v>내과수의사</v>
          </cell>
          <cell r="F12" t="str">
            <v>여</v>
          </cell>
          <cell r="L12">
            <v>4815384.615384615</v>
          </cell>
          <cell r="U12">
            <v>3200847.9709267104</v>
          </cell>
          <cell r="W12">
            <v>350000</v>
          </cell>
          <cell r="Y12">
            <v>560660.20593579637</v>
          </cell>
          <cell r="Z12">
            <v>0</v>
          </cell>
          <cell r="AA12">
            <v>203876.43852210778</v>
          </cell>
          <cell r="AB12">
            <v>0</v>
          </cell>
          <cell r="AC12">
            <v>0</v>
          </cell>
          <cell r="AD12">
            <v>200000</v>
          </cell>
          <cell r="AE12">
            <v>0</v>
          </cell>
          <cell r="AF12">
            <v>0</v>
          </cell>
          <cell r="AG12">
            <v>100000</v>
          </cell>
          <cell r="AH12">
            <v>200000</v>
          </cell>
          <cell r="AJ12">
            <v>305030</v>
          </cell>
          <cell r="AK12">
            <v>30500</v>
          </cell>
          <cell r="AL12">
            <v>0</v>
          </cell>
          <cell r="AM12">
            <v>24830</v>
          </cell>
          <cell r="AN12">
            <v>144580</v>
          </cell>
          <cell r="AO12">
            <v>101270</v>
          </cell>
          <cell r="AP12">
            <v>6630</v>
          </cell>
          <cell r="AQ12">
            <v>0</v>
          </cell>
          <cell r="AS12">
            <v>612840</v>
          </cell>
          <cell r="AT12">
            <v>4202544.615384615</v>
          </cell>
        </row>
        <row r="13">
          <cell r="B13" t="str">
            <v>김진경</v>
          </cell>
          <cell r="C13">
            <v>40525</v>
          </cell>
          <cell r="E13" t="str">
            <v>내과수의사</v>
          </cell>
          <cell r="F13" t="str">
            <v>여</v>
          </cell>
          <cell r="L13">
            <v>2963076.9230769235</v>
          </cell>
          <cell r="U13">
            <v>2355838.8855239251</v>
          </cell>
          <cell r="Y13">
            <v>371974.56087219872</v>
          </cell>
          <cell r="Z13">
            <v>0</v>
          </cell>
          <cell r="AA13">
            <v>135263.47668079953</v>
          </cell>
          <cell r="AB13">
            <v>0</v>
          </cell>
          <cell r="AC13">
            <v>0</v>
          </cell>
          <cell r="AD13">
            <v>0</v>
          </cell>
          <cell r="AE13">
            <v>0</v>
          </cell>
          <cell r="AF13">
            <v>0</v>
          </cell>
          <cell r="AG13">
            <v>100000</v>
          </cell>
          <cell r="AH13">
            <v>0</v>
          </cell>
          <cell r="AJ13">
            <v>89400</v>
          </cell>
          <cell r="AK13">
            <v>8940</v>
          </cell>
          <cell r="AL13">
            <v>0</v>
          </cell>
          <cell r="AM13">
            <v>15740</v>
          </cell>
          <cell r="AN13">
            <v>111100</v>
          </cell>
          <cell r="AO13">
            <v>73050</v>
          </cell>
          <cell r="AP13">
            <v>4780</v>
          </cell>
          <cell r="AQ13">
            <v>0</v>
          </cell>
          <cell r="AS13">
            <v>303010</v>
          </cell>
          <cell r="AT13">
            <v>2660066.9230769235</v>
          </cell>
        </row>
        <row r="14">
          <cell r="B14" t="str">
            <v>김태현</v>
          </cell>
          <cell r="C14">
            <v>40553</v>
          </cell>
          <cell r="E14" t="str">
            <v>외과수의사</v>
          </cell>
          <cell r="F14" t="str">
            <v>남</v>
          </cell>
          <cell r="L14">
            <v>2963076.9230769235</v>
          </cell>
          <cell r="U14">
            <v>2355838.8855239251</v>
          </cell>
          <cell r="Y14">
            <v>371974.56087219872</v>
          </cell>
          <cell r="Z14">
            <v>0</v>
          </cell>
          <cell r="AA14">
            <v>135263.47668079953</v>
          </cell>
          <cell r="AB14">
            <v>0</v>
          </cell>
          <cell r="AC14">
            <v>0</v>
          </cell>
          <cell r="AD14">
            <v>0</v>
          </cell>
          <cell r="AE14">
            <v>0</v>
          </cell>
          <cell r="AF14">
            <v>0</v>
          </cell>
          <cell r="AG14">
            <v>100000</v>
          </cell>
          <cell r="AH14">
            <v>0</v>
          </cell>
          <cell r="AJ14">
            <v>89400</v>
          </cell>
          <cell r="AK14">
            <v>8940</v>
          </cell>
          <cell r="AL14">
            <v>0</v>
          </cell>
          <cell r="AM14">
            <v>15740</v>
          </cell>
          <cell r="AN14">
            <v>111100</v>
          </cell>
          <cell r="AO14">
            <v>69240</v>
          </cell>
          <cell r="AP14">
            <v>4530</v>
          </cell>
          <cell r="AQ14">
            <v>0</v>
          </cell>
          <cell r="AS14">
            <v>298950</v>
          </cell>
          <cell r="AT14">
            <v>2664126.9230769235</v>
          </cell>
        </row>
        <row r="15">
          <cell r="B15" t="str">
            <v>서지민</v>
          </cell>
          <cell r="C15">
            <v>38047</v>
          </cell>
          <cell r="E15" t="str">
            <v>응급의학과과장</v>
          </cell>
          <cell r="F15" t="str">
            <v>여</v>
          </cell>
          <cell r="L15">
            <v>4660841.307692308</v>
          </cell>
          <cell r="U15">
            <v>3699668.6350696548</v>
          </cell>
          <cell r="V15">
            <v>300000</v>
          </cell>
          <cell r="Y15">
            <v>631526.62658994552</v>
          </cell>
          <cell r="Z15">
            <v>0</v>
          </cell>
          <cell r="AA15">
            <v>229646.04603270744</v>
          </cell>
          <cell r="AB15">
            <v>0</v>
          </cell>
          <cell r="AC15">
            <v>0</v>
          </cell>
          <cell r="AD15">
            <v>-300000</v>
          </cell>
          <cell r="AE15">
            <v>0</v>
          </cell>
          <cell r="AF15">
            <v>0</v>
          </cell>
          <cell r="AG15">
            <v>100000</v>
          </cell>
          <cell r="AH15">
            <v>0</v>
          </cell>
          <cell r="AJ15">
            <v>313350</v>
          </cell>
          <cell r="AK15">
            <v>31330</v>
          </cell>
          <cell r="AL15">
            <v>0</v>
          </cell>
          <cell r="AM15">
            <v>25080</v>
          </cell>
          <cell r="AN15">
            <v>168750</v>
          </cell>
          <cell r="AO15">
            <v>113520</v>
          </cell>
          <cell r="AP15">
            <v>7430</v>
          </cell>
          <cell r="AQ15">
            <v>0</v>
          </cell>
          <cell r="AS15">
            <v>659460</v>
          </cell>
          <cell r="AT15">
            <v>4001381.307692308</v>
          </cell>
        </row>
        <row r="16">
          <cell r="B16" t="str">
            <v>박경선</v>
          </cell>
          <cell r="C16">
            <v>39873</v>
          </cell>
          <cell r="E16" t="str">
            <v>응급의학과수의사</v>
          </cell>
          <cell r="F16" t="str">
            <v>남</v>
          </cell>
          <cell r="L16">
            <v>3448774.3846153845</v>
          </cell>
          <cell r="U16">
            <v>1425126.6145619084</v>
          </cell>
          <cell r="V16">
            <v>150000</v>
          </cell>
          <cell r="Y16">
            <v>1493088.7700534759</v>
          </cell>
          <cell r="Z16">
            <v>0</v>
          </cell>
          <cell r="AA16">
            <v>0</v>
          </cell>
          <cell r="AB16">
            <v>0</v>
          </cell>
          <cell r="AC16">
            <v>0</v>
          </cell>
          <cell r="AD16">
            <v>80559</v>
          </cell>
          <cell r="AE16">
            <v>0</v>
          </cell>
          <cell r="AF16">
            <v>0</v>
          </cell>
          <cell r="AG16">
            <v>100000</v>
          </cell>
          <cell r="AH16">
            <v>200000</v>
          </cell>
          <cell r="AJ16">
            <v>124880</v>
          </cell>
          <cell r="AK16">
            <v>12480</v>
          </cell>
          <cell r="AL16">
            <v>0</v>
          </cell>
          <cell r="AM16">
            <v>17310</v>
          </cell>
          <cell r="AN16">
            <v>99270</v>
          </cell>
          <cell r="AO16">
            <v>76290</v>
          </cell>
          <cell r="AP16">
            <v>4990</v>
          </cell>
          <cell r="AQ16">
            <v>0</v>
          </cell>
          <cell r="AS16">
            <v>335220</v>
          </cell>
          <cell r="AT16">
            <v>3113554.3846153845</v>
          </cell>
        </row>
        <row r="17">
          <cell r="B17" t="str">
            <v>이혜경</v>
          </cell>
          <cell r="C17">
            <v>39142</v>
          </cell>
          <cell r="E17" t="str">
            <v>응급의학과수의사</v>
          </cell>
          <cell r="F17" t="str">
            <v>여</v>
          </cell>
          <cell r="L17">
            <v>3548211</v>
          </cell>
          <cell r="U17">
            <v>1474868.2780748662</v>
          </cell>
          <cell r="V17">
            <v>150000</v>
          </cell>
          <cell r="Y17">
            <v>1540239.7219251336</v>
          </cell>
          <cell r="Z17">
            <v>0</v>
          </cell>
          <cell r="AA17">
            <v>0</v>
          </cell>
          <cell r="AB17">
            <v>0</v>
          </cell>
          <cell r="AC17">
            <v>0</v>
          </cell>
          <cell r="AD17">
            <v>83103</v>
          </cell>
          <cell r="AE17">
            <v>0</v>
          </cell>
          <cell r="AF17">
            <v>0</v>
          </cell>
          <cell r="AG17">
            <v>100000</v>
          </cell>
          <cell r="AH17">
            <v>200000</v>
          </cell>
          <cell r="AJ17">
            <v>118580</v>
          </cell>
          <cell r="AK17">
            <v>11850</v>
          </cell>
          <cell r="AL17">
            <v>0</v>
          </cell>
          <cell r="AM17">
            <v>17860</v>
          </cell>
          <cell r="AN17">
            <v>128560</v>
          </cell>
          <cell r="AO17">
            <v>86890</v>
          </cell>
          <cell r="AP17">
            <v>5690</v>
          </cell>
          <cell r="AQ17">
            <v>0</v>
          </cell>
          <cell r="AS17">
            <v>369430</v>
          </cell>
          <cell r="AT17">
            <v>3178781</v>
          </cell>
        </row>
        <row r="18">
          <cell r="B18" t="str">
            <v>계서연</v>
          </cell>
          <cell r="C18">
            <v>39873</v>
          </cell>
          <cell r="E18" t="str">
            <v>영상진단과수의사</v>
          </cell>
          <cell r="F18" t="str">
            <v>여</v>
          </cell>
          <cell r="L18">
            <v>3119307.692307692</v>
          </cell>
          <cell r="U18">
            <v>2184390.9751665657</v>
          </cell>
          <cell r="V18">
            <v>300000</v>
          </cell>
          <cell r="Y18">
            <v>392272.25923682615</v>
          </cell>
          <cell r="Z18">
            <v>0</v>
          </cell>
          <cell r="AA18">
            <v>142644.45790430042</v>
          </cell>
          <cell r="AB18">
            <v>0</v>
          </cell>
          <cell r="AC18">
            <v>0</v>
          </cell>
          <cell r="AD18">
            <v>0</v>
          </cell>
          <cell r="AE18">
            <v>0</v>
          </cell>
          <cell r="AF18">
            <v>0</v>
          </cell>
          <cell r="AG18">
            <v>100000</v>
          </cell>
          <cell r="AJ18">
            <v>107450</v>
          </cell>
          <cell r="AK18">
            <v>10740</v>
          </cell>
          <cell r="AL18">
            <v>0</v>
          </cell>
          <cell r="AM18">
            <v>16600</v>
          </cell>
          <cell r="AN18">
            <v>95800</v>
          </cell>
          <cell r="AO18">
            <v>78980</v>
          </cell>
          <cell r="AP18">
            <v>5170</v>
          </cell>
          <cell r="AQ18">
            <v>0</v>
          </cell>
          <cell r="AS18">
            <v>314740</v>
          </cell>
          <cell r="AT18">
            <v>2804567.692307692</v>
          </cell>
        </row>
        <row r="19">
          <cell r="B19" t="str">
            <v>김태은</v>
          </cell>
          <cell r="C19">
            <v>39142</v>
          </cell>
          <cell r="E19" t="str">
            <v>진료협력팀장</v>
          </cell>
          <cell r="F19" t="str">
            <v>여</v>
          </cell>
          <cell r="L19">
            <v>3366291.0769230765</v>
          </cell>
          <cell r="U19">
            <v>2223050.5317989094</v>
          </cell>
          <cell r="V19">
            <v>300000</v>
          </cell>
          <cell r="Y19">
            <v>398376.39975772251</v>
          </cell>
          <cell r="Z19">
            <v>0</v>
          </cell>
          <cell r="AA19">
            <v>144864.14536644454</v>
          </cell>
          <cell r="AB19">
            <v>0</v>
          </cell>
          <cell r="AC19">
            <v>0</v>
          </cell>
          <cell r="AD19">
            <v>0</v>
          </cell>
          <cell r="AE19">
            <v>0</v>
          </cell>
          <cell r="AF19">
            <v>0</v>
          </cell>
          <cell r="AG19">
            <v>100000</v>
          </cell>
          <cell r="AH19">
            <v>200000</v>
          </cell>
          <cell r="AJ19">
            <v>114920</v>
          </cell>
          <cell r="AK19">
            <v>11490</v>
          </cell>
          <cell r="AL19">
            <v>0</v>
          </cell>
          <cell r="AM19">
            <v>16860</v>
          </cell>
          <cell r="AN19">
            <v>106870</v>
          </cell>
          <cell r="AO19">
            <v>78000</v>
          </cell>
          <cell r="AP19">
            <v>5100</v>
          </cell>
          <cell r="AQ19">
            <v>0</v>
          </cell>
          <cell r="AS19">
            <v>333240</v>
          </cell>
          <cell r="AT19">
            <v>3033051.0769230765</v>
          </cell>
        </row>
        <row r="20">
          <cell r="B20" t="str">
            <v>윤진원</v>
          </cell>
          <cell r="C20">
            <v>40238</v>
          </cell>
          <cell r="E20" t="str">
            <v>응급의학과수의사</v>
          </cell>
          <cell r="F20" t="str">
            <v>여</v>
          </cell>
          <cell r="L20">
            <v>2839313.7692307695</v>
          </cell>
          <cell r="U20">
            <v>1370300.2879473469</v>
          </cell>
          <cell r="Y20">
            <v>599506.37597696437</v>
          </cell>
          <cell r="Z20">
            <v>699424.10530645843</v>
          </cell>
          <cell r="AA20">
            <v>0</v>
          </cell>
          <cell r="AB20">
            <v>0</v>
          </cell>
          <cell r="AC20">
            <v>0</v>
          </cell>
          <cell r="AD20">
            <v>70083</v>
          </cell>
          <cell r="AE20">
            <v>0</v>
          </cell>
          <cell r="AF20">
            <v>0</v>
          </cell>
          <cell r="AG20">
            <v>100000</v>
          </cell>
          <cell r="AJ20">
            <v>73210</v>
          </cell>
          <cell r="AK20">
            <v>7320</v>
          </cell>
          <cell r="AL20">
            <v>0</v>
          </cell>
          <cell r="AM20">
            <v>15060</v>
          </cell>
          <cell r="AN20">
            <v>88240</v>
          </cell>
          <cell r="AO20">
            <v>64820</v>
          </cell>
          <cell r="AP20">
            <v>4240</v>
          </cell>
          <cell r="AQ20">
            <v>0</v>
          </cell>
          <cell r="AS20">
            <v>252890</v>
          </cell>
          <cell r="AT20">
            <v>2586423.7692307695</v>
          </cell>
        </row>
        <row r="21">
          <cell r="B21" t="str">
            <v>정유진</v>
          </cell>
          <cell r="C21">
            <v>39114</v>
          </cell>
          <cell r="E21" t="str">
            <v>내과간호팀장</v>
          </cell>
          <cell r="F21" t="str">
            <v>여</v>
          </cell>
          <cell r="L21">
            <v>2127022.615384615</v>
          </cell>
          <cell r="U21">
            <v>1509046.1677771045</v>
          </cell>
          <cell r="V21">
            <v>150000</v>
          </cell>
          <cell r="W21">
            <v>50000</v>
          </cell>
          <cell r="Y21">
            <v>269849.39491217438</v>
          </cell>
          <cell r="Z21">
            <v>0</v>
          </cell>
          <cell r="AA21">
            <v>98127.05269533614</v>
          </cell>
          <cell r="AB21">
            <v>0</v>
          </cell>
          <cell r="AC21">
            <v>0</v>
          </cell>
          <cell r="AD21">
            <v>50000</v>
          </cell>
          <cell r="AE21">
            <v>0</v>
          </cell>
          <cell r="AF21">
            <v>0</v>
          </cell>
          <cell r="AG21">
            <v>0</v>
          </cell>
          <cell r="AI21">
            <v>0</v>
          </cell>
          <cell r="AJ21">
            <v>26470</v>
          </cell>
          <cell r="AK21">
            <v>2640</v>
          </cell>
          <cell r="AL21">
            <v>0</v>
          </cell>
          <cell r="AM21">
            <v>11690</v>
          </cell>
          <cell r="AN21">
            <v>69210</v>
          </cell>
          <cell r="AO21">
            <v>49910</v>
          </cell>
          <cell r="AP21">
            <v>3260</v>
          </cell>
          <cell r="AQ21">
            <v>0</v>
          </cell>
          <cell r="AS21">
            <v>163180</v>
          </cell>
          <cell r="AT21">
            <v>1963842.615384615</v>
          </cell>
        </row>
        <row r="22">
          <cell r="B22" t="str">
            <v>안미희</v>
          </cell>
          <cell r="C22">
            <v>39512</v>
          </cell>
          <cell r="E22" t="str">
            <v>내과간호사</v>
          </cell>
          <cell r="F22" t="str">
            <v>여</v>
          </cell>
          <cell r="L22">
            <v>1812274.7692307692</v>
          </cell>
          <cell r="U22">
            <v>1400060.7353119322</v>
          </cell>
          <cell r="W22">
            <v>50000</v>
          </cell>
          <cell r="Y22">
            <v>228956.95820714717</v>
          </cell>
          <cell r="Z22">
            <v>0</v>
          </cell>
          <cell r="AA22">
            <v>83257.075711689889</v>
          </cell>
          <cell r="AB22">
            <v>0</v>
          </cell>
          <cell r="AC22">
            <v>0</v>
          </cell>
          <cell r="AD22">
            <v>50000</v>
          </cell>
          <cell r="AE22">
            <v>0</v>
          </cell>
          <cell r="AF22">
            <v>0</v>
          </cell>
          <cell r="AG22">
            <v>0</v>
          </cell>
          <cell r="AJ22">
            <v>17180</v>
          </cell>
          <cell r="AK22">
            <v>1710</v>
          </cell>
          <cell r="AL22">
            <v>0</v>
          </cell>
          <cell r="AM22">
            <v>9960</v>
          </cell>
          <cell r="AN22">
            <v>57330</v>
          </cell>
          <cell r="AO22">
            <v>40200</v>
          </cell>
          <cell r="AP22">
            <v>2630</v>
          </cell>
          <cell r="AQ22">
            <v>0</v>
          </cell>
          <cell r="AS22">
            <v>129010</v>
          </cell>
          <cell r="AT22">
            <v>1683264.7692307692</v>
          </cell>
        </row>
        <row r="23">
          <cell r="B23" t="str">
            <v>조경철</v>
          </cell>
          <cell r="C23">
            <v>39153</v>
          </cell>
          <cell r="E23" t="str">
            <v>응급의학과간호팀장</v>
          </cell>
          <cell r="F23" t="str">
            <v>남</v>
          </cell>
          <cell r="L23">
            <v>2251741.5384615385</v>
          </cell>
          <cell r="U23">
            <v>921387.74167009443</v>
          </cell>
          <cell r="V23">
            <v>150000</v>
          </cell>
          <cell r="W23">
            <v>30000</v>
          </cell>
          <cell r="Y23">
            <v>481857.13698066637</v>
          </cell>
          <cell r="Z23">
            <v>562166.6598107774</v>
          </cell>
          <cell r="AA23">
            <v>0</v>
          </cell>
          <cell r="AB23">
            <v>0</v>
          </cell>
          <cell r="AC23">
            <v>0</v>
          </cell>
          <cell r="AD23">
            <v>106330</v>
          </cell>
          <cell r="AE23">
            <v>0</v>
          </cell>
          <cell r="AF23">
            <v>0</v>
          </cell>
          <cell r="AG23">
            <v>0</v>
          </cell>
          <cell r="AH23">
            <v>0</v>
          </cell>
          <cell r="AJ23">
            <v>30730</v>
          </cell>
          <cell r="AK23">
            <v>3070</v>
          </cell>
          <cell r="AL23">
            <v>0</v>
          </cell>
          <cell r="AM23">
            <v>12380</v>
          </cell>
          <cell r="AN23">
            <v>59710</v>
          </cell>
          <cell r="AO23">
            <v>46910</v>
          </cell>
          <cell r="AP23">
            <v>3070</v>
          </cell>
          <cell r="AQ23">
            <v>0</v>
          </cell>
          <cell r="AS23">
            <v>155870</v>
          </cell>
          <cell r="AT23">
            <v>2095871.5384615385</v>
          </cell>
        </row>
        <row r="24">
          <cell r="B24" t="str">
            <v>박슬기</v>
          </cell>
          <cell r="C24">
            <v>39522</v>
          </cell>
          <cell r="E24" t="str">
            <v>응급의학과간호사</v>
          </cell>
          <cell r="F24" t="str">
            <v>여</v>
          </cell>
          <cell r="L24">
            <v>2021589.3076923077</v>
          </cell>
          <cell r="U24">
            <v>786257.44138214726</v>
          </cell>
          <cell r="V24">
            <v>150000</v>
          </cell>
          <cell r="W24">
            <v>50000</v>
          </cell>
          <cell r="Y24">
            <v>431487.63060468948</v>
          </cell>
          <cell r="Z24">
            <v>503402.23570547102</v>
          </cell>
          <cell r="AA24">
            <v>0</v>
          </cell>
          <cell r="AB24">
            <v>0</v>
          </cell>
          <cell r="AC24">
            <v>0</v>
          </cell>
          <cell r="AD24">
            <v>100442</v>
          </cell>
          <cell r="AE24">
            <v>0</v>
          </cell>
          <cell r="AF24">
            <v>0</v>
          </cell>
          <cell r="AG24">
            <v>0</v>
          </cell>
          <cell r="AJ24">
            <v>23190</v>
          </cell>
          <cell r="AK24">
            <v>2310</v>
          </cell>
          <cell r="AL24">
            <v>0</v>
          </cell>
          <cell r="AM24">
            <v>11110</v>
          </cell>
          <cell r="AN24">
            <v>59890</v>
          </cell>
          <cell r="AO24">
            <v>46180</v>
          </cell>
          <cell r="AP24">
            <v>3020</v>
          </cell>
          <cell r="AQ24">
            <v>0</v>
          </cell>
          <cell r="AS24">
            <v>145700</v>
          </cell>
          <cell r="AT24">
            <v>1875889.3076923077</v>
          </cell>
        </row>
        <row r="25">
          <cell r="B25" t="str">
            <v>손세미</v>
          </cell>
          <cell r="C25">
            <v>39650</v>
          </cell>
          <cell r="E25" t="str">
            <v>외과간호팀장</v>
          </cell>
          <cell r="F25" t="str">
            <v>여</v>
          </cell>
          <cell r="L25">
            <v>1720793.4615384617</v>
          </cell>
          <cell r="U25">
            <v>1244786.7459115689</v>
          </cell>
          <cell r="V25">
            <v>100000</v>
          </cell>
          <cell r="W25">
            <v>30000</v>
          </cell>
          <cell r="Y25">
            <v>217071.59145972141</v>
          </cell>
          <cell r="Z25">
            <v>0</v>
          </cell>
          <cell r="AA25">
            <v>78935.124167171423</v>
          </cell>
          <cell r="AB25">
            <v>0</v>
          </cell>
          <cell r="AC25">
            <v>0</v>
          </cell>
          <cell r="AD25">
            <v>50000</v>
          </cell>
          <cell r="AE25">
            <v>0</v>
          </cell>
          <cell r="AF25">
            <v>0</v>
          </cell>
          <cell r="AG25">
            <v>0</v>
          </cell>
          <cell r="AJ25">
            <v>15290</v>
          </cell>
          <cell r="AK25">
            <v>1520</v>
          </cell>
          <cell r="AL25">
            <v>0</v>
          </cell>
          <cell r="AM25">
            <v>9460</v>
          </cell>
          <cell r="AN25">
            <v>55260</v>
          </cell>
          <cell r="AO25">
            <v>41970</v>
          </cell>
          <cell r="AP25">
            <v>2740</v>
          </cell>
          <cell r="AQ25">
            <v>0</v>
          </cell>
          <cell r="AS25">
            <v>126240</v>
          </cell>
          <cell r="AT25">
            <v>1594553.4615384617</v>
          </cell>
        </row>
        <row r="26">
          <cell r="B26" t="str">
            <v>오소현</v>
          </cell>
          <cell r="C26">
            <v>39819</v>
          </cell>
          <cell r="E26" t="str">
            <v>응급의학과간호사</v>
          </cell>
          <cell r="F26" t="str">
            <v>여</v>
          </cell>
          <cell r="L26">
            <v>2010230.076923077</v>
          </cell>
          <cell r="U26">
            <v>930575.35499794316</v>
          </cell>
          <cell r="W26">
            <v>50000</v>
          </cell>
          <cell r="Y26">
            <v>429001.71781160019</v>
          </cell>
          <cell r="Z26">
            <v>500502.00411353353</v>
          </cell>
          <cell r="AA26">
            <v>0</v>
          </cell>
          <cell r="AB26">
            <v>0</v>
          </cell>
          <cell r="AC26">
            <v>0</v>
          </cell>
          <cell r="AD26">
            <v>100151</v>
          </cell>
          <cell r="AE26">
            <v>0</v>
          </cell>
          <cell r="AF26">
            <v>0</v>
          </cell>
          <cell r="AG26">
            <v>0</v>
          </cell>
          <cell r="AJ26">
            <v>22860</v>
          </cell>
          <cell r="AK26">
            <v>2280</v>
          </cell>
          <cell r="AL26">
            <v>0</v>
          </cell>
          <cell r="AM26">
            <v>11050</v>
          </cell>
          <cell r="AN26">
            <v>63450</v>
          </cell>
          <cell r="AO26">
            <v>48440</v>
          </cell>
          <cell r="AP26">
            <v>3170</v>
          </cell>
          <cell r="AQ26">
            <v>0</v>
          </cell>
          <cell r="AS26">
            <v>151250</v>
          </cell>
          <cell r="AT26">
            <v>1858980.076923077</v>
          </cell>
        </row>
        <row r="27">
          <cell r="B27" t="str">
            <v>김애솔</v>
          </cell>
          <cell r="C27">
            <v>39847</v>
          </cell>
          <cell r="E27" t="str">
            <v>내과간호사</v>
          </cell>
          <cell r="F27" t="str">
            <v>여</v>
          </cell>
          <cell r="L27">
            <v>1603767.3846153847</v>
          </cell>
          <cell r="U27">
            <v>1228493.6353725016</v>
          </cell>
          <cell r="W27">
            <v>50000</v>
          </cell>
          <cell r="Y27">
            <v>201867.41611144762</v>
          </cell>
          <cell r="Z27">
            <v>0</v>
          </cell>
          <cell r="AA27">
            <v>73406.333131435502</v>
          </cell>
          <cell r="AB27">
            <v>0</v>
          </cell>
          <cell r="AC27">
            <v>0</v>
          </cell>
          <cell r="AD27">
            <v>50000</v>
          </cell>
          <cell r="AE27">
            <v>0</v>
          </cell>
          <cell r="AF27">
            <v>0</v>
          </cell>
          <cell r="AG27">
            <v>0</v>
          </cell>
          <cell r="AJ27">
            <v>12760</v>
          </cell>
          <cell r="AK27">
            <v>1270</v>
          </cell>
          <cell r="AL27">
            <v>0</v>
          </cell>
          <cell r="AM27">
            <v>8820</v>
          </cell>
          <cell r="AN27">
            <v>56020</v>
          </cell>
          <cell r="AO27">
            <v>39200</v>
          </cell>
          <cell r="AP27">
            <v>2560</v>
          </cell>
          <cell r="AQ27">
            <v>0</v>
          </cell>
          <cell r="AS27">
            <v>120630</v>
          </cell>
          <cell r="AT27">
            <v>1483137.3846153847</v>
          </cell>
        </row>
        <row r="28">
          <cell r="B28" t="str">
            <v>강효진</v>
          </cell>
          <cell r="C28">
            <v>40017</v>
          </cell>
          <cell r="E28" t="str">
            <v>응급의학과간호사</v>
          </cell>
          <cell r="F28" t="str">
            <v>여</v>
          </cell>
          <cell r="L28">
            <v>1993680.2307692308</v>
          </cell>
          <cell r="U28">
            <v>922296.8457424927</v>
          </cell>
          <cell r="W28">
            <v>50000</v>
          </cell>
          <cell r="Y28">
            <v>425379.8700123406</v>
          </cell>
          <cell r="Z28">
            <v>496276.51501439733</v>
          </cell>
          <cell r="AA28">
            <v>0</v>
          </cell>
          <cell r="AB28">
            <v>0</v>
          </cell>
          <cell r="AC28">
            <v>0</v>
          </cell>
          <cell r="AD28">
            <v>99727</v>
          </cell>
          <cell r="AE28">
            <v>0</v>
          </cell>
          <cell r="AF28">
            <v>0</v>
          </cell>
          <cell r="AG28">
            <v>0</v>
          </cell>
          <cell r="AJ28">
            <v>22210</v>
          </cell>
          <cell r="AK28">
            <v>2220</v>
          </cell>
          <cell r="AL28">
            <v>0</v>
          </cell>
          <cell r="AM28">
            <v>10960</v>
          </cell>
          <cell r="AN28">
            <v>59980</v>
          </cell>
          <cell r="AO28">
            <v>48110</v>
          </cell>
          <cell r="AP28">
            <v>3150</v>
          </cell>
          <cell r="AQ28">
            <v>0</v>
          </cell>
          <cell r="AS28">
            <v>146630</v>
          </cell>
          <cell r="AT28">
            <v>1847050.2307692308</v>
          </cell>
        </row>
        <row r="29">
          <cell r="B29" t="str">
            <v>이은주</v>
          </cell>
          <cell r="C29">
            <v>38047</v>
          </cell>
          <cell r="E29" t="str">
            <v>리셉션실장</v>
          </cell>
          <cell r="F29" t="str">
            <v>여</v>
          </cell>
          <cell r="L29">
            <v>3225886.692307692</v>
          </cell>
          <cell r="U29">
            <v>1772087.8688673531</v>
          </cell>
          <cell r="V29">
            <v>300000</v>
          </cell>
          <cell r="W29">
            <v>500000</v>
          </cell>
          <cell r="Y29">
            <v>406119.13718958205</v>
          </cell>
          <cell r="Z29">
            <v>0</v>
          </cell>
          <cell r="AA29">
            <v>147679.68625075711</v>
          </cell>
          <cell r="AB29">
            <v>0</v>
          </cell>
          <cell r="AC29">
            <v>0</v>
          </cell>
          <cell r="AD29">
            <v>0</v>
          </cell>
          <cell r="AE29">
            <v>0</v>
          </cell>
          <cell r="AF29">
            <v>0</v>
          </cell>
          <cell r="AG29">
            <v>100000</v>
          </cell>
          <cell r="AJ29">
            <v>122390</v>
          </cell>
          <cell r="AK29">
            <v>12230</v>
          </cell>
          <cell r="AL29">
            <v>0</v>
          </cell>
          <cell r="AM29">
            <v>17190</v>
          </cell>
          <cell r="AN29">
            <v>97830</v>
          </cell>
          <cell r="AO29">
            <v>75040</v>
          </cell>
          <cell r="AP29">
            <v>4910</v>
          </cell>
          <cell r="AQ29">
            <v>0</v>
          </cell>
          <cell r="AS29">
            <v>329590</v>
          </cell>
          <cell r="AT29">
            <v>2896296.692307692</v>
          </cell>
        </row>
        <row r="30">
          <cell r="B30" t="str">
            <v>김현정</v>
          </cell>
          <cell r="C30">
            <v>39574</v>
          </cell>
          <cell r="E30" t="str">
            <v>리셉셔니스트</v>
          </cell>
          <cell r="F30" t="str">
            <v>여</v>
          </cell>
          <cell r="L30">
            <v>0</v>
          </cell>
          <cell r="U30">
            <v>0</v>
          </cell>
          <cell r="Y30">
            <v>0</v>
          </cell>
          <cell r="Z30">
            <v>0</v>
          </cell>
          <cell r="AA30">
            <v>0</v>
          </cell>
          <cell r="AB30">
            <v>0</v>
          </cell>
          <cell r="AC30">
            <v>0</v>
          </cell>
          <cell r="AD30">
            <v>0</v>
          </cell>
          <cell r="AE30">
            <v>0</v>
          </cell>
          <cell r="AF30">
            <v>0</v>
          </cell>
          <cell r="AG30">
            <v>0</v>
          </cell>
          <cell r="AJ30">
            <v>0</v>
          </cell>
          <cell r="AK30">
            <v>0</v>
          </cell>
          <cell r="AL30">
            <v>0</v>
          </cell>
          <cell r="AM30">
            <v>0</v>
          </cell>
          <cell r="AN30">
            <v>0</v>
          </cell>
          <cell r="AO30">
            <v>0</v>
          </cell>
          <cell r="AP30">
            <v>0</v>
          </cell>
          <cell r="AQ30">
            <v>0</v>
          </cell>
          <cell r="AS30">
            <v>0</v>
          </cell>
          <cell r="AT30">
            <v>0</v>
          </cell>
        </row>
        <row r="31">
          <cell r="B31" t="str">
            <v>정가연</v>
          </cell>
          <cell r="C31">
            <v>39822</v>
          </cell>
          <cell r="E31" t="str">
            <v>리셉셔니스트</v>
          </cell>
          <cell r="F31" t="str">
            <v>여</v>
          </cell>
          <cell r="L31">
            <v>47724</v>
          </cell>
          <cell r="U31">
            <v>36615.318897637801</v>
          </cell>
          <cell r="Y31">
            <v>5781.3661417322837</v>
          </cell>
          <cell r="Z31">
            <v>0</v>
          </cell>
          <cell r="AA31">
            <v>2102.3149606299212</v>
          </cell>
          <cell r="AB31">
            <v>0</v>
          </cell>
          <cell r="AC31">
            <v>0</v>
          </cell>
          <cell r="AD31">
            <v>0</v>
          </cell>
          <cell r="AE31">
            <v>0</v>
          </cell>
          <cell r="AF31">
            <v>0</v>
          </cell>
          <cell r="AG31">
            <v>3225</v>
          </cell>
          <cell r="AJ31">
            <v>0</v>
          </cell>
          <cell r="AK31">
            <v>0</v>
          </cell>
          <cell r="AL31">
            <v>0</v>
          </cell>
          <cell r="AM31">
            <v>240</v>
          </cell>
          <cell r="AN31">
            <v>0</v>
          </cell>
          <cell r="AO31">
            <v>0</v>
          </cell>
          <cell r="AP31">
            <v>0</v>
          </cell>
          <cell r="AQ31">
            <v>0</v>
          </cell>
          <cell r="AS31">
            <v>240</v>
          </cell>
          <cell r="AT31">
            <v>47484</v>
          </cell>
        </row>
        <row r="32">
          <cell r="B32" t="str">
            <v>김나미</v>
          </cell>
          <cell r="C32">
            <v>40120</v>
          </cell>
          <cell r="E32" t="str">
            <v>경리직원</v>
          </cell>
          <cell r="F32" t="str">
            <v>여</v>
          </cell>
          <cell r="L32">
            <v>1682692.3076923077</v>
          </cell>
          <cell r="U32">
            <v>1302294.0642035131</v>
          </cell>
          <cell r="Y32">
            <v>205625.37855844945</v>
          </cell>
          <cell r="Z32">
            <v>0</v>
          </cell>
          <cell r="AA32">
            <v>74772.864930345255</v>
          </cell>
          <cell r="AB32">
            <v>0</v>
          </cell>
          <cell r="AC32">
            <v>0</v>
          </cell>
          <cell r="AD32">
            <v>0</v>
          </cell>
          <cell r="AE32">
            <v>0</v>
          </cell>
          <cell r="AF32">
            <v>0</v>
          </cell>
          <cell r="AG32">
            <v>100000</v>
          </cell>
          <cell r="AJ32">
            <v>12340</v>
          </cell>
          <cell r="AK32">
            <v>1230</v>
          </cell>
          <cell r="AL32">
            <v>0</v>
          </cell>
          <cell r="AM32">
            <v>8700</v>
          </cell>
          <cell r="AN32">
            <v>47200</v>
          </cell>
          <cell r="AO32">
            <v>36620</v>
          </cell>
          <cell r="AP32">
            <v>2390</v>
          </cell>
          <cell r="AQ32">
            <v>0</v>
          </cell>
          <cell r="AR32">
            <v>0</v>
          </cell>
          <cell r="AS32">
            <v>108480</v>
          </cell>
          <cell r="AT32">
            <v>1574212.3076923077</v>
          </cell>
        </row>
        <row r="33">
          <cell r="B33" t="str">
            <v>김가람</v>
          </cell>
          <cell r="C33">
            <v>40210</v>
          </cell>
          <cell r="E33" t="str">
            <v>응급의학과간호사</v>
          </cell>
          <cell r="F33" t="str">
            <v>여</v>
          </cell>
          <cell r="L33">
            <v>1657726.4615384617</v>
          </cell>
          <cell r="U33">
            <v>754241.00699300703</v>
          </cell>
          <cell r="W33">
            <v>50000</v>
          </cell>
          <cell r="Y33">
            <v>351855.44055944064</v>
          </cell>
          <cell r="Z33">
            <v>410498.01398601406</v>
          </cell>
          <cell r="AA33">
            <v>0</v>
          </cell>
          <cell r="AB33">
            <v>0</v>
          </cell>
          <cell r="AC33">
            <v>0</v>
          </cell>
          <cell r="AD33">
            <v>91132</v>
          </cell>
          <cell r="AE33">
            <v>0</v>
          </cell>
          <cell r="AF33">
            <v>0</v>
          </cell>
          <cell r="AG33">
            <v>0</v>
          </cell>
          <cell r="AJ33">
            <v>13810</v>
          </cell>
          <cell r="AK33">
            <v>1380</v>
          </cell>
          <cell r="AL33">
            <v>0</v>
          </cell>
          <cell r="AM33">
            <v>9110</v>
          </cell>
          <cell r="AN33">
            <v>39010</v>
          </cell>
          <cell r="AO33">
            <v>38350</v>
          </cell>
          <cell r="AP33">
            <v>2510</v>
          </cell>
          <cell r="AQ33">
            <v>0</v>
          </cell>
          <cell r="AS33">
            <v>104170</v>
          </cell>
          <cell r="AT33">
            <v>1553556.4615384617</v>
          </cell>
        </row>
        <row r="34">
          <cell r="B34" t="str">
            <v>서하나</v>
          </cell>
          <cell r="C34">
            <v>40210</v>
          </cell>
          <cell r="E34" t="str">
            <v>응급의학과간호사</v>
          </cell>
          <cell r="F34" t="str">
            <v>여</v>
          </cell>
          <cell r="L34">
            <v>1657726.4615384617</v>
          </cell>
          <cell r="U34">
            <v>754241.00699300703</v>
          </cell>
          <cell r="W34">
            <v>50000</v>
          </cell>
          <cell r="Y34">
            <v>351855.44055944064</v>
          </cell>
          <cell r="Z34">
            <v>410498.01398601406</v>
          </cell>
          <cell r="AA34">
            <v>0</v>
          </cell>
          <cell r="AB34">
            <v>0</v>
          </cell>
          <cell r="AC34">
            <v>0</v>
          </cell>
          <cell r="AD34">
            <v>91132</v>
          </cell>
          <cell r="AE34">
            <v>0</v>
          </cell>
          <cell r="AF34">
            <v>0</v>
          </cell>
          <cell r="AG34">
            <v>0</v>
          </cell>
          <cell r="AJ34">
            <v>13810</v>
          </cell>
          <cell r="AK34">
            <v>1380</v>
          </cell>
          <cell r="AL34">
            <v>0</v>
          </cell>
          <cell r="AM34">
            <v>9110</v>
          </cell>
          <cell r="AN34">
            <v>40270</v>
          </cell>
          <cell r="AO34">
            <v>38330</v>
          </cell>
          <cell r="AP34">
            <v>2510</v>
          </cell>
          <cell r="AQ34">
            <v>0</v>
          </cell>
          <cell r="AS34">
            <v>105410</v>
          </cell>
          <cell r="AT34">
            <v>1552316.4615384617</v>
          </cell>
        </row>
        <row r="35">
          <cell r="B35" t="str">
            <v>이승은</v>
          </cell>
          <cell r="C35">
            <v>40293</v>
          </cell>
          <cell r="E35" t="str">
            <v>리셉셔니스트</v>
          </cell>
          <cell r="F35" t="str">
            <v>여</v>
          </cell>
          <cell r="L35">
            <v>1596153.846153846</v>
          </cell>
          <cell r="U35">
            <v>1231087.2198667473</v>
          </cell>
          <cell r="Y35">
            <v>194382.19261053903</v>
          </cell>
          <cell r="Z35">
            <v>0</v>
          </cell>
          <cell r="AA35">
            <v>70684.433676559653</v>
          </cell>
          <cell r="AB35">
            <v>0</v>
          </cell>
          <cell r="AC35">
            <v>0</v>
          </cell>
          <cell r="AD35">
            <v>0</v>
          </cell>
          <cell r="AE35">
            <v>0</v>
          </cell>
          <cell r="AF35">
            <v>0</v>
          </cell>
          <cell r="AG35">
            <v>100000</v>
          </cell>
          <cell r="AJ35">
            <v>10500</v>
          </cell>
          <cell r="AK35">
            <v>1050</v>
          </cell>
          <cell r="AL35">
            <v>0</v>
          </cell>
          <cell r="AM35">
            <v>8220</v>
          </cell>
          <cell r="AN35">
            <v>45720</v>
          </cell>
          <cell r="AO35">
            <v>33170</v>
          </cell>
          <cell r="AP35">
            <v>2170</v>
          </cell>
          <cell r="AQ35">
            <v>0</v>
          </cell>
          <cell r="AS35">
            <v>100830</v>
          </cell>
          <cell r="AT35">
            <v>1495323.846153846</v>
          </cell>
        </row>
        <row r="36">
          <cell r="B36" t="str">
            <v>박선영</v>
          </cell>
          <cell r="C36">
            <v>40315</v>
          </cell>
          <cell r="E36" t="str">
            <v>총무부실장</v>
          </cell>
          <cell r="F36" t="str">
            <v>여</v>
          </cell>
          <cell r="L36">
            <v>2692061.5384615385</v>
          </cell>
          <cell r="U36">
            <v>1706450.6359781949</v>
          </cell>
          <cell r="V36">
            <v>300000</v>
          </cell>
          <cell r="Y36">
            <v>316807.99515445181</v>
          </cell>
          <cell r="Z36">
            <v>0</v>
          </cell>
          <cell r="AA36">
            <v>115202.90732889157</v>
          </cell>
          <cell r="AB36">
            <v>0</v>
          </cell>
          <cell r="AC36">
            <v>0</v>
          </cell>
          <cell r="AD36">
            <v>153600</v>
          </cell>
          <cell r="AE36">
            <v>0</v>
          </cell>
          <cell r="AF36">
            <v>0</v>
          </cell>
          <cell r="AG36">
            <v>100000</v>
          </cell>
          <cell r="AJ36">
            <v>57800</v>
          </cell>
          <cell r="AK36">
            <v>5780</v>
          </cell>
          <cell r="AL36">
            <v>0</v>
          </cell>
          <cell r="AM36">
            <v>14250</v>
          </cell>
          <cell r="AN36">
            <v>64390</v>
          </cell>
          <cell r="AO36">
            <v>54520</v>
          </cell>
          <cell r="AP36">
            <v>3570</v>
          </cell>
          <cell r="AQ36">
            <v>0</v>
          </cell>
          <cell r="AS36">
            <v>200310</v>
          </cell>
          <cell r="AT36">
            <v>2491751.5384615385</v>
          </cell>
        </row>
        <row r="37">
          <cell r="B37" t="str">
            <v>김재옥</v>
          </cell>
          <cell r="C37">
            <v>40350</v>
          </cell>
          <cell r="E37" t="str">
            <v>외과간호사</v>
          </cell>
          <cell r="F37" t="str">
            <v>여</v>
          </cell>
          <cell r="L37">
            <v>1375981.5384615385</v>
          </cell>
          <cell r="U37">
            <v>1041063.549364022</v>
          </cell>
          <cell r="W37">
            <v>50000</v>
          </cell>
          <cell r="Y37">
            <v>172273.19200484556</v>
          </cell>
          <cell r="Z37">
            <v>0</v>
          </cell>
          <cell r="AA37">
            <v>62644.797092671113</v>
          </cell>
          <cell r="AB37">
            <v>0</v>
          </cell>
          <cell r="AC37">
            <v>0</v>
          </cell>
          <cell r="AD37">
            <v>50000</v>
          </cell>
          <cell r="AE37">
            <v>0</v>
          </cell>
          <cell r="AF37">
            <v>0</v>
          </cell>
          <cell r="AG37">
            <v>0</v>
          </cell>
          <cell r="AJ37">
            <v>7970</v>
          </cell>
          <cell r="AK37">
            <v>790</v>
          </cell>
          <cell r="AL37">
            <v>0</v>
          </cell>
          <cell r="AM37">
            <v>7560</v>
          </cell>
          <cell r="AN37">
            <v>47380</v>
          </cell>
          <cell r="AO37">
            <v>32490</v>
          </cell>
          <cell r="AP37">
            <v>2120</v>
          </cell>
          <cell r="AQ37">
            <v>0</v>
          </cell>
          <cell r="AS37">
            <v>98310</v>
          </cell>
          <cell r="AT37">
            <v>1277671.5384615385</v>
          </cell>
        </row>
        <row r="38">
          <cell r="B38" t="str">
            <v>안예나</v>
          </cell>
          <cell r="C38">
            <v>40483</v>
          </cell>
          <cell r="E38" t="str">
            <v>외과간호사</v>
          </cell>
          <cell r="F38" t="str">
            <v>여</v>
          </cell>
          <cell r="L38">
            <v>1270307.6923076923</v>
          </cell>
          <cell r="U38">
            <v>954111.44760751049</v>
          </cell>
          <cell r="W38">
            <v>50000</v>
          </cell>
          <cell r="Y38">
            <v>158543.91278013325</v>
          </cell>
          <cell r="Z38">
            <v>0</v>
          </cell>
          <cell r="AA38">
            <v>57652.331920048455</v>
          </cell>
          <cell r="AB38">
            <v>0</v>
          </cell>
          <cell r="AC38">
            <v>0</v>
          </cell>
          <cell r="AD38">
            <v>50000</v>
          </cell>
          <cell r="AE38">
            <v>0</v>
          </cell>
          <cell r="AF38">
            <v>0</v>
          </cell>
          <cell r="AG38">
            <v>0</v>
          </cell>
          <cell r="AJ38">
            <v>5760</v>
          </cell>
          <cell r="AK38">
            <v>570</v>
          </cell>
          <cell r="AL38">
            <v>0</v>
          </cell>
          <cell r="AM38">
            <v>6980</v>
          </cell>
          <cell r="AN38">
            <v>35320</v>
          </cell>
          <cell r="AO38">
            <v>30580</v>
          </cell>
          <cell r="AP38">
            <v>2000</v>
          </cell>
          <cell r="AQ38">
            <v>0</v>
          </cell>
          <cell r="AS38">
            <v>81210</v>
          </cell>
          <cell r="AT38">
            <v>1189097.6923076923</v>
          </cell>
        </row>
        <row r="39">
          <cell r="B39" t="str">
            <v>권아람</v>
          </cell>
          <cell r="C39">
            <v>40483</v>
          </cell>
          <cell r="E39" t="str">
            <v>응급의학과간호사</v>
          </cell>
          <cell r="F39" t="str">
            <v>여</v>
          </cell>
          <cell r="L39">
            <v>1615150.6923076923</v>
          </cell>
          <cell r="U39">
            <v>732942.98642533924</v>
          </cell>
          <cell r="W39">
            <v>50000</v>
          </cell>
          <cell r="Y39">
            <v>342537.55656108592</v>
          </cell>
          <cell r="Z39">
            <v>399627.14932126692</v>
          </cell>
          <cell r="AA39">
            <v>0</v>
          </cell>
          <cell r="AB39">
            <v>0</v>
          </cell>
          <cell r="AC39">
            <v>0</v>
          </cell>
          <cell r="AD39">
            <v>90043</v>
          </cell>
          <cell r="AE39">
            <v>0</v>
          </cell>
          <cell r="AF39">
            <v>0</v>
          </cell>
          <cell r="AG39">
            <v>0</v>
          </cell>
          <cell r="AJ39">
            <v>12970</v>
          </cell>
          <cell r="AK39">
            <v>1290</v>
          </cell>
          <cell r="AL39">
            <v>0</v>
          </cell>
          <cell r="AM39">
            <v>8880</v>
          </cell>
          <cell r="AN39">
            <v>35320</v>
          </cell>
          <cell r="AO39">
            <v>37900</v>
          </cell>
          <cell r="AP39">
            <v>2480</v>
          </cell>
          <cell r="AQ39">
            <v>0</v>
          </cell>
          <cell r="AS39">
            <v>98840</v>
          </cell>
          <cell r="AT39">
            <v>1516310.6923076923</v>
          </cell>
        </row>
        <row r="40">
          <cell r="B40" t="str">
            <v>정유린</v>
          </cell>
          <cell r="C40">
            <v>40483</v>
          </cell>
          <cell r="E40" t="str">
            <v>내과간호사</v>
          </cell>
          <cell r="F40" t="str">
            <v>여</v>
          </cell>
          <cell r="L40">
            <v>1260307.6923076923</v>
          </cell>
          <cell r="U40">
            <v>954111.44760751049</v>
          </cell>
          <cell r="W40">
            <v>50000</v>
          </cell>
          <cell r="Y40">
            <v>158543.91278013325</v>
          </cell>
          <cell r="Z40">
            <v>0</v>
          </cell>
          <cell r="AA40">
            <v>57652.331920048455</v>
          </cell>
          <cell r="AB40">
            <v>0</v>
          </cell>
          <cell r="AC40">
            <v>0</v>
          </cell>
          <cell r="AD40">
            <v>40000</v>
          </cell>
          <cell r="AE40">
            <v>0</v>
          </cell>
          <cell r="AF40">
            <v>0</v>
          </cell>
          <cell r="AG40">
            <v>0</v>
          </cell>
          <cell r="AJ40">
            <v>5550</v>
          </cell>
          <cell r="AK40">
            <v>550</v>
          </cell>
          <cell r="AL40">
            <v>0</v>
          </cell>
          <cell r="AM40">
            <v>6930</v>
          </cell>
          <cell r="AN40">
            <v>35320</v>
          </cell>
          <cell r="AO40">
            <v>30580</v>
          </cell>
          <cell r="AP40">
            <v>2000</v>
          </cell>
          <cell r="AQ40">
            <v>0</v>
          </cell>
          <cell r="AS40">
            <v>80930</v>
          </cell>
          <cell r="AT40">
            <v>1179377.6923076923</v>
          </cell>
        </row>
        <row r="41">
          <cell r="B41" t="str">
            <v>김송이</v>
          </cell>
          <cell r="C41">
            <v>40483</v>
          </cell>
          <cell r="E41" t="str">
            <v>응급의학과간호사</v>
          </cell>
          <cell r="F41" t="str">
            <v>여</v>
          </cell>
          <cell r="L41">
            <v>1545997.076923077</v>
          </cell>
          <cell r="U41">
            <v>718349.81489099131</v>
          </cell>
          <cell r="W41">
            <v>30000</v>
          </cell>
          <cell r="Y41">
            <v>327403.04401480872</v>
          </cell>
          <cell r="Z41">
            <v>381970.21801727684</v>
          </cell>
          <cell r="AA41">
            <v>0</v>
          </cell>
          <cell r="AB41">
            <v>0</v>
          </cell>
          <cell r="AC41">
            <v>0</v>
          </cell>
          <cell r="AD41">
            <v>88274</v>
          </cell>
          <cell r="AE41">
            <v>0</v>
          </cell>
          <cell r="AF41">
            <v>0</v>
          </cell>
          <cell r="AG41">
            <v>0</v>
          </cell>
          <cell r="AJ41">
            <v>11500</v>
          </cell>
          <cell r="AK41">
            <v>1150</v>
          </cell>
          <cell r="AL41">
            <v>0</v>
          </cell>
          <cell r="AM41">
            <v>8500</v>
          </cell>
          <cell r="AN41">
            <v>50310</v>
          </cell>
          <cell r="AO41">
            <v>37790</v>
          </cell>
          <cell r="AP41">
            <v>2470</v>
          </cell>
          <cell r="AQ41">
            <v>0</v>
          </cell>
          <cell r="AS41">
            <v>111720</v>
          </cell>
          <cell r="AT41">
            <v>1434277.076923077</v>
          </cell>
        </row>
        <row r="42">
          <cell r="B42" t="str">
            <v>김세희</v>
          </cell>
          <cell r="C42">
            <v>40483</v>
          </cell>
          <cell r="E42" t="str">
            <v>응급의학과간호사</v>
          </cell>
          <cell r="F42" t="str">
            <v>여</v>
          </cell>
          <cell r="L42">
            <v>1615150.6923076923</v>
          </cell>
          <cell r="U42">
            <v>732942.98642533924</v>
          </cell>
          <cell r="W42">
            <v>50000</v>
          </cell>
          <cell r="Y42">
            <v>342537.55656108592</v>
          </cell>
          <cell r="Z42">
            <v>399627.14932126692</v>
          </cell>
          <cell r="AA42">
            <v>0</v>
          </cell>
          <cell r="AB42">
            <v>0</v>
          </cell>
          <cell r="AC42">
            <v>0</v>
          </cell>
          <cell r="AD42">
            <v>90043</v>
          </cell>
          <cell r="AE42">
            <v>0</v>
          </cell>
          <cell r="AF42">
            <v>0</v>
          </cell>
          <cell r="AG42">
            <v>0</v>
          </cell>
          <cell r="AH42">
            <v>0</v>
          </cell>
          <cell r="AJ42">
            <v>12970</v>
          </cell>
          <cell r="AK42">
            <v>1290</v>
          </cell>
          <cell r="AL42">
            <v>0</v>
          </cell>
          <cell r="AM42">
            <v>8880</v>
          </cell>
          <cell r="AN42">
            <v>52380</v>
          </cell>
          <cell r="AO42">
            <v>38970</v>
          </cell>
          <cell r="AP42">
            <v>2550</v>
          </cell>
          <cell r="AQ42">
            <v>0</v>
          </cell>
          <cell r="AS42">
            <v>117040</v>
          </cell>
          <cell r="AT42">
            <v>1498110.6923076923</v>
          </cell>
        </row>
        <row r="43">
          <cell r="B43" t="str">
            <v>김영민</v>
          </cell>
          <cell r="C43">
            <v>40483</v>
          </cell>
          <cell r="E43" t="str">
            <v>산과간호사</v>
          </cell>
          <cell r="F43" t="str">
            <v>여</v>
          </cell>
          <cell r="L43">
            <v>1285076.923076923</v>
          </cell>
          <cell r="U43">
            <v>986264.0823743185</v>
          </cell>
          <cell r="W43">
            <v>30000</v>
          </cell>
          <cell r="Y43">
            <v>160462.74984857661</v>
          </cell>
          <cell r="Z43">
            <v>0</v>
          </cell>
          <cell r="AA43">
            <v>58350.090854027854</v>
          </cell>
          <cell r="AB43">
            <v>0</v>
          </cell>
          <cell r="AC43">
            <v>0</v>
          </cell>
          <cell r="AD43">
            <v>50000</v>
          </cell>
          <cell r="AE43">
            <v>0</v>
          </cell>
          <cell r="AF43">
            <v>0</v>
          </cell>
          <cell r="AG43">
            <v>0</v>
          </cell>
          <cell r="AJ43">
            <v>6070</v>
          </cell>
          <cell r="AK43">
            <v>600</v>
          </cell>
          <cell r="AL43">
            <v>0</v>
          </cell>
          <cell r="AM43">
            <v>7060</v>
          </cell>
          <cell r="AN43">
            <v>45310</v>
          </cell>
          <cell r="AO43">
            <v>29840</v>
          </cell>
          <cell r="AP43">
            <v>1950</v>
          </cell>
          <cell r="AQ43">
            <v>0</v>
          </cell>
          <cell r="AS43">
            <v>90830</v>
          </cell>
          <cell r="AT43">
            <v>1194246.923076923</v>
          </cell>
        </row>
        <row r="44">
          <cell r="B44" t="str">
            <v>박선비</v>
          </cell>
          <cell r="C44">
            <v>40511</v>
          </cell>
          <cell r="E44" t="str">
            <v>영상진단과간호사</v>
          </cell>
          <cell r="F44" t="str">
            <v>여</v>
          </cell>
          <cell r="L44">
            <v>1270307.6923076923</v>
          </cell>
          <cell r="U44">
            <v>954111.44760751049</v>
          </cell>
          <cell r="W44">
            <v>50000</v>
          </cell>
          <cell r="Y44">
            <v>158543.91278013325</v>
          </cell>
          <cell r="Z44">
            <v>0</v>
          </cell>
          <cell r="AA44">
            <v>57652.331920048455</v>
          </cell>
          <cell r="AB44">
            <v>0</v>
          </cell>
          <cell r="AC44">
            <v>0</v>
          </cell>
          <cell r="AD44">
            <v>50000</v>
          </cell>
          <cell r="AE44">
            <v>0</v>
          </cell>
          <cell r="AF44">
            <v>0</v>
          </cell>
          <cell r="AG44">
            <v>0</v>
          </cell>
          <cell r="AJ44">
            <v>5760</v>
          </cell>
          <cell r="AK44">
            <v>570</v>
          </cell>
          <cell r="AL44">
            <v>0</v>
          </cell>
          <cell r="AM44">
            <v>6980</v>
          </cell>
          <cell r="AN44">
            <v>47380</v>
          </cell>
          <cell r="AO44">
            <v>31070</v>
          </cell>
          <cell r="AP44">
            <v>2030</v>
          </cell>
          <cell r="AQ44">
            <v>0</v>
          </cell>
          <cell r="AS44">
            <v>93790</v>
          </cell>
          <cell r="AT44">
            <v>1176517.6923076923</v>
          </cell>
        </row>
        <row r="45">
          <cell r="B45" t="str">
            <v>김수정</v>
          </cell>
          <cell r="C45">
            <v>40511</v>
          </cell>
          <cell r="E45" t="str">
            <v>영상진단과간호사</v>
          </cell>
          <cell r="F45" t="str">
            <v>여</v>
          </cell>
          <cell r="L45">
            <v>1270307.6923076923</v>
          </cell>
          <cell r="U45">
            <v>954111.44760751049</v>
          </cell>
          <cell r="W45">
            <v>50000</v>
          </cell>
          <cell r="Y45">
            <v>158543.91278013325</v>
          </cell>
          <cell r="Z45">
            <v>0</v>
          </cell>
          <cell r="AA45">
            <v>57652.331920048455</v>
          </cell>
          <cell r="AB45">
            <v>0</v>
          </cell>
          <cell r="AC45">
            <v>0</v>
          </cell>
          <cell r="AD45">
            <v>50000</v>
          </cell>
          <cell r="AE45">
            <v>0</v>
          </cell>
          <cell r="AF45">
            <v>0</v>
          </cell>
          <cell r="AG45">
            <v>0</v>
          </cell>
          <cell r="AJ45">
            <v>5760</v>
          </cell>
          <cell r="AK45">
            <v>570</v>
          </cell>
          <cell r="AL45">
            <v>0</v>
          </cell>
          <cell r="AM45">
            <v>6980</v>
          </cell>
          <cell r="AN45">
            <v>31900</v>
          </cell>
          <cell r="AO45">
            <v>30240</v>
          </cell>
          <cell r="AP45">
            <v>1980</v>
          </cell>
          <cell r="AQ45">
            <v>0</v>
          </cell>
          <cell r="AS45">
            <v>77430</v>
          </cell>
          <cell r="AT45">
            <v>1192877.6923076923</v>
          </cell>
        </row>
        <row r="46">
          <cell r="B46" t="str">
            <v>김종경</v>
          </cell>
          <cell r="C46">
            <v>40603</v>
          </cell>
          <cell r="E46" t="str">
            <v>레지던트</v>
          </cell>
          <cell r="F46" t="str">
            <v>여</v>
          </cell>
          <cell r="L46">
            <v>2484071.923076923</v>
          </cell>
          <cell r="U46">
            <v>1192595.6396544632</v>
          </cell>
          <cell r="Y46">
            <v>521760.59234882763</v>
          </cell>
          <cell r="Z46">
            <v>608720.69107363222</v>
          </cell>
          <cell r="AA46">
            <v>0</v>
          </cell>
          <cell r="AB46">
            <v>0</v>
          </cell>
          <cell r="AC46">
            <v>0</v>
          </cell>
          <cell r="AD46">
            <v>60995</v>
          </cell>
          <cell r="AE46">
            <v>0</v>
          </cell>
          <cell r="AF46">
            <v>0</v>
          </cell>
          <cell r="AG46">
            <v>100000</v>
          </cell>
          <cell r="AJ46">
            <v>40100</v>
          </cell>
          <cell r="AK46">
            <v>4010</v>
          </cell>
          <cell r="AL46">
            <v>0</v>
          </cell>
          <cell r="AM46">
            <v>13110</v>
          </cell>
          <cell r="AN46">
            <v>86850</v>
          </cell>
          <cell r="AO46">
            <v>57110</v>
          </cell>
          <cell r="AP46">
            <v>3740</v>
          </cell>
          <cell r="AQ46">
            <v>0</v>
          </cell>
          <cell r="AS46">
            <v>204920</v>
          </cell>
          <cell r="AT46">
            <v>2279151.923076923</v>
          </cell>
        </row>
        <row r="47">
          <cell r="B47" t="str">
            <v>백민지</v>
          </cell>
          <cell r="C47">
            <v>40603</v>
          </cell>
          <cell r="E47" t="str">
            <v>레지던트</v>
          </cell>
          <cell r="F47" t="str">
            <v>여</v>
          </cell>
          <cell r="L47">
            <v>2478819.923076923</v>
          </cell>
          <cell r="U47">
            <v>1089921.8428630191</v>
          </cell>
          <cell r="Y47">
            <v>476840.80625257094</v>
          </cell>
          <cell r="Z47">
            <v>556314.27396133274</v>
          </cell>
          <cell r="AA47">
            <v>0</v>
          </cell>
          <cell r="AB47">
            <v>0</v>
          </cell>
          <cell r="AC47">
            <v>0</v>
          </cell>
          <cell r="AD47">
            <v>55743</v>
          </cell>
          <cell r="AE47">
            <v>0</v>
          </cell>
          <cell r="AF47">
            <v>0</v>
          </cell>
          <cell r="AG47">
            <v>100000</v>
          </cell>
          <cell r="AH47">
            <v>200000</v>
          </cell>
          <cell r="AJ47">
            <v>28110</v>
          </cell>
          <cell r="AK47">
            <v>2810</v>
          </cell>
          <cell r="AL47">
            <v>0</v>
          </cell>
          <cell r="AM47">
            <v>11980</v>
          </cell>
          <cell r="AN47">
            <v>86850</v>
          </cell>
          <cell r="AO47">
            <v>57110</v>
          </cell>
          <cell r="AP47">
            <v>3740</v>
          </cell>
          <cell r="AQ47">
            <v>0</v>
          </cell>
          <cell r="AS47">
            <v>190600</v>
          </cell>
          <cell r="AT47">
            <v>2288219.923076923</v>
          </cell>
        </row>
        <row r="48">
          <cell r="B48" t="str">
            <v>박경화</v>
          </cell>
          <cell r="C48">
            <v>40595</v>
          </cell>
          <cell r="E48" t="str">
            <v>청소</v>
          </cell>
          <cell r="F48" t="str">
            <v>여</v>
          </cell>
          <cell r="L48">
            <v>960086</v>
          </cell>
          <cell r="U48">
            <v>960086</v>
          </cell>
          <cell r="Y48">
            <v>0</v>
          </cell>
          <cell r="Z48">
            <v>0</v>
          </cell>
          <cell r="AA48">
            <v>0</v>
          </cell>
          <cell r="AB48">
            <v>0</v>
          </cell>
          <cell r="AC48">
            <v>0</v>
          </cell>
          <cell r="AD48">
            <v>0</v>
          </cell>
          <cell r="AE48">
            <v>0</v>
          </cell>
          <cell r="AF48">
            <v>0</v>
          </cell>
          <cell r="AG48">
            <v>0</v>
          </cell>
          <cell r="AJ48">
            <v>1950</v>
          </cell>
          <cell r="AK48">
            <v>190</v>
          </cell>
          <cell r="AL48">
            <v>0</v>
          </cell>
          <cell r="AM48">
            <v>5280</v>
          </cell>
          <cell r="AN48">
            <v>41530</v>
          </cell>
          <cell r="AO48">
            <v>25170</v>
          </cell>
          <cell r="AP48">
            <v>1640</v>
          </cell>
          <cell r="AQ48">
            <v>0</v>
          </cell>
          <cell r="AS48">
            <v>75760</v>
          </cell>
          <cell r="AT48">
            <v>884326</v>
          </cell>
        </row>
        <row r="49">
          <cell r="B49" t="str">
            <v>신미자</v>
          </cell>
          <cell r="C49">
            <v>40600</v>
          </cell>
          <cell r="E49" t="str">
            <v>주차</v>
          </cell>
          <cell r="F49" t="str">
            <v>여</v>
          </cell>
          <cell r="L49">
            <v>0</v>
          </cell>
          <cell r="U49">
            <v>0</v>
          </cell>
          <cell r="Y49">
            <v>0</v>
          </cell>
          <cell r="Z49">
            <v>0</v>
          </cell>
          <cell r="AA49">
            <v>0</v>
          </cell>
          <cell r="AB49">
            <v>0</v>
          </cell>
          <cell r="AC49">
            <v>0</v>
          </cell>
          <cell r="AD49">
            <v>0</v>
          </cell>
          <cell r="AE49">
            <v>0</v>
          </cell>
          <cell r="AF49">
            <v>0</v>
          </cell>
          <cell r="AG49">
            <v>0</v>
          </cell>
          <cell r="AJ49">
            <v>0</v>
          </cell>
          <cell r="AK49">
            <v>0</v>
          </cell>
          <cell r="AL49">
            <v>0</v>
          </cell>
          <cell r="AM49">
            <v>0</v>
          </cell>
          <cell r="AN49">
            <v>0</v>
          </cell>
          <cell r="AO49">
            <v>0</v>
          </cell>
          <cell r="AP49">
            <v>0</v>
          </cell>
          <cell r="AQ49">
            <v>17940</v>
          </cell>
          <cell r="AS49">
            <v>17940</v>
          </cell>
          <cell r="AT49">
            <v>-17940</v>
          </cell>
        </row>
        <row r="50">
          <cell r="B50" t="str">
            <v>이예슬</v>
          </cell>
          <cell r="C50">
            <v>40636</v>
          </cell>
          <cell r="E50" t="str">
            <v>내과간호사</v>
          </cell>
          <cell r="F50" t="str">
            <v>여</v>
          </cell>
          <cell r="L50">
            <v>1260307.6923076923</v>
          </cell>
          <cell r="U50">
            <v>954111.44760751049</v>
          </cell>
          <cell r="W50">
            <v>50000</v>
          </cell>
          <cell r="Y50">
            <v>158543.91278013325</v>
          </cell>
          <cell r="Z50">
            <v>0</v>
          </cell>
          <cell r="AA50">
            <v>57652.331920048455</v>
          </cell>
          <cell r="AB50">
            <v>0</v>
          </cell>
          <cell r="AC50">
            <v>0</v>
          </cell>
          <cell r="AD50">
            <v>40000</v>
          </cell>
          <cell r="AE50">
            <v>0</v>
          </cell>
          <cell r="AF50">
            <v>0</v>
          </cell>
          <cell r="AG50">
            <v>0</v>
          </cell>
          <cell r="AJ50">
            <v>5550</v>
          </cell>
          <cell r="AK50">
            <v>550</v>
          </cell>
          <cell r="AL50">
            <v>0</v>
          </cell>
          <cell r="AM50">
            <v>6930</v>
          </cell>
          <cell r="AN50">
            <v>45310</v>
          </cell>
          <cell r="AO50">
            <v>32050</v>
          </cell>
          <cell r="AP50">
            <v>2090</v>
          </cell>
          <cell r="AQ50">
            <v>0</v>
          </cell>
          <cell r="AS50">
            <v>92480</v>
          </cell>
          <cell r="AT50">
            <v>1167827.6923076923</v>
          </cell>
        </row>
        <row r="51">
          <cell r="B51" t="str">
            <v>박혜란</v>
          </cell>
          <cell r="C51">
            <v>40636</v>
          </cell>
          <cell r="E51" t="str">
            <v>내과간호사</v>
          </cell>
          <cell r="F51" t="str">
            <v>여</v>
          </cell>
          <cell r="L51">
            <v>1251846.1538461538</v>
          </cell>
          <cell r="U51">
            <v>958920.65414900042</v>
          </cell>
          <cell r="W51">
            <v>30000</v>
          </cell>
          <cell r="Y51">
            <v>156145.36644457903</v>
          </cell>
          <cell r="Z51">
            <v>0</v>
          </cell>
          <cell r="AA51">
            <v>56780.133252574189</v>
          </cell>
          <cell r="AB51">
            <v>0</v>
          </cell>
          <cell r="AC51">
            <v>0</v>
          </cell>
          <cell r="AD51">
            <v>50000</v>
          </cell>
          <cell r="AE51">
            <v>0</v>
          </cell>
          <cell r="AF51">
            <v>0</v>
          </cell>
          <cell r="AG51">
            <v>0</v>
          </cell>
          <cell r="AJ51">
            <v>5340</v>
          </cell>
          <cell r="AK51">
            <v>530</v>
          </cell>
          <cell r="AL51">
            <v>0</v>
          </cell>
          <cell r="AM51">
            <v>6880</v>
          </cell>
          <cell r="AN51">
            <v>45310</v>
          </cell>
          <cell r="AO51">
            <v>31920</v>
          </cell>
          <cell r="AP51">
            <v>2090</v>
          </cell>
          <cell r="AQ51">
            <v>0</v>
          </cell>
          <cell r="AS51">
            <v>92070</v>
          </cell>
          <cell r="AT51">
            <v>1159776.1538461538</v>
          </cell>
        </row>
        <row r="52">
          <cell r="B52" t="str">
            <v>홍슬기</v>
          </cell>
          <cell r="C52">
            <v>40636</v>
          </cell>
          <cell r="E52" t="str">
            <v>외과간호사</v>
          </cell>
          <cell r="F52" t="str">
            <v>여</v>
          </cell>
          <cell r="L52">
            <v>1251846.1538461538</v>
          </cell>
          <cell r="U52">
            <v>958920.65414900042</v>
          </cell>
          <cell r="W52">
            <v>30000</v>
          </cell>
          <cell r="Y52">
            <v>156145.36644457903</v>
          </cell>
          <cell r="Z52">
            <v>0</v>
          </cell>
          <cell r="AA52">
            <v>56780.133252574189</v>
          </cell>
          <cell r="AB52">
            <v>0</v>
          </cell>
          <cell r="AC52">
            <v>0</v>
          </cell>
          <cell r="AD52">
            <v>50000</v>
          </cell>
          <cell r="AE52">
            <v>0</v>
          </cell>
          <cell r="AF52">
            <v>0</v>
          </cell>
          <cell r="AG52">
            <v>0</v>
          </cell>
          <cell r="AJ52">
            <v>5340</v>
          </cell>
          <cell r="AK52">
            <v>530</v>
          </cell>
          <cell r="AL52">
            <v>0</v>
          </cell>
          <cell r="AM52">
            <v>6880</v>
          </cell>
          <cell r="AN52">
            <v>45310</v>
          </cell>
          <cell r="AO52">
            <v>31920</v>
          </cell>
          <cell r="AP52">
            <v>2090</v>
          </cell>
          <cell r="AQ52">
            <v>0</v>
          </cell>
          <cell r="AS52">
            <v>92070</v>
          </cell>
          <cell r="AT52">
            <v>1159776.1538461538</v>
          </cell>
        </row>
        <row r="53">
          <cell r="B53" t="str">
            <v>정유선</v>
          </cell>
          <cell r="C53">
            <v>40670</v>
          </cell>
          <cell r="E53" t="str">
            <v>영상진단과간호사</v>
          </cell>
          <cell r="F53" t="str">
            <v>여</v>
          </cell>
          <cell r="L53">
            <v>1251846.1538461538</v>
          </cell>
          <cell r="U53">
            <v>958920.65414900042</v>
          </cell>
          <cell r="W53">
            <v>30000</v>
          </cell>
          <cell r="Y53">
            <v>156145.36644457903</v>
          </cell>
          <cell r="Z53">
            <v>0</v>
          </cell>
          <cell r="AA53">
            <v>56780.133252574189</v>
          </cell>
          <cell r="AB53">
            <v>0</v>
          </cell>
          <cell r="AC53">
            <v>0</v>
          </cell>
          <cell r="AD53">
            <v>50000</v>
          </cell>
          <cell r="AE53">
            <v>0</v>
          </cell>
          <cell r="AF53">
            <v>0</v>
          </cell>
          <cell r="AG53">
            <v>0</v>
          </cell>
          <cell r="AJ53">
            <v>5340</v>
          </cell>
          <cell r="AK53">
            <v>530</v>
          </cell>
          <cell r="AL53">
            <v>0</v>
          </cell>
          <cell r="AM53">
            <v>6880</v>
          </cell>
          <cell r="AN53">
            <v>49810</v>
          </cell>
          <cell r="AO53">
            <v>31450</v>
          </cell>
          <cell r="AP53">
            <v>2050</v>
          </cell>
          <cell r="AQ53">
            <v>0</v>
          </cell>
          <cell r="AS53">
            <v>96060</v>
          </cell>
          <cell r="AT53">
            <v>1155786.1538461538</v>
          </cell>
        </row>
        <row r="54">
          <cell r="B54" t="str">
            <v>이은애</v>
          </cell>
          <cell r="C54">
            <v>40658</v>
          </cell>
          <cell r="E54" t="str">
            <v>리셉셔니스트</v>
          </cell>
          <cell r="F54" t="str">
            <v>여</v>
          </cell>
          <cell r="L54">
            <v>1484615.3846153847</v>
          </cell>
          <cell r="U54">
            <v>1139309.5093882496</v>
          </cell>
          <cell r="Y54">
            <v>179890.97516656574</v>
          </cell>
          <cell r="Z54">
            <v>0</v>
          </cell>
          <cell r="AA54">
            <v>65414.900060569358</v>
          </cell>
          <cell r="AB54">
            <v>0</v>
          </cell>
          <cell r="AC54">
            <v>0</v>
          </cell>
          <cell r="AD54">
            <v>0</v>
          </cell>
          <cell r="AE54">
            <v>0</v>
          </cell>
          <cell r="AF54">
            <v>0</v>
          </cell>
          <cell r="AG54">
            <v>100000</v>
          </cell>
          <cell r="AJ54">
            <v>8070</v>
          </cell>
          <cell r="AK54">
            <v>800</v>
          </cell>
          <cell r="AL54">
            <v>0</v>
          </cell>
          <cell r="AM54">
            <v>7610</v>
          </cell>
          <cell r="AN54">
            <v>55800</v>
          </cell>
          <cell r="AO54">
            <v>32600</v>
          </cell>
          <cell r="AP54">
            <v>2130</v>
          </cell>
          <cell r="AQ54">
            <v>0</v>
          </cell>
          <cell r="AS54">
            <v>107010</v>
          </cell>
          <cell r="AT54">
            <v>1377605.3846153847</v>
          </cell>
        </row>
        <row r="55">
          <cell r="B55" t="str">
            <v>이영실</v>
          </cell>
          <cell r="C55">
            <v>40679</v>
          </cell>
          <cell r="E55" t="str">
            <v>응급의학과간호사</v>
          </cell>
          <cell r="F55" t="str">
            <v>여</v>
          </cell>
          <cell r="L55">
            <v>1589951.846153846</v>
          </cell>
          <cell r="U55">
            <v>720337.80337309733</v>
          </cell>
          <cell r="W55">
            <v>50000</v>
          </cell>
          <cell r="Y55">
            <v>337022.78897573007</v>
          </cell>
          <cell r="Z55">
            <v>393193.25380501844</v>
          </cell>
          <cell r="AA55">
            <v>0</v>
          </cell>
          <cell r="AB55">
            <v>0</v>
          </cell>
          <cell r="AC55">
            <v>0</v>
          </cell>
          <cell r="AD55">
            <v>89398</v>
          </cell>
          <cell r="AE55">
            <v>0</v>
          </cell>
          <cell r="AF55">
            <v>0</v>
          </cell>
          <cell r="AG55">
            <v>0</v>
          </cell>
          <cell r="AJ55">
            <v>12340</v>
          </cell>
          <cell r="AK55">
            <v>1230</v>
          </cell>
          <cell r="AL55">
            <v>0</v>
          </cell>
          <cell r="AM55">
            <v>8740</v>
          </cell>
          <cell r="AN55">
            <v>40500</v>
          </cell>
          <cell r="AO55">
            <v>32070</v>
          </cell>
          <cell r="AP55">
            <v>2100</v>
          </cell>
          <cell r="AQ55">
            <v>0</v>
          </cell>
          <cell r="AS55">
            <v>96980</v>
          </cell>
          <cell r="AT55">
            <v>1492971.846153846</v>
          </cell>
        </row>
        <row r="56">
          <cell r="B56" t="str">
            <v>허유정</v>
          </cell>
          <cell r="C56">
            <v>40679</v>
          </cell>
          <cell r="E56" t="str">
            <v>응급의학과간호사</v>
          </cell>
          <cell r="F56" t="str">
            <v>여</v>
          </cell>
          <cell r="L56">
            <v>1604707.6923076923</v>
          </cell>
          <cell r="U56">
            <v>727718.94364459068</v>
          </cell>
          <cell r="W56">
            <v>50000</v>
          </cell>
          <cell r="Y56">
            <v>340252.03784450842</v>
          </cell>
          <cell r="Z56">
            <v>396960.71081859322</v>
          </cell>
          <cell r="AA56">
            <v>0</v>
          </cell>
          <cell r="AB56">
            <v>0</v>
          </cell>
          <cell r="AC56">
            <v>0</v>
          </cell>
          <cell r="AD56">
            <v>89776</v>
          </cell>
          <cell r="AE56">
            <v>0</v>
          </cell>
          <cell r="AF56">
            <v>0</v>
          </cell>
          <cell r="AG56">
            <v>0</v>
          </cell>
          <cell r="AJ56">
            <v>12760</v>
          </cell>
          <cell r="AK56">
            <v>1270</v>
          </cell>
          <cell r="AL56">
            <v>0</v>
          </cell>
          <cell r="AM56">
            <v>8820</v>
          </cell>
          <cell r="AN56">
            <v>40500</v>
          </cell>
          <cell r="AO56">
            <v>32280</v>
          </cell>
          <cell r="AP56">
            <v>2110</v>
          </cell>
          <cell r="AQ56">
            <v>0</v>
          </cell>
          <cell r="AS56">
            <v>97740</v>
          </cell>
          <cell r="AT56">
            <v>1506967.6923076923</v>
          </cell>
        </row>
        <row r="57">
          <cell r="B57" t="str">
            <v>박가영</v>
          </cell>
          <cell r="C57">
            <v>40715</v>
          </cell>
          <cell r="E57" t="str">
            <v>응급의학과간호사</v>
          </cell>
          <cell r="F57" t="str">
            <v>여</v>
          </cell>
          <cell r="L57">
            <v>1545997.076923077</v>
          </cell>
          <cell r="U57">
            <v>718349.81489099131</v>
          </cell>
          <cell r="W57">
            <v>30000</v>
          </cell>
          <cell r="Y57">
            <v>327403.04401480872</v>
          </cell>
          <cell r="Z57">
            <v>381970.21801727684</v>
          </cell>
          <cell r="AA57">
            <v>0</v>
          </cell>
          <cell r="AB57">
            <v>0</v>
          </cell>
          <cell r="AC57">
            <v>0</v>
          </cell>
          <cell r="AD57">
            <v>88274</v>
          </cell>
          <cell r="AE57">
            <v>0</v>
          </cell>
          <cell r="AF57">
            <v>0</v>
          </cell>
          <cell r="AG57">
            <v>0</v>
          </cell>
          <cell r="AJ57">
            <v>11500</v>
          </cell>
          <cell r="AK57">
            <v>1150</v>
          </cell>
          <cell r="AL57">
            <v>0</v>
          </cell>
          <cell r="AM57">
            <v>8500</v>
          </cell>
          <cell r="AN57">
            <v>50310</v>
          </cell>
          <cell r="AO57">
            <v>32540</v>
          </cell>
          <cell r="AP57">
            <v>2130</v>
          </cell>
          <cell r="AQ57">
            <v>0</v>
          </cell>
          <cell r="AS57">
            <v>106130</v>
          </cell>
          <cell r="AT57">
            <v>1439867.076923077</v>
          </cell>
        </row>
        <row r="58">
          <cell r="B58" t="str">
            <v>조혜림</v>
          </cell>
          <cell r="C58">
            <v>40715</v>
          </cell>
          <cell r="E58" t="str">
            <v>응급의학과간호사</v>
          </cell>
          <cell r="F58" t="str">
            <v>여</v>
          </cell>
          <cell r="L58">
            <v>1565701.076923077</v>
          </cell>
          <cell r="U58">
            <v>728206.49938297004</v>
          </cell>
          <cell r="W58">
            <v>30000</v>
          </cell>
          <cell r="Y58">
            <v>331715.3434800494</v>
          </cell>
          <cell r="Z58">
            <v>387001.23406005767</v>
          </cell>
          <cell r="AA58">
            <v>0</v>
          </cell>
          <cell r="AB58">
            <v>0</v>
          </cell>
          <cell r="AC58">
            <v>0</v>
          </cell>
          <cell r="AD58">
            <v>88778</v>
          </cell>
          <cell r="AE58">
            <v>0</v>
          </cell>
          <cell r="AF58">
            <v>0</v>
          </cell>
          <cell r="AG58">
            <v>0</v>
          </cell>
          <cell r="AJ58">
            <v>11920</v>
          </cell>
          <cell r="AK58">
            <v>1190</v>
          </cell>
          <cell r="AL58">
            <v>0</v>
          </cell>
          <cell r="AM58">
            <v>8610</v>
          </cell>
          <cell r="AN58">
            <v>50310</v>
          </cell>
          <cell r="AO58">
            <v>32540</v>
          </cell>
          <cell r="AP58">
            <v>2130</v>
          </cell>
          <cell r="AQ58">
            <v>0</v>
          </cell>
          <cell r="AS58">
            <v>106700</v>
          </cell>
          <cell r="AT58">
            <v>1459001.076923077</v>
          </cell>
        </row>
        <row r="59">
          <cell r="B59" t="str">
            <v>최연희</v>
          </cell>
          <cell r="C59">
            <v>40715</v>
          </cell>
          <cell r="E59" t="str">
            <v>응급의학과간호사</v>
          </cell>
          <cell r="F59" t="str">
            <v>여</v>
          </cell>
          <cell r="L59">
            <v>1797503.6153846153</v>
          </cell>
          <cell r="U59">
            <v>707827.39613327826</v>
          </cell>
          <cell r="W59">
            <v>50000</v>
          </cell>
          <cell r="Y59">
            <v>331549.48580830928</v>
          </cell>
          <cell r="Z59">
            <v>386807.73344302748</v>
          </cell>
          <cell r="AA59">
            <v>0</v>
          </cell>
          <cell r="AB59">
            <v>0</v>
          </cell>
          <cell r="AC59">
            <v>0</v>
          </cell>
          <cell r="AD59">
            <v>321319</v>
          </cell>
          <cell r="AE59">
            <v>0</v>
          </cell>
          <cell r="AF59">
            <v>0</v>
          </cell>
          <cell r="AG59">
            <v>0</v>
          </cell>
          <cell r="AJ59">
            <v>16760</v>
          </cell>
          <cell r="AK59">
            <v>1670</v>
          </cell>
          <cell r="AL59">
            <v>0</v>
          </cell>
          <cell r="AM59">
            <v>9880</v>
          </cell>
          <cell r="AN59">
            <v>52380</v>
          </cell>
          <cell r="AO59">
            <v>34740</v>
          </cell>
          <cell r="AP59">
            <v>2270</v>
          </cell>
          <cell r="AQ59">
            <v>60510</v>
          </cell>
          <cell r="AS59">
            <v>178210</v>
          </cell>
          <cell r="AT59">
            <v>1619293.6153846153</v>
          </cell>
        </row>
        <row r="60">
          <cell r="B60" t="str">
            <v>유대선</v>
          </cell>
          <cell r="C60">
            <v>40728</v>
          </cell>
          <cell r="E60" t="str">
            <v>응급의학과간호사</v>
          </cell>
          <cell r="F60" t="str">
            <v>여</v>
          </cell>
          <cell r="L60">
            <v>1489916.923076923</v>
          </cell>
          <cell r="U60">
            <v>720296.17441382143</v>
          </cell>
          <cell r="Y60">
            <v>315129.57630604692</v>
          </cell>
          <cell r="Z60">
            <v>367651.17235705472</v>
          </cell>
          <cell r="AA60">
            <v>0</v>
          </cell>
          <cell r="AB60">
            <v>0</v>
          </cell>
          <cell r="AC60">
            <v>0</v>
          </cell>
          <cell r="AD60">
            <v>86840</v>
          </cell>
          <cell r="AE60">
            <v>0</v>
          </cell>
          <cell r="AF60">
            <v>0</v>
          </cell>
          <cell r="AG60">
            <v>0</v>
          </cell>
          <cell r="AJ60">
            <v>10280</v>
          </cell>
          <cell r="AK60">
            <v>1020</v>
          </cell>
          <cell r="AL60">
            <v>0</v>
          </cell>
          <cell r="AM60">
            <v>8190</v>
          </cell>
          <cell r="AN60">
            <v>40500</v>
          </cell>
          <cell r="AO60">
            <v>33270</v>
          </cell>
          <cell r="AP60">
            <v>2170</v>
          </cell>
          <cell r="AQ60">
            <v>0</v>
          </cell>
          <cell r="AS60">
            <v>95430</v>
          </cell>
          <cell r="AT60">
            <v>1394486.923076923</v>
          </cell>
        </row>
        <row r="61">
          <cell r="B61" t="str">
            <v>김정례</v>
          </cell>
          <cell r="C61">
            <v>40737</v>
          </cell>
          <cell r="E61" t="str">
            <v>진료협력사무</v>
          </cell>
          <cell r="F61" t="str">
            <v>여</v>
          </cell>
          <cell r="L61">
            <v>772333</v>
          </cell>
          <cell r="U61">
            <v>595687.85039370088</v>
          </cell>
          <cell r="Y61">
            <v>94055.976377952757</v>
          </cell>
          <cell r="Z61">
            <v>0</v>
          </cell>
          <cell r="AA61">
            <v>34202.173228346459</v>
          </cell>
          <cell r="AB61">
            <v>0</v>
          </cell>
          <cell r="AC61">
            <v>0</v>
          </cell>
          <cell r="AD61">
            <v>0</v>
          </cell>
          <cell r="AE61">
            <v>0</v>
          </cell>
          <cell r="AF61">
            <v>0</v>
          </cell>
          <cell r="AG61">
            <v>48387</v>
          </cell>
          <cell r="AJ61">
            <v>0</v>
          </cell>
          <cell r="AK61">
            <v>0</v>
          </cell>
          <cell r="AL61">
            <v>0</v>
          </cell>
          <cell r="AM61">
            <v>3980</v>
          </cell>
          <cell r="AN61">
            <v>49950</v>
          </cell>
          <cell r="AO61">
            <v>29930</v>
          </cell>
          <cell r="AP61">
            <v>1960</v>
          </cell>
          <cell r="AQ61">
            <v>25320</v>
          </cell>
          <cell r="AS61">
            <v>111140</v>
          </cell>
          <cell r="AT61">
            <v>661193</v>
          </cell>
        </row>
        <row r="62">
          <cell r="B62" t="str">
            <v>황근영</v>
          </cell>
          <cell r="C62">
            <v>40749</v>
          </cell>
          <cell r="E62" t="str">
            <v>외과간호사</v>
          </cell>
          <cell r="F62" t="str">
            <v>여</v>
          </cell>
          <cell r="L62">
            <v>1377938.4615384615</v>
          </cell>
          <cell r="U62">
            <v>1042673.7734706237</v>
          </cell>
          <cell r="W62">
            <v>50000</v>
          </cell>
          <cell r="Y62">
            <v>172527.43791641429</v>
          </cell>
          <cell r="Z62">
            <v>0</v>
          </cell>
          <cell r="AA62">
            <v>62737.250151423374</v>
          </cell>
          <cell r="AB62">
            <v>0</v>
          </cell>
          <cell r="AC62">
            <v>0</v>
          </cell>
          <cell r="AD62">
            <v>50000</v>
          </cell>
          <cell r="AE62">
            <v>0</v>
          </cell>
          <cell r="AF62">
            <v>0</v>
          </cell>
          <cell r="AG62">
            <v>0</v>
          </cell>
          <cell r="AJ62">
            <v>7970</v>
          </cell>
          <cell r="AK62">
            <v>790</v>
          </cell>
          <cell r="AL62">
            <v>0</v>
          </cell>
          <cell r="AM62">
            <v>7570</v>
          </cell>
          <cell r="AN62">
            <v>49900</v>
          </cell>
          <cell r="AO62">
            <v>27770</v>
          </cell>
          <cell r="AP62">
            <v>1810</v>
          </cell>
          <cell r="AS62">
            <v>95810</v>
          </cell>
          <cell r="AT62">
            <v>1282128.4615384615</v>
          </cell>
        </row>
        <row r="63">
          <cell r="B63" t="str">
            <v>최미현</v>
          </cell>
          <cell r="C63">
            <v>40791</v>
          </cell>
          <cell r="E63" t="str">
            <v>영상진단과수의사</v>
          </cell>
          <cell r="F63" t="str">
            <v>여</v>
          </cell>
          <cell r="L63">
            <v>2934615.3846153845</v>
          </cell>
          <cell r="U63">
            <v>2167852.8164748638</v>
          </cell>
          <cell r="Y63">
            <v>342292.54996971536</v>
          </cell>
          <cell r="Z63">
            <v>0</v>
          </cell>
          <cell r="AA63">
            <v>124470.01817080558</v>
          </cell>
          <cell r="AB63">
            <v>0</v>
          </cell>
          <cell r="AC63">
            <v>0</v>
          </cell>
          <cell r="AD63">
            <v>0</v>
          </cell>
          <cell r="AE63">
            <v>0</v>
          </cell>
          <cell r="AF63">
            <v>0</v>
          </cell>
          <cell r="AG63">
            <v>100000</v>
          </cell>
          <cell r="AH63">
            <v>200000</v>
          </cell>
          <cell r="AJ63">
            <v>61280</v>
          </cell>
          <cell r="AK63">
            <v>6120</v>
          </cell>
          <cell r="AL63">
            <v>0</v>
          </cell>
          <cell r="AM63">
            <v>14490</v>
          </cell>
          <cell r="AN63">
            <v>112140</v>
          </cell>
          <cell r="AO63">
            <v>65140</v>
          </cell>
          <cell r="AP63">
            <v>4260</v>
          </cell>
          <cell r="AQ63">
            <v>0</v>
          </cell>
          <cell r="AS63">
            <v>263430</v>
          </cell>
          <cell r="AT63">
            <v>2671185.3846153845</v>
          </cell>
        </row>
        <row r="64">
          <cell r="B64" t="str">
            <v>정효선</v>
          </cell>
          <cell r="C64">
            <v>40773</v>
          </cell>
          <cell r="E64" t="str">
            <v>리셉셔니스트</v>
          </cell>
          <cell r="F64" t="str">
            <v>여</v>
          </cell>
          <cell r="L64">
            <v>1657692.3076923077</v>
          </cell>
          <cell r="U64">
            <v>1281723.1980617808</v>
          </cell>
          <cell r="Y64">
            <v>202377.34706238643</v>
          </cell>
          <cell r="Z64">
            <v>0</v>
          </cell>
          <cell r="AA64">
            <v>73591.762568140519</v>
          </cell>
          <cell r="AB64">
            <v>0</v>
          </cell>
          <cell r="AC64">
            <v>0</v>
          </cell>
          <cell r="AD64">
            <v>0</v>
          </cell>
          <cell r="AE64">
            <v>0</v>
          </cell>
          <cell r="AF64">
            <v>0</v>
          </cell>
          <cell r="AG64">
            <v>100000</v>
          </cell>
          <cell r="AJ64">
            <v>11710</v>
          </cell>
          <cell r="AK64">
            <v>1170</v>
          </cell>
          <cell r="AL64">
            <v>0</v>
          </cell>
          <cell r="AM64">
            <v>8560</v>
          </cell>
          <cell r="AN64">
            <v>61240</v>
          </cell>
          <cell r="AO64">
            <v>33480</v>
          </cell>
          <cell r="AP64">
            <v>2190</v>
          </cell>
          <cell r="AQ64">
            <v>0</v>
          </cell>
          <cell r="AS64">
            <v>118350</v>
          </cell>
          <cell r="AT64">
            <v>1539342.3076923077</v>
          </cell>
        </row>
        <row r="65">
          <cell r="B65" t="str">
            <v>이동헌</v>
          </cell>
          <cell r="C65">
            <v>40896</v>
          </cell>
          <cell r="E65" t="str">
            <v>경영지원</v>
          </cell>
          <cell r="F65" t="str">
            <v>남</v>
          </cell>
          <cell r="L65">
            <v>2119680</v>
          </cell>
          <cell r="U65">
            <v>1563385.8267716535</v>
          </cell>
          <cell r="Y65">
            <v>246850.39370078739</v>
          </cell>
          <cell r="Z65">
            <v>0</v>
          </cell>
          <cell r="AA65">
            <v>89763.779527559062</v>
          </cell>
          <cell r="AB65">
            <v>0</v>
          </cell>
          <cell r="AC65">
            <v>0</v>
          </cell>
          <cell r="AD65">
            <v>119680</v>
          </cell>
          <cell r="AE65">
            <v>0</v>
          </cell>
          <cell r="AF65">
            <v>0</v>
          </cell>
          <cell r="AG65">
            <v>100000</v>
          </cell>
          <cell r="AH65">
            <v>0</v>
          </cell>
          <cell r="AJ65">
            <v>22860</v>
          </cell>
          <cell r="AK65">
            <v>2280</v>
          </cell>
          <cell r="AL65">
            <v>0</v>
          </cell>
          <cell r="AM65">
            <v>11100</v>
          </cell>
          <cell r="AN65">
            <v>76500</v>
          </cell>
          <cell r="AO65">
            <v>49300</v>
          </cell>
          <cell r="AP65">
            <v>3220</v>
          </cell>
          <cell r="AQ65">
            <v>0</v>
          </cell>
          <cell r="AS65">
            <v>165260</v>
          </cell>
          <cell r="AT65">
            <v>1954420</v>
          </cell>
        </row>
        <row r="66">
          <cell r="B66" t="str">
            <v>이승훈</v>
          </cell>
          <cell r="C66">
            <v>40909</v>
          </cell>
          <cell r="E66" t="str">
            <v>응급의학과간호사</v>
          </cell>
          <cell r="F66" t="str">
            <v>남</v>
          </cell>
          <cell r="L66">
            <v>1489916.923076923</v>
          </cell>
          <cell r="U66">
            <v>720296.17441382143</v>
          </cell>
          <cell r="Y66">
            <v>315129.57630604692</v>
          </cell>
          <cell r="Z66">
            <v>367651.17235705472</v>
          </cell>
          <cell r="AA66">
            <v>0</v>
          </cell>
          <cell r="AB66">
            <v>0</v>
          </cell>
          <cell r="AC66">
            <v>0</v>
          </cell>
          <cell r="AD66">
            <v>86840</v>
          </cell>
          <cell r="AE66">
            <v>0</v>
          </cell>
          <cell r="AF66">
            <v>0</v>
          </cell>
          <cell r="AG66">
            <v>0</v>
          </cell>
          <cell r="AJ66">
            <v>10280</v>
          </cell>
          <cell r="AK66">
            <v>1020</v>
          </cell>
          <cell r="AL66">
            <v>0</v>
          </cell>
          <cell r="AM66">
            <v>8190</v>
          </cell>
          <cell r="AN66">
            <v>40500</v>
          </cell>
          <cell r="AO66">
            <v>39350</v>
          </cell>
          <cell r="AP66">
            <v>2570</v>
          </cell>
          <cell r="AQ66">
            <v>0</v>
          </cell>
          <cell r="AS66">
            <v>101910</v>
          </cell>
          <cell r="AT66">
            <v>1388006.923076923</v>
          </cell>
        </row>
        <row r="67">
          <cell r="B67" t="str">
            <v>전지은</v>
          </cell>
          <cell r="C67">
            <v>40909</v>
          </cell>
          <cell r="E67" t="str">
            <v>응급의학과간호사</v>
          </cell>
          <cell r="F67" t="str">
            <v>여</v>
          </cell>
          <cell r="L67">
            <v>1489916.923076923</v>
          </cell>
          <cell r="U67">
            <v>720296.17441382143</v>
          </cell>
          <cell r="Y67">
            <v>315129.57630604692</v>
          </cell>
          <cell r="Z67">
            <v>367651.17235705472</v>
          </cell>
          <cell r="AA67">
            <v>0</v>
          </cell>
          <cell r="AB67">
            <v>0</v>
          </cell>
          <cell r="AC67">
            <v>0</v>
          </cell>
          <cell r="AD67">
            <v>86840</v>
          </cell>
          <cell r="AE67">
            <v>0</v>
          </cell>
          <cell r="AF67">
            <v>0</v>
          </cell>
          <cell r="AG67">
            <v>0</v>
          </cell>
          <cell r="AJ67">
            <v>10280</v>
          </cell>
          <cell r="AK67">
            <v>1020</v>
          </cell>
          <cell r="AL67">
            <v>0</v>
          </cell>
          <cell r="AM67">
            <v>8190</v>
          </cell>
          <cell r="AN67">
            <v>40500</v>
          </cell>
          <cell r="AO67">
            <v>39350</v>
          </cell>
          <cell r="AP67">
            <v>2570</v>
          </cell>
          <cell r="AQ67">
            <v>0</v>
          </cell>
          <cell r="AS67">
            <v>101910</v>
          </cell>
          <cell r="AT67">
            <v>1388006.923076923</v>
          </cell>
        </row>
        <row r="68">
          <cell r="B68" t="str">
            <v>김은비</v>
          </cell>
          <cell r="C68">
            <v>40909</v>
          </cell>
          <cell r="E68" t="str">
            <v>내과간호사</v>
          </cell>
          <cell r="F68" t="str">
            <v>여</v>
          </cell>
          <cell r="L68">
            <v>1254615.3846153847</v>
          </cell>
          <cell r="U68">
            <v>949427.61962447024</v>
          </cell>
          <cell r="W68">
            <v>50000</v>
          </cell>
          <cell r="Y68">
            <v>157804.36099333741</v>
          </cell>
          <cell r="Z68">
            <v>0</v>
          </cell>
          <cell r="AA68">
            <v>57383.403997577232</v>
          </cell>
          <cell r="AB68">
            <v>0</v>
          </cell>
          <cell r="AC68">
            <v>0</v>
          </cell>
          <cell r="AD68">
            <v>40000</v>
          </cell>
          <cell r="AE68">
            <v>0</v>
          </cell>
          <cell r="AF68">
            <v>0</v>
          </cell>
          <cell r="AG68">
            <v>0</v>
          </cell>
          <cell r="AJ68">
            <v>5340</v>
          </cell>
          <cell r="AK68">
            <v>530</v>
          </cell>
          <cell r="AL68">
            <v>0</v>
          </cell>
          <cell r="AM68">
            <v>6900</v>
          </cell>
          <cell r="AN68">
            <v>40500</v>
          </cell>
          <cell r="AO68">
            <v>33460</v>
          </cell>
          <cell r="AP68">
            <v>2190</v>
          </cell>
          <cell r="AQ68">
            <v>0</v>
          </cell>
          <cell r="AS68">
            <v>88920</v>
          </cell>
          <cell r="AT68">
            <v>1165695.3846153847</v>
          </cell>
        </row>
        <row r="69">
          <cell r="B69" t="str">
            <v>최새롬</v>
          </cell>
          <cell r="C69">
            <v>40952</v>
          </cell>
          <cell r="E69" t="str">
            <v>수의사</v>
          </cell>
          <cell r="F69" t="str">
            <v>여</v>
          </cell>
          <cell r="L69">
            <v>1576229.5384615383</v>
          </cell>
          <cell r="U69">
            <v>738461.53846153838</v>
          </cell>
          <cell r="Y69">
            <v>323076.92307692306</v>
          </cell>
          <cell r="Z69">
            <v>376923.07692307694</v>
          </cell>
          <cell r="AA69">
            <v>0</v>
          </cell>
          <cell r="AB69">
            <v>0</v>
          </cell>
          <cell r="AC69">
            <v>0</v>
          </cell>
          <cell r="AD69">
            <v>37768</v>
          </cell>
          <cell r="AE69">
            <v>0</v>
          </cell>
          <cell r="AF69">
            <v>0</v>
          </cell>
          <cell r="AG69">
            <v>100000</v>
          </cell>
          <cell r="AJ69">
            <v>10070</v>
          </cell>
          <cell r="AK69">
            <v>1000</v>
          </cell>
          <cell r="AL69">
            <v>0</v>
          </cell>
          <cell r="AM69">
            <v>8110</v>
          </cell>
          <cell r="AN69">
            <v>64710</v>
          </cell>
          <cell r="AO69">
            <v>41710</v>
          </cell>
          <cell r="AP69">
            <v>2730</v>
          </cell>
          <cell r="AQ69">
            <v>0</v>
          </cell>
          <cell r="AS69">
            <v>128330</v>
          </cell>
          <cell r="AT69">
            <v>1447899.5384615383</v>
          </cell>
        </row>
        <row r="70">
          <cell r="B70" t="str">
            <v>백남운</v>
          </cell>
          <cell r="C70">
            <v>40952</v>
          </cell>
          <cell r="E70" t="str">
            <v>수의사</v>
          </cell>
          <cell r="F70" t="str">
            <v>남</v>
          </cell>
          <cell r="L70">
            <v>1576229.5384615383</v>
          </cell>
          <cell r="U70">
            <v>738461.53846153838</v>
          </cell>
          <cell r="Y70">
            <v>323076.92307692306</v>
          </cell>
          <cell r="Z70">
            <v>376923.07692307694</v>
          </cell>
          <cell r="AA70">
            <v>0</v>
          </cell>
          <cell r="AB70">
            <v>0</v>
          </cell>
          <cell r="AC70">
            <v>0</v>
          </cell>
          <cell r="AD70">
            <v>37768</v>
          </cell>
          <cell r="AE70">
            <v>0</v>
          </cell>
          <cell r="AF70">
            <v>0</v>
          </cell>
          <cell r="AG70">
            <v>100000</v>
          </cell>
          <cell r="AJ70">
            <v>10070</v>
          </cell>
          <cell r="AK70">
            <v>1000</v>
          </cell>
          <cell r="AL70">
            <v>0</v>
          </cell>
          <cell r="AM70">
            <v>8110</v>
          </cell>
          <cell r="AN70">
            <v>64710</v>
          </cell>
          <cell r="AO70">
            <v>41710</v>
          </cell>
          <cell r="AP70">
            <v>2730</v>
          </cell>
          <cell r="AQ70">
            <v>0</v>
          </cell>
          <cell r="AS70">
            <v>128330</v>
          </cell>
          <cell r="AT70">
            <v>1447899.5384615383</v>
          </cell>
        </row>
        <row r="71">
          <cell r="B71" t="str">
            <v>한대웅</v>
          </cell>
          <cell r="C71">
            <v>40952</v>
          </cell>
          <cell r="E71" t="str">
            <v>수의사</v>
          </cell>
          <cell r="F71" t="str">
            <v>남</v>
          </cell>
          <cell r="L71">
            <v>1576229.5384615383</v>
          </cell>
          <cell r="U71">
            <v>738461.53846153838</v>
          </cell>
          <cell r="Y71">
            <v>323076.92307692306</v>
          </cell>
          <cell r="Z71">
            <v>376923.07692307694</v>
          </cell>
          <cell r="AA71">
            <v>0</v>
          </cell>
          <cell r="AB71">
            <v>0</v>
          </cell>
          <cell r="AC71">
            <v>0</v>
          </cell>
          <cell r="AD71">
            <v>37768</v>
          </cell>
          <cell r="AE71">
            <v>0</v>
          </cell>
          <cell r="AF71">
            <v>0</v>
          </cell>
          <cell r="AG71">
            <v>100000</v>
          </cell>
          <cell r="AJ71">
            <v>10070</v>
          </cell>
          <cell r="AK71">
            <v>1000</v>
          </cell>
          <cell r="AL71">
            <v>0</v>
          </cell>
          <cell r="AM71">
            <v>8110</v>
          </cell>
          <cell r="AN71">
            <v>64710</v>
          </cell>
          <cell r="AO71">
            <v>41710</v>
          </cell>
          <cell r="AP71">
            <v>2730</v>
          </cell>
          <cell r="AQ71">
            <v>0</v>
          </cell>
          <cell r="AS71">
            <v>128330</v>
          </cell>
          <cell r="AT71">
            <v>1447899.5384615383</v>
          </cell>
        </row>
        <row r="72">
          <cell r="B72" t="str">
            <v>박지현</v>
          </cell>
          <cell r="C72">
            <v>40952</v>
          </cell>
          <cell r="E72" t="str">
            <v>수의사</v>
          </cell>
          <cell r="F72" t="str">
            <v>여</v>
          </cell>
          <cell r="L72">
            <v>1576229.5384615383</v>
          </cell>
          <cell r="U72">
            <v>738461.53846153838</v>
          </cell>
          <cell r="Y72">
            <v>323076.92307692306</v>
          </cell>
          <cell r="Z72">
            <v>376923.07692307694</v>
          </cell>
          <cell r="AA72">
            <v>0</v>
          </cell>
          <cell r="AB72">
            <v>0</v>
          </cell>
          <cell r="AC72">
            <v>0</v>
          </cell>
          <cell r="AD72">
            <v>37768</v>
          </cell>
          <cell r="AE72">
            <v>0</v>
          </cell>
          <cell r="AF72">
            <v>0</v>
          </cell>
          <cell r="AG72">
            <v>100000</v>
          </cell>
          <cell r="AJ72">
            <v>10070</v>
          </cell>
          <cell r="AK72">
            <v>1000</v>
          </cell>
          <cell r="AL72">
            <v>0</v>
          </cell>
          <cell r="AM72">
            <v>8110</v>
          </cell>
          <cell r="AN72">
            <v>64710</v>
          </cell>
          <cell r="AO72">
            <v>41710</v>
          </cell>
          <cell r="AP72">
            <v>2730</v>
          </cell>
          <cell r="AQ72">
            <v>0</v>
          </cell>
          <cell r="AS72">
            <v>128330</v>
          </cell>
          <cell r="AT72">
            <v>1447899.5384615383</v>
          </cell>
        </row>
        <row r="73">
          <cell r="B73" t="str">
            <v>오예인</v>
          </cell>
          <cell r="C73">
            <v>40966</v>
          </cell>
          <cell r="E73" t="str">
            <v>내과수의사</v>
          </cell>
          <cell r="F73" t="str">
            <v>여</v>
          </cell>
          <cell r="L73">
            <v>3230769.2307692305</v>
          </cell>
          <cell r="U73">
            <v>2576105.3906723196</v>
          </cell>
          <cell r="Y73">
            <v>406753.48273773468</v>
          </cell>
          <cell r="Z73">
            <v>0</v>
          </cell>
          <cell r="AA73">
            <v>147910.35735917627</v>
          </cell>
          <cell r="AB73">
            <v>0</v>
          </cell>
          <cell r="AC73">
            <v>0</v>
          </cell>
          <cell r="AD73">
            <v>0</v>
          </cell>
          <cell r="AE73">
            <v>0</v>
          </cell>
          <cell r="AF73">
            <v>0</v>
          </cell>
          <cell r="AG73">
            <v>100000</v>
          </cell>
          <cell r="AJ73">
            <v>122390</v>
          </cell>
          <cell r="AK73">
            <v>12230</v>
          </cell>
          <cell r="AL73">
            <v>0</v>
          </cell>
          <cell r="AM73">
            <v>17210</v>
          </cell>
          <cell r="AN73">
            <v>140850</v>
          </cell>
          <cell r="AO73">
            <v>90790</v>
          </cell>
          <cell r="AP73">
            <v>5940</v>
          </cell>
          <cell r="AQ73">
            <v>0</v>
          </cell>
          <cell r="AS73">
            <v>389410</v>
          </cell>
          <cell r="AT73">
            <v>2841359.2307692305</v>
          </cell>
        </row>
        <row r="74">
          <cell r="B74" t="str">
            <v>이남순</v>
          </cell>
          <cell r="C74">
            <v>40975</v>
          </cell>
          <cell r="E74" t="str">
            <v>영상진단과 수의사</v>
          </cell>
          <cell r="F74" t="str">
            <v>여</v>
          </cell>
          <cell r="L74">
            <v>2769230.7692307695</v>
          </cell>
          <cell r="U74">
            <v>2114052.0896426411</v>
          </cell>
          <cell r="Y74">
            <v>333797.69836462755</v>
          </cell>
          <cell r="Z74">
            <v>0</v>
          </cell>
          <cell r="AA74">
            <v>121380.98122350093</v>
          </cell>
          <cell r="AB74">
            <v>0</v>
          </cell>
          <cell r="AC74">
            <v>0</v>
          </cell>
          <cell r="AD74">
            <v>0</v>
          </cell>
          <cell r="AE74">
            <v>0</v>
          </cell>
          <cell r="AF74">
            <v>0</v>
          </cell>
          <cell r="AG74">
            <v>100000</v>
          </cell>
          <cell r="AI74">
            <v>100000</v>
          </cell>
          <cell r="AJ74">
            <v>55180</v>
          </cell>
          <cell r="AK74">
            <v>5510</v>
          </cell>
          <cell r="AL74">
            <v>0</v>
          </cell>
          <cell r="AM74">
            <v>14130</v>
          </cell>
          <cell r="AN74">
            <v>120100</v>
          </cell>
          <cell r="AO74">
            <v>77400</v>
          </cell>
          <cell r="AP74">
            <v>5060</v>
          </cell>
          <cell r="AQ74">
            <v>0</v>
          </cell>
          <cell r="AS74">
            <v>277380</v>
          </cell>
          <cell r="AT74">
            <v>2491850.7692307695</v>
          </cell>
        </row>
        <row r="75">
          <cell r="B75" t="str">
            <v>최수지</v>
          </cell>
          <cell r="C75">
            <v>40973</v>
          </cell>
          <cell r="E75" t="str">
            <v>영상진단과 간호사</v>
          </cell>
          <cell r="F75" t="str">
            <v>여</v>
          </cell>
          <cell r="L75">
            <v>1102977.3846153847</v>
          </cell>
          <cell r="U75">
            <v>949427.61962447024</v>
          </cell>
          <cell r="W75">
            <v>50000</v>
          </cell>
          <cell r="Y75">
            <v>157804.36099333741</v>
          </cell>
          <cell r="Z75">
            <v>0</v>
          </cell>
          <cell r="AA75">
            <v>57383.403997577232</v>
          </cell>
          <cell r="AB75">
            <v>0</v>
          </cell>
          <cell r="AC75">
            <v>0</v>
          </cell>
          <cell r="AD75">
            <v>-111638</v>
          </cell>
          <cell r="AE75">
            <v>0</v>
          </cell>
          <cell r="AF75">
            <v>0</v>
          </cell>
          <cell r="AG75">
            <v>0</v>
          </cell>
          <cell r="AJ75">
            <v>3570</v>
          </cell>
          <cell r="AK75">
            <v>350</v>
          </cell>
          <cell r="AL75">
            <v>0</v>
          </cell>
          <cell r="AM75">
            <v>6060</v>
          </cell>
          <cell r="AN75">
            <v>40500</v>
          </cell>
          <cell r="AO75">
            <v>26100</v>
          </cell>
          <cell r="AP75">
            <v>1700</v>
          </cell>
          <cell r="AQ75">
            <v>0</v>
          </cell>
          <cell r="AS75">
            <v>78280</v>
          </cell>
          <cell r="AT75">
            <v>1024697.3846153847</v>
          </cell>
        </row>
        <row r="76">
          <cell r="B76" t="str">
            <v>장은지</v>
          </cell>
          <cell r="C76">
            <v>40976</v>
          </cell>
          <cell r="E76" t="str">
            <v>응급의학과 간호사</v>
          </cell>
          <cell r="F76" t="str">
            <v>여</v>
          </cell>
          <cell r="L76">
            <v>1239238.7692307692</v>
          </cell>
          <cell r="U76">
            <v>693990.12751953932</v>
          </cell>
          <cell r="W76">
            <v>50000</v>
          </cell>
          <cell r="Y76">
            <v>325495.6807897985</v>
          </cell>
          <cell r="Z76">
            <v>379744.96092143154</v>
          </cell>
          <cell r="AA76">
            <v>0</v>
          </cell>
          <cell r="AB76">
            <v>0</v>
          </cell>
          <cell r="AC76">
            <v>0</v>
          </cell>
          <cell r="AD76">
            <v>-209992</v>
          </cell>
          <cell r="AE76">
            <v>0</v>
          </cell>
          <cell r="AF76">
            <v>0</v>
          </cell>
          <cell r="AG76">
            <v>0</v>
          </cell>
          <cell r="AJ76">
            <v>5140</v>
          </cell>
          <cell r="AK76">
            <v>510</v>
          </cell>
          <cell r="AL76">
            <v>0</v>
          </cell>
          <cell r="AM76">
            <v>6810</v>
          </cell>
          <cell r="AN76">
            <v>40500</v>
          </cell>
          <cell r="AO76">
            <v>26100</v>
          </cell>
          <cell r="AP76">
            <v>1700</v>
          </cell>
          <cell r="AQ76">
            <v>0</v>
          </cell>
          <cell r="AS76">
            <v>80760</v>
          </cell>
          <cell r="AT76">
            <v>1158478.7692307692</v>
          </cell>
        </row>
        <row r="77">
          <cell r="B77" t="str">
            <v>김희정</v>
          </cell>
          <cell r="C77">
            <v>41001</v>
          </cell>
          <cell r="E77" t="str">
            <v>경영지원</v>
          </cell>
          <cell r="F77" t="str">
            <v>여</v>
          </cell>
          <cell r="L77">
            <v>1623624</v>
          </cell>
          <cell r="U77">
            <v>1234251.9685039369</v>
          </cell>
          <cell r="V77">
            <v>0</v>
          </cell>
          <cell r="W77">
            <v>0</v>
          </cell>
          <cell r="Y77">
            <v>194881.88976377953</v>
          </cell>
          <cell r="Z77">
            <v>0</v>
          </cell>
          <cell r="AA77">
            <v>70866.14173228346</v>
          </cell>
          <cell r="AB77">
            <v>0</v>
          </cell>
          <cell r="AC77">
            <v>0</v>
          </cell>
          <cell r="AD77">
            <v>23624</v>
          </cell>
          <cell r="AE77">
            <v>0</v>
          </cell>
          <cell r="AF77">
            <v>0</v>
          </cell>
          <cell r="AG77">
            <v>100000</v>
          </cell>
          <cell r="AJ77">
            <v>11070</v>
          </cell>
          <cell r="AK77">
            <v>1100</v>
          </cell>
          <cell r="AL77">
            <v>0</v>
          </cell>
          <cell r="AM77">
            <v>8370</v>
          </cell>
          <cell r="AN77">
            <v>67500</v>
          </cell>
          <cell r="AO77">
            <v>43500</v>
          </cell>
          <cell r="AP77">
            <v>2840</v>
          </cell>
          <cell r="AQ77">
            <v>0</v>
          </cell>
          <cell r="AS77">
            <v>134380</v>
          </cell>
          <cell r="AT77">
            <v>1489244</v>
          </cell>
        </row>
        <row r="78">
          <cell r="B78" t="str">
            <v>박희원</v>
          </cell>
          <cell r="C78">
            <v>41015</v>
          </cell>
          <cell r="E78" t="str">
            <v>원무과</v>
          </cell>
          <cell r="F78" t="str">
            <v>여</v>
          </cell>
          <cell r="L78">
            <v>1138461</v>
          </cell>
          <cell r="U78">
            <v>854481.68897637795</v>
          </cell>
          <cell r="Y78">
            <v>134918.16141732282</v>
          </cell>
          <cell r="Z78">
            <v>0</v>
          </cell>
          <cell r="AA78">
            <v>49061.149606299208</v>
          </cell>
          <cell r="AB78">
            <v>0</v>
          </cell>
          <cell r="AC78">
            <v>0</v>
          </cell>
          <cell r="AD78">
            <v>0</v>
          </cell>
          <cell r="AE78">
            <v>0</v>
          </cell>
          <cell r="AF78">
            <v>0</v>
          </cell>
          <cell r="AG78">
            <v>100000</v>
          </cell>
          <cell r="AJ78">
            <v>2820</v>
          </cell>
          <cell r="AK78">
            <v>280</v>
          </cell>
          <cell r="AL78">
            <v>0</v>
          </cell>
          <cell r="AM78">
            <v>5710</v>
          </cell>
          <cell r="AN78">
            <v>59530</v>
          </cell>
          <cell r="AO78">
            <v>38360</v>
          </cell>
          <cell r="AP78">
            <v>2510</v>
          </cell>
          <cell r="AQ78">
            <v>0</v>
          </cell>
          <cell r="AS78">
            <v>109210</v>
          </cell>
          <cell r="AT78">
            <v>1029251</v>
          </cell>
        </row>
        <row r="79">
          <cell r="B79" t="str">
            <v>이예린</v>
          </cell>
          <cell r="C79">
            <v>41022</v>
          </cell>
          <cell r="E79" t="str">
            <v>응급의학 계약직수의사</v>
          </cell>
          <cell r="F79" t="str">
            <v>여</v>
          </cell>
          <cell r="L79">
            <v>2455136</v>
          </cell>
          <cell r="U79">
            <v>1078074.8663101601</v>
          </cell>
          <cell r="Y79">
            <v>471657.75401069515</v>
          </cell>
          <cell r="Z79">
            <v>550267.37967914436</v>
          </cell>
          <cell r="AA79">
            <v>0</v>
          </cell>
          <cell r="AB79">
            <v>0</v>
          </cell>
          <cell r="AC79">
            <v>0</v>
          </cell>
          <cell r="AD79">
            <v>55136</v>
          </cell>
          <cell r="AE79">
            <v>0</v>
          </cell>
          <cell r="AF79">
            <v>0</v>
          </cell>
          <cell r="AG79">
            <v>100000</v>
          </cell>
          <cell r="AH79">
            <v>200000</v>
          </cell>
          <cell r="AJ79">
            <v>27450</v>
          </cell>
          <cell r="AK79">
            <v>2740</v>
          </cell>
          <cell r="AL79">
            <v>0</v>
          </cell>
          <cell r="AM79">
            <v>11850</v>
          </cell>
          <cell r="AN79">
            <v>103500</v>
          </cell>
          <cell r="AO79">
            <v>66700</v>
          </cell>
          <cell r="AP79">
            <v>4360</v>
          </cell>
          <cell r="AQ79">
            <v>0</v>
          </cell>
          <cell r="AS79">
            <v>216600</v>
          </cell>
          <cell r="AT79">
            <v>2238536</v>
          </cell>
        </row>
        <row r="80">
          <cell r="B80" t="str">
            <v>문솔</v>
          </cell>
          <cell r="C80">
            <v>41023</v>
          </cell>
          <cell r="E80" t="str">
            <v>영상진단과간호사</v>
          </cell>
          <cell r="F80" t="str">
            <v>여</v>
          </cell>
          <cell r="L80">
            <v>900000</v>
          </cell>
          <cell r="U80">
            <v>899999.99999999988</v>
          </cell>
          <cell r="Y80">
            <v>0</v>
          </cell>
          <cell r="Z80">
            <v>0</v>
          </cell>
          <cell r="AA80">
            <v>0</v>
          </cell>
          <cell r="AB80">
            <v>0</v>
          </cell>
          <cell r="AC80">
            <v>0</v>
          </cell>
          <cell r="AD80">
            <v>0</v>
          </cell>
          <cell r="AE80">
            <v>0</v>
          </cell>
          <cell r="AF80">
            <v>0</v>
          </cell>
          <cell r="AG80">
            <v>0</v>
          </cell>
          <cell r="AJ80">
            <v>1250</v>
          </cell>
          <cell r="AK80">
            <v>120</v>
          </cell>
          <cell r="AL80">
            <v>0</v>
          </cell>
          <cell r="AM80">
            <v>4950</v>
          </cell>
          <cell r="AN80">
            <v>40500</v>
          </cell>
          <cell r="AO80">
            <v>26100</v>
          </cell>
          <cell r="AP80">
            <v>1700</v>
          </cell>
          <cell r="AQ80">
            <v>0</v>
          </cell>
          <cell r="AS80">
            <v>74620</v>
          </cell>
          <cell r="AT80">
            <v>825380</v>
          </cell>
        </row>
        <row r="81">
          <cell r="B81" t="str">
            <v>신인자</v>
          </cell>
          <cell r="C81">
            <v>41054</v>
          </cell>
          <cell r="E81" t="str">
            <v>원무과</v>
          </cell>
          <cell r="F81" t="str">
            <v>여</v>
          </cell>
          <cell r="L81">
            <v>988000</v>
          </cell>
          <cell r="U81">
            <v>988000</v>
          </cell>
          <cell r="Y81">
            <v>0</v>
          </cell>
          <cell r="Z81">
            <v>0</v>
          </cell>
          <cell r="AA81">
            <v>0</v>
          </cell>
          <cell r="AB81">
            <v>0</v>
          </cell>
          <cell r="AC81">
            <v>0</v>
          </cell>
          <cell r="AD81">
            <v>0</v>
          </cell>
          <cell r="AE81">
            <v>0</v>
          </cell>
          <cell r="AF81">
            <v>0</v>
          </cell>
          <cell r="AG81">
            <v>0</v>
          </cell>
          <cell r="AJ81">
            <v>2240</v>
          </cell>
          <cell r="AK81">
            <v>220</v>
          </cell>
          <cell r="AL81">
            <v>0</v>
          </cell>
          <cell r="AM81">
            <v>5430</v>
          </cell>
          <cell r="AN81">
            <v>44460</v>
          </cell>
          <cell r="AO81">
            <v>28650</v>
          </cell>
          <cell r="AP81">
            <v>1870</v>
          </cell>
          <cell r="AS81">
            <v>82870</v>
          </cell>
          <cell r="AT81">
            <v>905130</v>
          </cell>
        </row>
        <row r="82">
          <cell r="B82" t="str">
            <v>정혜윤</v>
          </cell>
          <cell r="C82">
            <v>41058</v>
          </cell>
          <cell r="E82" t="str">
            <v>응급의학과간호사</v>
          </cell>
          <cell r="F82" t="str">
            <v>여</v>
          </cell>
          <cell r="L82">
            <v>783871</v>
          </cell>
          <cell r="U82">
            <v>783871</v>
          </cell>
          <cell r="Y82">
            <v>0</v>
          </cell>
          <cell r="Z82">
            <v>0</v>
          </cell>
          <cell r="AA82">
            <v>0</v>
          </cell>
          <cell r="AB82">
            <v>0</v>
          </cell>
          <cell r="AC82">
            <v>0</v>
          </cell>
          <cell r="AD82">
            <v>0</v>
          </cell>
          <cell r="AE82">
            <v>0</v>
          </cell>
          <cell r="AF82">
            <v>0</v>
          </cell>
          <cell r="AG82">
            <v>0</v>
          </cell>
          <cell r="AJ82">
            <v>0</v>
          </cell>
          <cell r="AK82">
            <v>0</v>
          </cell>
          <cell r="AL82">
            <v>0</v>
          </cell>
          <cell r="AM82">
            <v>4310</v>
          </cell>
          <cell r="AN82">
            <v>66510</v>
          </cell>
          <cell r="AO82">
            <v>42880</v>
          </cell>
          <cell r="AP82">
            <v>2800</v>
          </cell>
          <cell r="AS82">
            <v>116500</v>
          </cell>
          <cell r="AT82">
            <v>667371</v>
          </cell>
        </row>
        <row r="83">
          <cell r="B83" t="str">
            <v>김두리</v>
          </cell>
          <cell r="C83">
            <v>41071</v>
          </cell>
          <cell r="E83" t="str">
            <v>내과간호사</v>
          </cell>
          <cell r="F83" t="str">
            <v>여</v>
          </cell>
          <cell r="L83">
            <v>406452</v>
          </cell>
          <cell r="U83">
            <v>406452</v>
          </cell>
          <cell r="W83">
            <v>0</v>
          </cell>
          <cell r="Y83">
            <v>0</v>
          </cell>
          <cell r="Z83">
            <v>0</v>
          </cell>
          <cell r="AA83">
            <v>0</v>
          </cell>
          <cell r="AB83">
            <v>0</v>
          </cell>
          <cell r="AC83">
            <v>0</v>
          </cell>
          <cell r="AD83">
            <v>0</v>
          </cell>
          <cell r="AE83">
            <v>0</v>
          </cell>
          <cell r="AF83">
            <v>0</v>
          </cell>
          <cell r="AG83">
            <v>0</v>
          </cell>
          <cell r="AJ83">
            <v>0</v>
          </cell>
          <cell r="AK83">
            <v>0</v>
          </cell>
          <cell r="AL83">
            <v>0</v>
          </cell>
          <cell r="AM83">
            <v>2230</v>
          </cell>
          <cell r="AN83">
            <v>0</v>
          </cell>
          <cell r="AO83">
            <v>0</v>
          </cell>
          <cell r="AP83">
            <v>0</v>
          </cell>
          <cell r="AS83">
            <v>2230</v>
          </cell>
          <cell r="AT83">
            <v>404222</v>
          </cell>
        </row>
        <row r="84">
          <cell r="L84">
            <v>0</v>
          </cell>
          <cell r="U84">
            <v>0</v>
          </cell>
          <cell r="W84">
            <v>0</v>
          </cell>
          <cell r="Y84">
            <v>0</v>
          </cell>
          <cell r="Z84">
            <v>0</v>
          </cell>
          <cell r="AA84">
            <v>0</v>
          </cell>
          <cell r="AB84">
            <v>0</v>
          </cell>
          <cell r="AC84">
            <v>0</v>
          </cell>
          <cell r="AD84">
            <v>0</v>
          </cell>
          <cell r="AE84">
            <v>0</v>
          </cell>
          <cell r="AF84">
            <v>0</v>
          </cell>
          <cell r="AG84">
            <v>0</v>
          </cell>
          <cell r="AJ84">
            <v>0</v>
          </cell>
          <cell r="AK84">
            <v>0</v>
          </cell>
          <cell r="AL84">
            <v>0</v>
          </cell>
          <cell r="AM84">
            <v>0</v>
          </cell>
          <cell r="AN84">
            <v>0</v>
          </cell>
          <cell r="AO84">
            <v>0</v>
          </cell>
          <cell r="AP84">
            <v>0</v>
          </cell>
          <cell r="AQ84">
            <v>0</v>
          </cell>
          <cell r="AS84">
            <v>0</v>
          </cell>
          <cell r="AT84">
            <v>0</v>
          </cell>
        </row>
        <row r="85">
          <cell r="L85">
            <v>0</v>
          </cell>
          <cell r="U85">
            <v>0</v>
          </cell>
          <cell r="W85">
            <v>0</v>
          </cell>
          <cell r="Y85">
            <v>0</v>
          </cell>
          <cell r="Z85">
            <v>0</v>
          </cell>
          <cell r="AA85">
            <v>0</v>
          </cell>
          <cell r="AB85">
            <v>0</v>
          </cell>
          <cell r="AC85">
            <v>0</v>
          </cell>
          <cell r="AD85">
            <v>0</v>
          </cell>
          <cell r="AE85">
            <v>0</v>
          </cell>
          <cell r="AF85">
            <v>0</v>
          </cell>
          <cell r="AG85">
            <v>0</v>
          </cell>
          <cell r="AJ85">
            <v>0</v>
          </cell>
          <cell r="AK85">
            <v>0</v>
          </cell>
          <cell r="AL85">
            <v>0</v>
          </cell>
          <cell r="AM85">
            <v>0</v>
          </cell>
          <cell r="AN85">
            <v>0</v>
          </cell>
          <cell r="AO85">
            <v>0</v>
          </cell>
          <cell r="AP85">
            <v>0</v>
          </cell>
          <cell r="AQ85">
            <v>0</v>
          </cell>
          <cell r="AS85">
            <v>0</v>
          </cell>
          <cell r="AT85">
            <v>0</v>
          </cell>
        </row>
        <row r="86">
          <cell r="L86">
            <v>0</v>
          </cell>
          <cell r="U86">
            <v>0</v>
          </cell>
          <cell r="W86">
            <v>0</v>
          </cell>
          <cell r="Y86">
            <v>0</v>
          </cell>
          <cell r="Z86">
            <v>0</v>
          </cell>
          <cell r="AA86">
            <v>0</v>
          </cell>
          <cell r="AB86">
            <v>0</v>
          </cell>
          <cell r="AC86">
            <v>0</v>
          </cell>
          <cell r="AD86">
            <v>0</v>
          </cell>
          <cell r="AE86">
            <v>0</v>
          </cell>
          <cell r="AF86">
            <v>0</v>
          </cell>
          <cell r="AG86">
            <v>0</v>
          </cell>
          <cell r="AJ86">
            <v>0</v>
          </cell>
          <cell r="AK86">
            <v>0</v>
          </cell>
          <cell r="AL86">
            <v>0</v>
          </cell>
          <cell r="AM86">
            <v>0</v>
          </cell>
          <cell r="AN86">
            <v>0</v>
          </cell>
          <cell r="AO86">
            <v>0</v>
          </cell>
          <cell r="AP86">
            <v>0</v>
          </cell>
          <cell r="AQ86">
            <v>0</v>
          </cell>
          <cell r="AS86">
            <v>0</v>
          </cell>
          <cell r="AT86">
            <v>0</v>
          </cell>
        </row>
        <row r="87">
          <cell r="L87">
            <v>0</v>
          </cell>
          <cell r="U87">
            <v>0</v>
          </cell>
          <cell r="W87">
            <v>0</v>
          </cell>
          <cell r="Y87">
            <v>0</v>
          </cell>
          <cell r="Z87">
            <v>0</v>
          </cell>
          <cell r="AA87">
            <v>0</v>
          </cell>
          <cell r="AB87">
            <v>0</v>
          </cell>
          <cell r="AC87">
            <v>0</v>
          </cell>
          <cell r="AD87">
            <v>0</v>
          </cell>
          <cell r="AE87">
            <v>0</v>
          </cell>
          <cell r="AF87">
            <v>0</v>
          </cell>
          <cell r="AG87">
            <v>0</v>
          </cell>
          <cell r="AJ87">
            <v>0</v>
          </cell>
          <cell r="AK87">
            <v>0</v>
          </cell>
          <cell r="AL87">
            <v>0</v>
          </cell>
          <cell r="AM87">
            <v>0</v>
          </cell>
          <cell r="AN87">
            <v>0</v>
          </cell>
          <cell r="AO87">
            <v>0</v>
          </cell>
          <cell r="AP87">
            <v>0</v>
          </cell>
          <cell r="AQ87">
            <v>0</v>
          </cell>
          <cell r="AS87">
            <v>0</v>
          </cell>
          <cell r="AT87">
            <v>0</v>
          </cell>
        </row>
        <row r="88">
          <cell r="L88">
            <v>0</v>
          </cell>
          <cell r="U88">
            <v>0</v>
          </cell>
          <cell r="W88">
            <v>0</v>
          </cell>
          <cell r="Y88">
            <v>0</v>
          </cell>
          <cell r="Z88">
            <v>0</v>
          </cell>
          <cell r="AA88">
            <v>0</v>
          </cell>
          <cell r="AE88">
            <v>0</v>
          </cell>
          <cell r="AG88">
            <v>0</v>
          </cell>
          <cell r="AJ88">
            <v>0</v>
          </cell>
          <cell r="AK88">
            <v>0</v>
          </cell>
          <cell r="AL88">
            <v>0</v>
          </cell>
          <cell r="AM88">
            <v>0</v>
          </cell>
          <cell r="AN88">
            <v>0</v>
          </cell>
          <cell r="AO88">
            <v>0</v>
          </cell>
          <cell r="AP88">
            <v>0</v>
          </cell>
          <cell r="AQ88">
            <v>0</v>
          </cell>
          <cell r="AS88">
            <v>0</v>
          </cell>
          <cell r="AT88">
            <v>0</v>
          </cell>
        </row>
        <row r="89">
          <cell r="L89">
            <v>168227476.23076931</v>
          </cell>
          <cell r="U89">
            <v>109667417.6253591</v>
          </cell>
          <cell r="V89">
            <v>4650000</v>
          </cell>
          <cell r="W89">
            <v>2770000</v>
          </cell>
          <cell r="Y89">
            <v>25766889.581907909</v>
          </cell>
          <cell r="Z89">
            <v>11415618.345125459</v>
          </cell>
          <cell r="AA89">
            <v>4708634.6783767417</v>
          </cell>
          <cell r="AE89">
            <v>0</v>
          </cell>
          <cell r="AG89">
            <v>3551612</v>
          </cell>
          <cell r="AH89">
            <v>2200000</v>
          </cell>
          <cell r="AI89">
            <v>200000</v>
          </cell>
          <cell r="AJ89">
            <v>5095880</v>
          </cell>
          <cell r="AK89">
            <v>509240</v>
          </cell>
          <cell r="AM89">
            <v>862010</v>
          </cell>
          <cell r="AN89">
            <v>5375310</v>
          </cell>
          <cell r="AO89">
            <v>4062100</v>
          </cell>
          <cell r="AP89">
            <v>265710</v>
          </cell>
          <cell r="AQ89">
            <v>103770</v>
          </cell>
          <cell r="AR89">
            <v>0</v>
          </cell>
          <cell r="AS89">
            <v>16274020</v>
          </cell>
          <cell r="AT89">
            <v>151953456.23076931</v>
          </cell>
        </row>
        <row r="91">
          <cell r="B91" t="str">
            <v>2012년 06월 특이사항</v>
          </cell>
        </row>
      </sheetData>
      <sheetData sheetId="2" refreshError="1"/>
      <sheetData sheetId="3"/>
      <sheetData sheetId="4" refreshError="1"/>
      <sheetData sheetId="5">
        <row r="2">
          <cell r="E2">
            <v>2</v>
          </cell>
        </row>
      </sheetData>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퇴사관리"/>
      <sheetName val="급여기준"/>
      <sheetName val="급여대장"/>
      <sheetName val="간이세액표"/>
      <sheetName val="국민연금표"/>
      <sheetName val="개인명세서"/>
      <sheetName val="사업소득자"/>
      <sheetName val="기타소득자"/>
      <sheetName val="Sheet1"/>
      <sheetName val="Sheet2"/>
      <sheetName val="Sheet3"/>
    </sheetNames>
    <sheetDataSet>
      <sheetData sheetId="0" refreshError="1"/>
      <sheetData sheetId="1" refreshError="1">
        <row r="5">
          <cell r="B5" t="str">
            <v>어혜경</v>
          </cell>
          <cell r="E5" t="str">
            <v>법인대표</v>
          </cell>
          <cell r="F5" t="str">
            <v>여</v>
          </cell>
          <cell r="U5">
            <v>4875000</v>
          </cell>
          <cell r="V5">
            <v>600000</v>
          </cell>
          <cell r="Y5">
            <v>0</v>
          </cell>
          <cell r="Z5">
            <v>0</v>
          </cell>
          <cell r="AA5">
            <v>0</v>
          </cell>
          <cell r="AB5">
            <v>0</v>
          </cell>
          <cell r="AE5">
            <v>0</v>
          </cell>
          <cell r="AF5">
            <v>0</v>
          </cell>
          <cell r="AH5">
            <v>200000</v>
          </cell>
          <cell r="AP5">
            <v>10800</v>
          </cell>
          <cell r="AS5">
            <v>624640</v>
          </cell>
        </row>
        <row r="6">
          <cell r="E6" t="str">
            <v>경영지원실</v>
          </cell>
          <cell r="F6" t="str">
            <v>남</v>
          </cell>
          <cell r="U6">
            <v>5166227.4000605699</v>
          </cell>
          <cell r="V6">
            <v>600000</v>
          </cell>
          <cell r="Y6">
            <v>910456.95790430054</v>
          </cell>
          <cell r="Z6">
            <v>0</v>
          </cell>
          <cell r="AA6">
            <v>331075.25741974567</v>
          </cell>
          <cell r="AB6">
            <v>0</v>
          </cell>
          <cell r="AE6">
            <v>0</v>
          </cell>
          <cell r="AF6">
            <v>0</v>
          </cell>
          <cell r="AH6">
            <v>200000</v>
          </cell>
          <cell r="AP6">
            <v>13070</v>
          </cell>
          <cell r="AR6">
            <v>35000</v>
          </cell>
          <cell r="AS6">
            <v>1140910</v>
          </cell>
        </row>
        <row r="7">
          <cell r="E7" t="str">
            <v>산과수의사</v>
          </cell>
          <cell r="F7" t="str">
            <v>여</v>
          </cell>
          <cell r="U7">
            <v>3672778.2825560262</v>
          </cell>
          <cell r="V7">
            <v>400000</v>
          </cell>
          <cell r="W7">
            <v>500000</v>
          </cell>
          <cell r="Y7">
            <v>722017.62356147787</v>
          </cell>
          <cell r="Z7">
            <v>0</v>
          </cell>
          <cell r="AA7">
            <v>262551.86311326467</v>
          </cell>
          <cell r="AB7">
            <v>0</v>
          </cell>
          <cell r="AE7">
            <v>0</v>
          </cell>
          <cell r="AF7">
            <v>0</v>
          </cell>
          <cell r="AP7">
            <v>9970</v>
          </cell>
          <cell r="AR7">
            <v>40000</v>
          </cell>
          <cell r="AS7">
            <v>878570</v>
          </cell>
        </row>
        <row r="8">
          <cell r="E8" t="str">
            <v>외과수의사</v>
          </cell>
          <cell r="F8" t="str">
            <v>남</v>
          </cell>
          <cell r="U8">
            <v>4952266.8219261048</v>
          </cell>
          <cell r="V8">
            <v>400000</v>
          </cell>
          <cell r="Y8">
            <v>845094.76135675341</v>
          </cell>
          <cell r="Z8">
            <v>0</v>
          </cell>
          <cell r="AA8">
            <v>307307.18594791036</v>
          </cell>
          <cell r="AB8">
            <v>0</v>
          </cell>
          <cell r="AD8">
            <v>180000</v>
          </cell>
          <cell r="AE8">
            <v>0</v>
          </cell>
          <cell r="AF8">
            <v>0</v>
          </cell>
          <cell r="AH8">
            <v>200000</v>
          </cell>
          <cell r="AP8">
            <v>11450</v>
          </cell>
          <cell r="AR8">
            <v>40000</v>
          </cell>
          <cell r="AS8">
            <v>1210730</v>
          </cell>
        </row>
        <row r="9">
          <cell r="E9" t="str">
            <v>외과수의사</v>
          </cell>
          <cell r="F9" t="str">
            <v>여</v>
          </cell>
          <cell r="U9">
            <v>3496909.3876438518</v>
          </cell>
          <cell r="Y9">
            <v>552143.58752271347</v>
          </cell>
          <cell r="Z9">
            <v>0</v>
          </cell>
          <cell r="AA9">
            <v>200779.48637189582</v>
          </cell>
          <cell r="AB9">
            <v>0</v>
          </cell>
          <cell r="AE9">
            <v>0</v>
          </cell>
          <cell r="AF9">
            <v>0</v>
          </cell>
          <cell r="AP9">
            <v>7490</v>
          </cell>
          <cell r="AS9">
            <v>556950</v>
          </cell>
        </row>
        <row r="10">
          <cell r="E10" t="str">
            <v>내과수의사</v>
          </cell>
          <cell r="F10" t="str">
            <v>남</v>
          </cell>
          <cell r="U10">
            <v>4666048.8734100554</v>
          </cell>
          <cell r="V10">
            <v>300000</v>
          </cell>
          <cell r="Y10">
            <v>784112.98001211393</v>
          </cell>
          <cell r="Z10">
            <v>0</v>
          </cell>
          <cell r="AA10">
            <v>285131.99273167783</v>
          </cell>
          <cell r="AB10">
            <v>0</v>
          </cell>
          <cell r="AE10">
            <v>0</v>
          </cell>
          <cell r="AF10">
            <v>0</v>
          </cell>
          <cell r="AH10">
            <v>0</v>
          </cell>
          <cell r="AI10">
            <v>100000</v>
          </cell>
          <cell r="AP10">
            <v>10490</v>
          </cell>
          <cell r="AS10">
            <v>847540</v>
          </cell>
        </row>
        <row r="11">
          <cell r="E11" t="str">
            <v>내과수의사</v>
          </cell>
          <cell r="F11" t="str">
            <v>남</v>
          </cell>
          <cell r="U11">
            <v>3071705.0272562089</v>
          </cell>
          <cell r="Y11">
            <v>485006.05693519086</v>
          </cell>
          <cell r="Z11">
            <v>0</v>
          </cell>
          <cell r="AA11">
            <v>176365.83888552396</v>
          </cell>
          <cell r="AB11">
            <v>0</v>
          </cell>
          <cell r="AE11">
            <v>0</v>
          </cell>
          <cell r="AF11">
            <v>0</v>
          </cell>
          <cell r="AH11">
            <v>200000</v>
          </cell>
          <cell r="AP11">
            <v>6780</v>
          </cell>
          <cell r="AR11">
            <v>40000</v>
          </cell>
          <cell r="AS11">
            <v>506790</v>
          </cell>
        </row>
        <row r="12">
          <cell r="E12" t="str">
            <v>내과수의사</v>
          </cell>
          <cell r="F12" t="str">
            <v>여</v>
          </cell>
          <cell r="U12">
            <v>3898358.5705632949</v>
          </cell>
          <cell r="W12">
            <v>350000</v>
          </cell>
          <cell r="Y12">
            <v>670793.45850999397</v>
          </cell>
          <cell r="Z12">
            <v>0</v>
          </cell>
          <cell r="AA12">
            <v>243924.89400363417</v>
          </cell>
          <cell r="AB12">
            <v>0</v>
          </cell>
          <cell r="AE12">
            <v>0</v>
          </cell>
          <cell r="AF12">
            <v>0</v>
          </cell>
          <cell r="AH12">
            <v>200000</v>
          </cell>
          <cell r="AP12">
            <v>8410</v>
          </cell>
          <cell r="AR12">
            <v>35000</v>
          </cell>
          <cell r="AS12">
            <v>787380</v>
          </cell>
        </row>
        <row r="13">
          <cell r="E13" t="str">
            <v>내과수의사</v>
          </cell>
          <cell r="F13" t="str">
            <v>여</v>
          </cell>
          <cell r="U13">
            <v>2794700.9085402791</v>
          </cell>
          <cell r="Y13">
            <v>441268.56450635986</v>
          </cell>
          <cell r="Z13">
            <v>0</v>
          </cell>
          <cell r="AA13">
            <v>160461.29618413086</v>
          </cell>
          <cell r="AB13">
            <v>0</v>
          </cell>
          <cell r="AE13">
            <v>0</v>
          </cell>
          <cell r="AF13">
            <v>0</v>
          </cell>
          <cell r="AH13">
            <v>0</v>
          </cell>
          <cell r="AP13">
            <v>5550</v>
          </cell>
          <cell r="AS13">
            <v>371120</v>
          </cell>
        </row>
        <row r="14">
          <cell r="E14" t="str">
            <v>외과수의사</v>
          </cell>
          <cell r="F14" t="str">
            <v>남</v>
          </cell>
          <cell r="U14">
            <v>2575269.8970321016</v>
          </cell>
          <cell r="Y14">
            <v>406621.56268927921</v>
          </cell>
          <cell r="Z14">
            <v>0</v>
          </cell>
          <cell r="AA14">
            <v>147862.38643246517</v>
          </cell>
          <cell r="AB14">
            <v>0</v>
          </cell>
          <cell r="AD14">
            <v>120000</v>
          </cell>
          <cell r="AE14">
            <v>0</v>
          </cell>
          <cell r="AF14">
            <v>0</v>
          </cell>
          <cell r="AH14">
            <v>0</v>
          </cell>
          <cell r="AP14">
            <v>5520</v>
          </cell>
          <cell r="AS14">
            <v>292980</v>
          </cell>
        </row>
        <row r="15">
          <cell r="E15" t="str">
            <v>응급의학과수의사</v>
          </cell>
          <cell r="F15" t="str">
            <v>여</v>
          </cell>
          <cell r="U15">
            <v>4123618.5523924893</v>
          </cell>
          <cell r="V15">
            <v>300000</v>
          </cell>
          <cell r="Y15">
            <v>698466.08721986681</v>
          </cell>
          <cell r="Z15">
            <v>0</v>
          </cell>
          <cell r="AA15">
            <v>253987.66807995155</v>
          </cell>
          <cell r="AB15">
            <v>0</v>
          </cell>
          <cell r="AC15">
            <v>0</v>
          </cell>
          <cell r="AD15">
            <v>700000</v>
          </cell>
          <cell r="AE15">
            <v>0</v>
          </cell>
          <cell r="AF15">
            <v>0</v>
          </cell>
          <cell r="AH15">
            <v>0</v>
          </cell>
          <cell r="AP15">
            <v>9040</v>
          </cell>
          <cell r="AS15">
            <v>973770</v>
          </cell>
        </row>
        <row r="16">
          <cell r="E16" t="str">
            <v>응급의학과수의사</v>
          </cell>
          <cell r="F16" t="str">
            <v>여</v>
          </cell>
          <cell r="U16">
            <v>2047246.9802722125</v>
          </cell>
          <cell r="V16">
            <v>150000</v>
          </cell>
          <cell r="Y16">
            <v>960330.30958862195</v>
          </cell>
          <cell r="Z16">
            <v>373461.78706224187</v>
          </cell>
          <cell r="AA16">
            <v>0</v>
          </cell>
          <cell r="AB16">
            <v>0</v>
          </cell>
          <cell r="AD16">
            <v>1112319</v>
          </cell>
          <cell r="AE16">
            <v>0</v>
          </cell>
          <cell r="AF16">
            <v>0</v>
          </cell>
          <cell r="AH16">
            <v>200000</v>
          </cell>
          <cell r="AP16">
            <v>6300</v>
          </cell>
          <cell r="AS16">
            <v>598020</v>
          </cell>
        </row>
        <row r="17">
          <cell r="E17" t="str">
            <v>영상진단과수의사</v>
          </cell>
          <cell r="F17" t="str">
            <v>여</v>
          </cell>
          <cell r="U17">
            <v>2441660.3543307087</v>
          </cell>
          <cell r="V17">
            <v>300000</v>
          </cell>
          <cell r="Y17">
            <v>432893.74015748035</v>
          </cell>
          <cell r="Z17">
            <v>0</v>
          </cell>
          <cell r="AA17">
            <v>157415.90551181103</v>
          </cell>
          <cell r="AB17">
            <v>0</v>
          </cell>
          <cell r="AD17">
            <v>200000</v>
          </cell>
          <cell r="AE17">
            <v>0</v>
          </cell>
          <cell r="AF17">
            <v>0</v>
          </cell>
          <cell r="AP17">
            <v>5950</v>
          </cell>
          <cell r="AS17">
            <v>406380</v>
          </cell>
        </row>
        <row r="18">
          <cell r="E18" t="str">
            <v>진료협력과장</v>
          </cell>
          <cell r="F18" t="str">
            <v>여</v>
          </cell>
          <cell r="U18">
            <v>2502674.8092065412</v>
          </cell>
          <cell r="V18">
            <v>300000</v>
          </cell>
          <cell r="Y18">
            <v>442527.60145366436</v>
          </cell>
          <cell r="Z18">
            <v>0</v>
          </cell>
          <cell r="AA18">
            <v>160919.12780133251</v>
          </cell>
          <cell r="AB18">
            <v>0</v>
          </cell>
          <cell r="AD18">
            <v>500000</v>
          </cell>
          <cell r="AE18">
            <v>0</v>
          </cell>
          <cell r="AF18">
            <v>0</v>
          </cell>
          <cell r="AH18">
            <v>200000</v>
          </cell>
          <cell r="AP18">
            <v>5980</v>
          </cell>
          <cell r="AS18">
            <v>464970</v>
          </cell>
        </row>
        <row r="19">
          <cell r="E19" t="str">
            <v>내과간호사</v>
          </cell>
          <cell r="F19" t="str">
            <v>여</v>
          </cell>
          <cell r="U19">
            <v>1760103.7055133707</v>
          </cell>
          <cell r="V19">
            <v>150000</v>
          </cell>
          <cell r="W19">
            <v>50000</v>
          </cell>
          <cell r="Y19">
            <v>112541.83955100694</v>
          </cell>
          <cell r="Z19">
            <v>0</v>
          </cell>
          <cell r="AA19">
            <v>112541.83955100694</v>
          </cell>
          <cell r="AB19">
            <v>0</v>
          </cell>
          <cell r="AD19">
            <v>235000</v>
          </cell>
          <cell r="AE19">
            <v>0</v>
          </cell>
          <cell r="AF19">
            <v>0</v>
          </cell>
          <cell r="AI19">
            <v>0</v>
          </cell>
          <cell r="AP19">
            <v>4110</v>
          </cell>
          <cell r="AS19">
            <v>209980</v>
          </cell>
        </row>
        <row r="20">
          <cell r="E20" t="str">
            <v>내과간호사</v>
          </cell>
          <cell r="F20" t="str">
            <v>여</v>
          </cell>
          <cell r="U20">
            <v>1610382.1805876528</v>
          </cell>
          <cell r="W20">
            <v>50000</v>
          </cell>
          <cell r="Y20">
            <v>95332.948167712122</v>
          </cell>
          <cell r="Z20">
            <v>0</v>
          </cell>
          <cell r="AA20">
            <v>95332.948167712122</v>
          </cell>
          <cell r="AB20">
            <v>0</v>
          </cell>
          <cell r="AD20">
            <v>245000</v>
          </cell>
          <cell r="AE20">
            <v>0</v>
          </cell>
          <cell r="AF20">
            <v>0</v>
          </cell>
          <cell r="AP20">
            <v>3280</v>
          </cell>
          <cell r="AS20">
            <v>163980</v>
          </cell>
        </row>
        <row r="21">
          <cell r="E21" t="str">
            <v>응급의학과간호사</v>
          </cell>
          <cell r="F21" t="str">
            <v>남</v>
          </cell>
          <cell r="U21">
            <v>1228269.7135647652</v>
          </cell>
          <cell r="V21">
            <v>150000</v>
          </cell>
          <cell r="W21">
            <v>30000</v>
          </cell>
          <cell r="Y21">
            <v>615499.35084875359</v>
          </cell>
          <cell r="Z21">
            <v>239360.85866340419</v>
          </cell>
          <cell r="AA21">
            <v>0</v>
          </cell>
          <cell r="AB21">
            <v>0</v>
          </cell>
          <cell r="AD21">
            <v>306988</v>
          </cell>
          <cell r="AE21">
            <v>0</v>
          </cell>
          <cell r="AF21">
            <v>0</v>
          </cell>
          <cell r="AH21">
            <v>0</v>
          </cell>
          <cell r="AP21">
            <v>4360</v>
          </cell>
          <cell r="AS21">
            <v>233860</v>
          </cell>
        </row>
        <row r="22">
          <cell r="E22" t="str">
            <v>응급의학과간호사</v>
          </cell>
          <cell r="F22" t="str">
            <v>여</v>
          </cell>
          <cell r="U22">
            <v>1030491.4575623185</v>
          </cell>
          <cell r="V22">
            <v>150000</v>
          </cell>
          <cell r="W22">
            <v>50000</v>
          </cell>
          <cell r="Y22">
            <v>537799.46132436162</v>
          </cell>
          <cell r="Z22">
            <v>209144.23495947395</v>
          </cell>
          <cell r="AA22">
            <v>0</v>
          </cell>
          <cell r="AB22">
            <v>0</v>
          </cell>
          <cell r="AD22">
            <v>317901</v>
          </cell>
          <cell r="AE22">
            <v>0</v>
          </cell>
          <cell r="AF22">
            <v>0</v>
          </cell>
          <cell r="AP22">
            <v>4020</v>
          </cell>
          <cell r="AS22">
            <v>201060</v>
          </cell>
        </row>
        <row r="23">
          <cell r="E23" t="str">
            <v>외과간호사</v>
          </cell>
          <cell r="F23" t="str">
            <v>여</v>
          </cell>
          <cell r="U23">
            <v>1423410.878177616</v>
          </cell>
          <cell r="V23">
            <v>150000</v>
          </cell>
          <cell r="W23">
            <v>30000</v>
          </cell>
          <cell r="Y23">
            <v>92061.86860349949</v>
          </cell>
          <cell r="Z23">
            <v>0</v>
          </cell>
          <cell r="AA23">
            <v>92061.86860349949</v>
          </cell>
          <cell r="AB23">
            <v>0</v>
          </cell>
          <cell r="AD23">
            <v>265000</v>
          </cell>
          <cell r="AE23">
            <v>0</v>
          </cell>
          <cell r="AF23">
            <v>0</v>
          </cell>
          <cell r="AP23">
            <v>3490</v>
          </cell>
          <cell r="AS23">
            <v>170200</v>
          </cell>
        </row>
        <row r="24">
          <cell r="E24" t="str">
            <v>응급의학과간호사</v>
          </cell>
          <cell r="F24" t="str">
            <v>여</v>
          </cell>
          <cell r="U24">
            <v>1203935.7750420552</v>
          </cell>
          <cell r="W24">
            <v>50000</v>
          </cell>
          <cell r="Y24">
            <v>548046.0512004894</v>
          </cell>
          <cell r="Z24">
            <v>213129.01991130141</v>
          </cell>
          <cell r="AA24">
            <v>0</v>
          </cell>
          <cell r="AB24">
            <v>0</v>
          </cell>
          <cell r="AD24">
            <v>289099</v>
          </cell>
          <cell r="AE24">
            <v>0</v>
          </cell>
          <cell r="AF24">
            <v>0</v>
          </cell>
          <cell r="AP24">
            <v>4030</v>
          </cell>
          <cell r="AS24">
            <v>201650</v>
          </cell>
        </row>
        <row r="25">
          <cell r="E25" t="str">
            <v>내과간호사</v>
          </cell>
          <cell r="F25" t="str">
            <v>여</v>
          </cell>
          <cell r="U25">
            <v>1402778.5959062397</v>
          </cell>
          <cell r="W25">
            <v>50000</v>
          </cell>
          <cell r="Y25">
            <v>83413.125123803227</v>
          </cell>
          <cell r="Z25">
            <v>0</v>
          </cell>
          <cell r="AA25">
            <v>83413.125123803227</v>
          </cell>
          <cell r="AB25">
            <v>0</v>
          </cell>
          <cell r="AD25">
            <v>240000</v>
          </cell>
          <cell r="AE25">
            <v>0</v>
          </cell>
          <cell r="AF25">
            <v>0</v>
          </cell>
          <cell r="AP25">
            <v>3150</v>
          </cell>
          <cell r="AS25">
            <v>150900</v>
          </cell>
        </row>
        <row r="26">
          <cell r="E26" t="str">
            <v>응급의학과간호사</v>
          </cell>
          <cell r="F26" t="str">
            <v>여</v>
          </cell>
          <cell r="U26">
            <v>1192797.3979201713</v>
          </cell>
          <cell r="W26">
            <v>50000</v>
          </cell>
          <cell r="Y26">
            <v>543177.90426670748</v>
          </cell>
          <cell r="Z26">
            <v>211235.85165927515</v>
          </cell>
          <cell r="AA26">
            <v>0</v>
          </cell>
          <cell r="AB26">
            <v>0</v>
          </cell>
          <cell r="AD26">
            <v>303530</v>
          </cell>
          <cell r="AE26">
            <v>0</v>
          </cell>
          <cell r="AF26">
            <v>0</v>
          </cell>
          <cell r="AP26">
            <v>3970</v>
          </cell>
          <cell r="AS26">
            <v>199370</v>
          </cell>
        </row>
        <row r="27">
          <cell r="E27" t="str">
            <v>원무과</v>
          </cell>
          <cell r="F27" t="str">
            <v>여</v>
          </cell>
          <cell r="U27">
            <v>1772087.8688673531</v>
          </cell>
          <cell r="V27">
            <v>300000</v>
          </cell>
          <cell r="W27">
            <v>500000</v>
          </cell>
          <cell r="Y27">
            <v>406119.13718958205</v>
          </cell>
          <cell r="Z27">
            <v>0</v>
          </cell>
          <cell r="AA27">
            <v>147679.68625075711</v>
          </cell>
          <cell r="AB27">
            <v>0</v>
          </cell>
          <cell r="AD27">
            <v>-450000</v>
          </cell>
          <cell r="AE27">
            <v>0</v>
          </cell>
          <cell r="AP27">
            <v>5840</v>
          </cell>
          <cell r="AS27">
            <v>286710</v>
          </cell>
        </row>
        <row r="28">
          <cell r="E28" t="str">
            <v>원무과</v>
          </cell>
          <cell r="F28" t="str">
            <v>여</v>
          </cell>
          <cell r="U28">
            <v>1610990.1363636365</v>
          </cell>
          <cell r="Y28">
            <v>161869.82231404958</v>
          </cell>
          <cell r="Z28">
            <v>0</v>
          </cell>
          <cell r="AA28">
            <v>92497.041322314049</v>
          </cell>
          <cell r="AB28">
            <v>0</v>
          </cell>
          <cell r="AE28">
            <v>0</v>
          </cell>
          <cell r="AF28">
            <v>0</v>
          </cell>
          <cell r="AP28">
            <v>2480</v>
          </cell>
          <cell r="AS28">
            <v>126390</v>
          </cell>
        </row>
        <row r="29">
          <cell r="E29" t="str">
            <v>원무과</v>
          </cell>
          <cell r="F29" t="str">
            <v>여</v>
          </cell>
          <cell r="U29">
            <v>1280767.7447552448</v>
          </cell>
          <cell r="Y29">
            <v>128689.58200890019</v>
          </cell>
          <cell r="Z29">
            <v>0</v>
          </cell>
          <cell r="AA29">
            <v>73536.904005085831</v>
          </cell>
          <cell r="AB29">
            <v>0</v>
          </cell>
          <cell r="AE29">
            <v>0</v>
          </cell>
          <cell r="AF29">
            <v>0</v>
          </cell>
          <cell r="AP29">
            <v>2630</v>
          </cell>
          <cell r="AS29">
            <v>121430</v>
          </cell>
        </row>
        <row r="30">
          <cell r="E30" t="str">
            <v>경영지원실</v>
          </cell>
          <cell r="F30" t="str">
            <v>여</v>
          </cell>
          <cell r="U30">
            <v>1482289.1429436705</v>
          </cell>
          <cell r="Y30">
            <v>234045.65414900062</v>
          </cell>
          <cell r="Z30">
            <v>0</v>
          </cell>
          <cell r="AA30">
            <v>85107.510599636589</v>
          </cell>
          <cell r="AB30">
            <v>0</v>
          </cell>
          <cell r="AD30">
            <v>30000</v>
          </cell>
          <cell r="AE30">
            <v>0</v>
          </cell>
          <cell r="AF30">
            <v>0</v>
          </cell>
          <cell r="AP30">
            <v>3230</v>
          </cell>
          <cell r="AS30">
            <v>153670</v>
          </cell>
        </row>
        <row r="31">
          <cell r="E31" t="str">
            <v>응급의학과간호사</v>
          </cell>
          <cell r="F31" t="str">
            <v>여</v>
          </cell>
          <cell r="U31">
            <v>947763.20110108587</v>
          </cell>
          <cell r="W31">
            <v>50000</v>
          </cell>
          <cell r="Y31">
            <v>436083.08597644907</v>
          </cell>
          <cell r="Z31">
            <v>169587.86676861907</v>
          </cell>
          <cell r="AA31">
            <v>0</v>
          </cell>
          <cell r="AB31">
            <v>0</v>
          </cell>
          <cell r="AD31">
            <v>306004</v>
          </cell>
          <cell r="AE31">
            <v>0</v>
          </cell>
          <cell r="AF31">
            <v>0</v>
          </cell>
          <cell r="AP31">
            <v>3310</v>
          </cell>
          <cell r="AS31">
            <v>158640</v>
          </cell>
        </row>
        <row r="32">
          <cell r="E32" t="str">
            <v>원무과</v>
          </cell>
          <cell r="F32" t="str">
            <v>여</v>
          </cell>
          <cell r="U32">
            <v>1416197.5524475523</v>
          </cell>
          <cell r="Y32">
            <v>142297.36172917989</v>
          </cell>
          <cell r="Z32">
            <v>0</v>
          </cell>
          <cell r="AA32">
            <v>81312.778130959938</v>
          </cell>
          <cell r="AB32">
            <v>0</v>
          </cell>
          <cell r="AE32">
            <v>0</v>
          </cell>
          <cell r="AF32">
            <v>0</v>
          </cell>
          <cell r="AP32">
            <v>2820</v>
          </cell>
          <cell r="AS32">
            <v>131740</v>
          </cell>
        </row>
        <row r="33">
          <cell r="E33" t="str">
            <v>경영지원실</v>
          </cell>
          <cell r="F33" t="str">
            <v>여</v>
          </cell>
          <cell r="U33">
            <v>1911146.5778316176</v>
          </cell>
          <cell r="V33">
            <v>300000</v>
          </cell>
          <cell r="Y33">
            <v>349128.40702604485</v>
          </cell>
          <cell r="Z33">
            <v>0</v>
          </cell>
          <cell r="AA33">
            <v>126955.78437310722</v>
          </cell>
          <cell r="AB33">
            <v>0</v>
          </cell>
          <cell r="AD33">
            <v>169280</v>
          </cell>
          <cell r="AE33">
            <v>0</v>
          </cell>
          <cell r="AF33">
            <v>0</v>
          </cell>
          <cell r="AP33">
            <v>4730</v>
          </cell>
          <cell r="AS33">
            <v>276500</v>
          </cell>
        </row>
        <row r="34">
          <cell r="E34" t="str">
            <v>외과간호사</v>
          </cell>
          <cell r="F34" t="str">
            <v>여</v>
          </cell>
          <cell r="U34">
            <v>1175980.2000660284</v>
          </cell>
          <cell r="W34">
            <v>50000</v>
          </cell>
          <cell r="Y34">
            <v>70391.20765929349</v>
          </cell>
          <cell r="Z34">
            <v>0</v>
          </cell>
          <cell r="AA34">
            <v>70391.20765929349</v>
          </cell>
          <cell r="AB34">
            <v>0</v>
          </cell>
          <cell r="AD34">
            <v>265000</v>
          </cell>
          <cell r="AE34">
            <v>0</v>
          </cell>
          <cell r="AF34">
            <v>0</v>
          </cell>
          <cell r="AP34">
            <v>2770</v>
          </cell>
          <cell r="AS34">
            <v>129920</v>
          </cell>
        </row>
        <row r="35">
          <cell r="E35" t="str">
            <v>외과간호사</v>
          </cell>
          <cell r="F35" t="str">
            <v>여</v>
          </cell>
          <cell r="U35">
            <v>1028635.9590623968</v>
          </cell>
          <cell r="W35">
            <v>50000</v>
          </cell>
          <cell r="Y35">
            <v>61931.251238032353</v>
          </cell>
          <cell r="Z35">
            <v>0</v>
          </cell>
          <cell r="AA35">
            <v>61931.251238032353</v>
          </cell>
          <cell r="AB35">
            <v>0</v>
          </cell>
          <cell r="AD35">
            <v>202500</v>
          </cell>
          <cell r="AE35">
            <v>0</v>
          </cell>
          <cell r="AF35">
            <v>0</v>
          </cell>
          <cell r="AP35">
            <v>2460</v>
          </cell>
          <cell r="AS35">
            <v>110950</v>
          </cell>
        </row>
        <row r="36">
          <cell r="E36" t="str">
            <v>응급의학과간호사</v>
          </cell>
          <cell r="F36" t="str">
            <v>여</v>
          </cell>
          <cell r="U36">
            <v>919623.93148799497</v>
          </cell>
          <cell r="W36">
            <v>50000</v>
          </cell>
          <cell r="Y36">
            <v>423784.5170209512</v>
          </cell>
          <cell r="Z36">
            <v>164805.08995259213</v>
          </cell>
          <cell r="AA36">
            <v>0</v>
          </cell>
          <cell r="AB36">
            <v>0</v>
          </cell>
          <cell r="AD36">
            <v>224565</v>
          </cell>
          <cell r="AE36">
            <v>0</v>
          </cell>
          <cell r="AF36">
            <v>0</v>
          </cell>
          <cell r="AP36">
            <v>3110</v>
          </cell>
          <cell r="AR36">
            <v>117718</v>
          </cell>
          <cell r="AS36">
            <v>265338</v>
          </cell>
        </row>
        <row r="37">
          <cell r="E37" t="str">
            <v>응급의학과간호사</v>
          </cell>
          <cell r="F37" t="str">
            <v>여</v>
          </cell>
          <cell r="U37">
            <v>894952.86251720437</v>
          </cell>
          <cell r="W37">
            <v>30000</v>
          </cell>
          <cell r="Y37">
            <v>404260.54821838206</v>
          </cell>
          <cell r="Z37">
            <v>157212.43541825967</v>
          </cell>
          <cell r="AA37">
            <v>0</v>
          </cell>
          <cell r="AB37">
            <v>0</v>
          </cell>
          <cell r="AD37">
            <v>222282</v>
          </cell>
          <cell r="AE37">
            <v>0</v>
          </cell>
          <cell r="AF37">
            <v>0</v>
          </cell>
          <cell r="AP37">
            <v>3050</v>
          </cell>
          <cell r="AS37">
            <v>142780</v>
          </cell>
        </row>
        <row r="38">
          <cell r="E38" t="str">
            <v>응급의학과간호사</v>
          </cell>
          <cell r="F38" t="str">
            <v>여</v>
          </cell>
          <cell r="U38">
            <v>919623.93148799497</v>
          </cell>
          <cell r="W38">
            <v>50000</v>
          </cell>
          <cell r="Y38">
            <v>423784.5170209512</v>
          </cell>
          <cell r="Z38">
            <v>164805.08995259213</v>
          </cell>
          <cell r="AA38">
            <v>0</v>
          </cell>
          <cell r="AB38">
            <v>0</v>
          </cell>
          <cell r="AD38">
            <v>219565</v>
          </cell>
          <cell r="AE38">
            <v>0</v>
          </cell>
          <cell r="AF38">
            <v>0</v>
          </cell>
          <cell r="AH38">
            <v>0</v>
          </cell>
          <cell r="AP38">
            <v>3160</v>
          </cell>
          <cell r="AS38">
            <v>149000</v>
          </cell>
        </row>
        <row r="39">
          <cell r="E39" t="str">
            <v>산과간호사</v>
          </cell>
          <cell r="F39" t="str">
            <v>여</v>
          </cell>
          <cell r="U39">
            <v>1128951.5747771543</v>
          </cell>
          <cell r="W39">
            <v>30000</v>
          </cell>
          <cell r="Y39">
            <v>66542.674149884449</v>
          </cell>
          <cell r="Z39">
            <v>0</v>
          </cell>
          <cell r="AA39">
            <v>66542.674149884449</v>
          </cell>
          <cell r="AB39">
            <v>0</v>
          </cell>
          <cell r="AD39">
            <v>395000</v>
          </cell>
          <cell r="AE39">
            <v>0</v>
          </cell>
          <cell r="AF39">
            <v>0</v>
          </cell>
          <cell r="AP39">
            <v>2540</v>
          </cell>
          <cell r="AS39">
            <v>122360</v>
          </cell>
        </row>
        <row r="40">
          <cell r="E40" t="str">
            <v>영상진단과간호사</v>
          </cell>
          <cell r="F40" t="str">
            <v>여</v>
          </cell>
          <cell r="U40">
            <v>1018103.8494552658</v>
          </cell>
          <cell r="W40">
            <v>50000</v>
          </cell>
          <cell r="Y40">
            <v>61326.536810828649</v>
          </cell>
          <cell r="Z40">
            <v>0</v>
          </cell>
          <cell r="AA40">
            <v>61326.536810828649</v>
          </cell>
          <cell r="AB40">
            <v>0</v>
          </cell>
          <cell r="AD40">
            <v>170000</v>
          </cell>
          <cell r="AE40">
            <v>0</v>
          </cell>
          <cell r="AF40">
            <v>0</v>
          </cell>
          <cell r="AP40">
            <v>2510</v>
          </cell>
          <cell r="AS40">
            <v>111750</v>
          </cell>
        </row>
        <row r="41">
          <cell r="E41" t="str">
            <v>영상진단과간호사</v>
          </cell>
          <cell r="F41" t="str">
            <v>여</v>
          </cell>
          <cell r="U41">
            <v>1011435.5628920435</v>
          </cell>
          <cell r="V41">
            <v>100000</v>
          </cell>
          <cell r="W41">
            <v>50000</v>
          </cell>
          <cell r="Y41">
            <v>66685.29547705513</v>
          </cell>
          <cell r="Z41">
            <v>0</v>
          </cell>
          <cell r="AA41">
            <v>66685.29547705513</v>
          </cell>
          <cell r="AB41">
            <v>0</v>
          </cell>
          <cell r="AD41">
            <v>180000</v>
          </cell>
          <cell r="AE41">
            <v>0</v>
          </cell>
          <cell r="AF41">
            <v>0</v>
          </cell>
          <cell r="AP41">
            <v>2620</v>
          </cell>
          <cell r="AS41">
            <v>119250</v>
          </cell>
        </row>
        <row r="42">
          <cell r="E42" t="str">
            <v>응급의학과수의사</v>
          </cell>
          <cell r="F42" t="str">
            <v>여</v>
          </cell>
          <cell r="U42">
            <v>1584385.9917418563</v>
          </cell>
          <cell r="Y42">
            <v>692472.85517663253</v>
          </cell>
          <cell r="Z42">
            <v>269294.9992353571</v>
          </cell>
          <cell r="AA42">
            <v>0</v>
          </cell>
          <cell r="AB42">
            <v>0</v>
          </cell>
          <cell r="AD42">
            <v>230991</v>
          </cell>
          <cell r="AE42">
            <v>0</v>
          </cell>
          <cell r="AF42">
            <v>0</v>
          </cell>
          <cell r="AH42">
            <v>200000</v>
          </cell>
          <cell r="AP42">
            <v>4320</v>
          </cell>
          <cell r="AS42">
            <v>252400</v>
          </cell>
        </row>
        <row r="43">
          <cell r="E43" t="str">
            <v>내과간호사</v>
          </cell>
          <cell r="F43" t="str">
            <v>여</v>
          </cell>
          <cell r="U43">
            <v>1053140.2575107296</v>
          </cell>
          <cell r="W43">
            <v>30000</v>
          </cell>
          <cell r="Y43">
            <v>62189.871244635193</v>
          </cell>
          <cell r="Z43">
            <v>0</v>
          </cell>
          <cell r="AA43">
            <v>62189.871244635193</v>
          </cell>
          <cell r="AB43">
            <v>0</v>
          </cell>
          <cell r="AD43">
            <v>140000</v>
          </cell>
          <cell r="AE43">
            <v>0</v>
          </cell>
          <cell r="AF43">
            <v>0</v>
          </cell>
          <cell r="AP43">
            <v>2530</v>
          </cell>
          <cell r="AS43">
            <v>112030</v>
          </cell>
        </row>
        <row r="44">
          <cell r="E44" t="str">
            <v>원무과</v>
          </cell>
          <cell r="F44" t="str">
            <v>여</v>
          </cell>
          <cell r="U44">
            <v>1311199.3006993006</v>
          </cell>
          <cell r="Y44">
            <v>131747.29815638906</v>
          </cell>
          <cell r="Z44">
            <v>0</v>
          </cell>
          <cell r="AA44">
            <v>75284.17037507947</v>
          </cell>
          <cell r="AB44">
            <v>0</v>
          </cell>
          <cell r="AE44">
            <v>0</v>
          </cell>
          <cell r="AF44">
            <v>0</v>
          </cell>
          <cell r="AP44">
            <v>2710</v>
          </cell>
          <cell r="AS44">
            <v>123900</v>
          </cell>
        </row>
        <row r="45">
          <cell r="E45" t="str">
            <v>응급의학과간호사</v>
          </cell>
          <cell r="F45" t="str">
            <v>여</v>
          </cell>
          <cell r="U45">
            <v>902969.78498241305</v>
          </cell>
          <cell r="W45">
            <v>50000</v>
          </cell>
          <cell r="Y45">
            <v>416505.64404343168</v>
          </cell>
          <cell r="Z45">
            <v>161974.41712800119</v>
          </cell>
          <cell r="AA45">
            <v>0</v>
          </cell>
          <cell r="AB45">
            <v>0</v>
          </cell>
          <cell r="AD45">
            <v>203714</v>
          </cell>
          <cell r="AE45">
            <v>0</v>
          </cell>
          <cell r="AF45">
            <v>0</v>
          </cell>
          <cell r="AP45">
            <v>3110</v>
          </cell>
          <cell r="AR45">
            <v>30000</v>
          </cell>
          <cell r="AS45">
            <v>175870</v>
          </cell>
        </row>
        <row r="46">
          <cell r="E46" t="str">
            <v>응급의학과간호사</v>
          </cell>
          <cell r="F46" t="str">
            <v>여</v>
          </cell>
          <cell r="U46">
            <v>912721.84829484625</v>
          </cell>
          <cell r="W46">
            <v>50000</v>
          </cell>
          <cell r="Y46">
            <v>420767.88768924912</v>
          </cell>
          <cell r="Z46">
            <v>163631.95632359688</v>
          </cell>
          <cell r="AA46">
            <v>0</v>
          </cell>
          <cell r="AB46">
            <v>0</v>
          </cell>
          <cell r="AD46">
            <v>174213</v>
          </cell>
          <cell r="AE46">
            <v>0</v>
          </cell>
          <cell r="AF46">
            <v>0</v>
          </cell>
          <cell r="AP46">
            <v>3140</v>
          </cell>
          <cell r="AS46">
            <v>146960</v>
          </cell>
        </row>
        <row r="47">
          <cell r="E47" t="str">
            <v>응급의학과간호사</v>
          </cell>
          <cell r="F47" t="str">
            <v>여</v>
          </cell>
          <cell r="U47">
            <v>907975.6537696895</v>
          </cell>
          <cell r="W47">
            <v>30000</v>
          </cell>
          <cell r="Y47">
            <v>409952.29851659277</v>
          </cell>
          <cell r="Z47">
            <v>159425.89386756386</v>
          </cell>
          <cell r="AA47">
            <v>0</v>
          </cell>
          <cell r="AB47">
            <v>0</v>
          </cell>
          <cell r="AD47">
            <v>202948</v>
          </cell>
          <cell r="AE47">
            <v>0</v>
          </cell>
          <cell r="AF47">
            <v>0</v>
          </cell>
          <cell r="AP47">
            <v>3070</v>
          </cell>
          <cell r="AS47">
            <v>144010</v>
          </cell>
        </row>
        <row r="48">
          <cell r="E48" t="str">
            <v>응급의학과간호사</v>
          </cell>
          <cell r="F48" t="str">
            <v>남</v>
          </cell>
          <cell r="U48">
            <v>868158.86221134721</v>
          </cell>
          <cell r="W48">
            <v>50000</v>
          </cell>
          <cell r="Y48">
            <v>401291.15766936843</v>
          </cell>
          <cell r="Z48">
            <v>156057.67242697661</v>
          </cell>
          <cell r="AA48">
            <v>0</v>
          </cell>
          <cell r="AB48">
            <v>0</v>
          </cell>
          <cell r="AD48">
            <v>186935</v>
          </cell>
          <cell r="AE48">
            <v>0</v>
          </cell>
          <cell r="AF48">
            <v>0</v>
          </cell>
          <cell r="AP48">
            <v>2930</v>
          </cell>
          <cell r="AS48">
            <v>136940</v>
          </cell>
        </row>
        <row r="49">
          <cell r="E49" t="str">
            <v>외과간호사</v>
          </cell>
          <cell r="F49" t="str">
            <v>여</v>
          </cell>
          <cell r="U49">
            <v>1131938.4007923407</v>
          </cell>
          <cell r="W49">
            <v>50000</v>
          </cell>
          <cell r="Y49">
            <v>67862.491911521953</v>
          </cell>
          <cell r="Z49">
            <v>0</v>
          </cell>
          <cell r="AA49">
            <v>67862.491911521953</v>
          </cell>
          <cell r="AB49">
            <v>0</v>
          </cell>
          <cell r="AD49">
            <v>285000</v>
          </cell>
          <cell r="AE49">
            <v>0</v>
          </cell>
          <cell r="AF49">
            <v>0</v>
          </cell>
          <cell r="AP49">
            <v>2690</v>
          </cell>
          <cell r="AS49">
            <v>125950</v>
          </cell>
        </row>
        <row r="50">
          <cell r="E50" t="str">
            <v>영상진단과수의사</v>
          </cell>
          <cell r="F50" t="str">
            <v>여</v>
          </cell>
          <cell r="U50">
            <v>2481764.2337976983</v>
          </cell>
          <cell r="Y50">
            <v>391857.51059963659</v>
          </cell>
          <cell r="Z50">
            <v>0</v>
          </cell>
          <cell r="AA50">
            <v>142493.64021804967</v>
          </cell>
          <cell r="AB50">
            <v>0</v>
          </cell>
          <cell r="AE50">
            <v>0</v>
          </cell>
          <cell r="AF50">
            <v>0</v>
          </cell>
          <cell r="AH50">
            <v>200000</v>
          </cell>
          <cell r="AP50">
            <v>5170</v>
          </cell>
          <cell r="AS50">
            <v>294790</v>
          </cell>
        </row>
        <row r="51">
          <cell r="E51" t="str">
            <v>경영지원실</v>
          </cell>
          <cell r="F51" t="str">
            <v>남</v>
          </cell>
          <cell r="U51">
            <v>1546929.1338582677</v>
          </cell>
          <cell r="Y51">
            <v>244251.96850393701</v>
          </cell>
          <cell r="Z51">
            <v>0</v>
          </cell>
          <cell r="AA51">
            <v>88818.897637795279</v>
          </cell>
          <cell r="AB51">
            <v>0</v>
          </cell>
          <cell r="AE51">
            <v>0</v>
          </cell>
          <cell r="AF51">
            <v>0</v>
          </cell>
          <cell r="AH51">
            <v>200000</v>
          </cell>
          <cell r="AP51">
            <v>3880</v>
          </cell>
          <cell r="AS51">
            <v>176640</v>
          </cell>
        </row>
        <row r="52">
          <cell r="E52" t="str">
            <v>응급의학과간호사</v>
          </cell>
          <cell r="F52" t="str">
            <v>남</v>
          </cell>
          <cell r="U52">
            <v>819966.72274048009</v>
          </cell>
          <cell r="W52">
            <v>50000</v>
          </cell>
          <cell r="Y52">
            <v>380228.26731916191</v>
          </cell>
          <cell r="Z52">
            <v>147866.54840189632</v>
          </cell>
          <cell r="AA52">
            <v>0</v>
          </cell>
          <cell r="AB52">
            <v>0</v>
          </cell>
          <cell r="AD52">
            <v>144471</v>
          </cell>
          <cell r="AE52">
            <v>0</v>
          </cell>
          <cell r="AF52">
            <v>0</v>
          </cell>
          <cell r="AP52">
            <v>2820</v>
          </cell>
          <cell r="AS52">
            <v>129020</v>
          </cell>
        </row>
        <row r="53">
          <cell r="E53" t="str">
            <v>내과간호사</v>
          </cell>
          <cell r="F53" t="str">
            <v>여</v>
          </cell>
          <cell r="U53">
            <v>1023172.5652030373</v>
          </cell>
          <cell r="W53">
            <v>50000</v>
          </cell>
          <cell r="Y53">
            <v>61617.563552327498</v>
          </cell>
          <cell r="Z53">
            <v>0</v>
          </cell>
          <cell r="AA53">
            <v>61617.563552327498</v>
          </cell>
          <cell r="AB53">
            <v>0</v>
          </cell>
          <cell r="AD53">
            <v>85000</v>
          </cell>
          <cell r="AE53">
            <v>0</v>
          </cell>
          <cell r="AF53">
            <v>0</v>
          </cell>
          <cell r="AP53">
            <v>2370</v>
          </cell>
          <cell r="AS53">
            <v>103920</v>
          </cell>
        </row>
        <row r="54">
          <cell r="E54" t="str">
            <v>응급의학과수의사</v>
          </cell>
          <cell r="F54" t="str">
            <v>여</v>
          </cell>
          <cell r="U54">
            <v>1517372.6869551921</v>
          </cell>
          <cell r="Y54">
            <v>663183.97308456968</v>
          </cell>
          <cell r="Z54">
            <v>257904.87842177707</v>
          </cell>
          <cell r="AA54">
            <v>0</v>
          </cell>
          <cell r="AB54">
            <v>0</v>
          </cell>
          <cell r="AD54">
            <v>77565</v>
          </cell>
          <cell r="AE54">
            <v>0</v>
          </cell>
          <cell r="AF54">
            <v>0</v>
          </cell>
          <cell r="AP54">
            <v>2760</v>
          </cell>
          <cell r="AS54">
            <v>168130</v>
          </cell>
        </row>
        <row r="55">
          <cell r="E55" t="str">
            <v>내과수의사</v>
          </cell>
          <cell r="F55" t="str">
            <v>여</v>
          </cell>
          <cell r="U55">
            <v>2653325.2574197454</v>
          </cell>
          <cell r="W55">
            <v>0</v>
          </cell>
          <cell r="Y55">
            <v>418946.09327680193</v>
          </cell>
          <cell r="Z55">
            <v>0</v>
          </cell>
          <cell r="AA55">
            <v>152344.03391883706</v>
          </cell>
          <cell r="AB55">
            <v>0</v>
          </cell>
          <cell r="AE55">
            <v>0</v>
          </cell>
          <cell r="AF55">
            <v>0</v>
          </cell>
          <cell r="AI55">
            <v>100000</v>
          </cell>
          <cell r="AP55">
            <v>6320</v>
          </cell>
          <cell r="AQ55">
            <v>0</v>
          </cell>
          <cell r="AS55">
            <v>324610</v>
          </cell>
        </row>
        <row r="56">
          <cell r="E56" t="str">
            <v>영상진단과수의사</v>
          </cell>
          <cell r="F56" t="str">
            <v>여</v>
          </cell>
          <cell r="U56">
            <v>2526482.132041187</v>
          </cell>
          <cell r="Y56">
            <v>398918.23137492425</v>
          </cell>
          <cell r="Z56">
            <v>0</v>
          </cell>
          <cell r="AA56">
            <v>145061.17504542699</v>
          </cell>
          <cell r="AB56">
            <v>0</v>
          </cell>
          <cell r="AE56">
            <v>0</v>
          </cell>
          <cell r="AF56">
            <v>0</v>
          </cell>
          <cell r="AI56">
            <v>100000</v>
          </cell>
          <cell r="AP56">
            <v>4930</v>
          </cell>
          <cell r="AS56">
            <v>307720</v>
          </cell>
        </row>
        <row r="57">
          <cell r="E57" t="str">
            <v>영상진단과간호사</v>
          </cell>
          <cell r="F57" t="str">
            <v>여</v>
          </cell>
          <cell r="U57">
            <v>1023172.5652030373</v>
          </cell>
          <cell r="W57">
            <v>50000</v>
          </cell>
          <cell r="Y57">
            <v>61617.563552327498</v>
          </cell>
          <cell r="Z57">
            <v>0</v>
          </cell>
          <cell r="AA57">
            <v>61617.563552327498</v>
          </cell>
          <cell r="AB57">
            <v>0</v>
          </cell>
          <cell r="AD57">
            <v>65000</v>
          </cell>
          <cell r="AE57">
            <v>0</v>
          </cell>
          <cell r="AF57">
            <v>0</v>
          </cell>
          <cell r="AP57">
            <v>2200</v>
          </cell>
          <cell r="AS57">
            <v>97470</v>
          </cell>
        </row>
        <row r="58">
          <cell r="E58" t="str">
            <v>응급의학과간호사</v>
          </cell>
          <cell r="F58" t="str">
            <v>여</v>
          </cell>
          <cell r="U58">
            <v>819966.72274048009</v>
          </cell>
          <cell r="W58">
            <v>50000</v>
          </cell>
          <cell r="Y58">
            <v>380228.26731916191</v>
          </cell>
          <cell r="Z58">
            <v>147866.54840189632</v>
          </cell>
          <cell r="AA58">
            <v>0</v>
          </cell>
          <cell r="AB58">
            <v>0</v>
          </cell>
          <cell r="AD58">
            <v>94471</v>
          </cell>
          <cell r="AE58">
            <v>0</v>
          </cell>
          <cell r="AF58">
            <v>0</v>
          </cell>
          <cell r="AP58">
            <v>2570</v>
          </cell>
          <cell r="AS58">
            <v>119210</v>
          </cell>
        </row>
        <row r="59">
          <cell r="E59" t="str">
            <v>원무과</v>
          </cell>
          <cell r="F59" t="str">
            <v>여</v>
          </cell>
          <cell r="U59">
            <v>1057160</v>
          </cell>
          <cell r="Y59">
            <v>0</v>
          </cell>
          <cell r="Z59">
            <v>0</v>
          </cell>
          <cell r="AA59">
            <v>0</v>
          </cell>
          <cell r="AB59">
            <v>0</v>
          </cell>
          <cell r="AE59">
            <v>0</v>
          </cell>
          <cell r="AF59">
            <v>0</v>
          </cell>
          <cell r="AP59">
            <v>1740</v>
          </cell>
          <cell r="AS59">
            <v>28380</v>
          </cell>
        </row>
        <row r="60">
          <cell r="E60" t="str">
            <v>내과간호사</v>
          </cell>
          <cell r="F60" t="str">
            <v>여</v>
          </cell>
          <cell r="U60">
            <v>981248.36579729279</v>
          </cell>
          <cell r="W60">
            <v>50000</v>
          </cell>
          <cell r="Y60">
            <v>59210.432485968966</v>
          </cell>
          <cell r="Z60">
            <v>0</v>
          </cell>
          <cell r="AA60">
            <v>59210.432485968966</v>
          </cell>
          <cell r="AB60">
            <v>0</v>
          </cell>
          <cell r="AE60">
            <v>0</v>
          </cell>
          <cell r="AF60">
            <v>0</v>
          </cell>
          <cell r="AP60">
            <v>1980</v>
          </cell>
          <cell r="AS60">
            <v>87890</v>
          </cell>
        </row>
        <row r="61">
          <cell r="E61" t="str">
            <v>응급의학과수의사</v>
          </cell>
          <cell r="F61" t="str">
            <v>남</v>
          </cell>
          <cell r="U61">
            <v>1572658.6634041902</v>
          </cell>
          <cell r="W61">
            <v>0</v>
          </cell>
          <cell r="Y61">
            <v>687347.30081052158</v>
          </cell>
          <cell r="Z61">
            <v>267301.72809298057</v>
          </cell>
          <cell r="AA61">
            <v>0</v>
          </cell>
          <cell r="AB61">
            <v>0</v>
          </cell>
          <cell r="AD61">
            <v>80391</v>
          </cell>
          <cell r="AE61">
            <v>0</v>
          </cell>
          <cell r="AF61">
            <v>0</v>
          </cell>
          <cell r="AP61">
            <v>4400</v>
          </cell>
          <cell r="AS61">
            <v>246740</v>
          </cell>
        </row>
        <row r="62">
          <cell r="E62" t="str">
            <v>진료협력사무</v>
          </cell>
          <cell r="F62" t="str">
            <v>여</v>
          </cell>
          <cell r="U62">
            <v>1324310.6635853415</v>
          </cell>
          <cell r="Y62">
            <v>76036.975899636833</v>
          </cell>
          <cell r="Z62">
            <v>0</v>
          </cell>
          <cell r="AA62">
            <v>76036.975899636833</v>
          </cell>
          <cell r="AB62">
            <v>0</v>
          </cell>
          <cell r="AE62">
            <v>0</v>
          </cell>
          <cell r="AF62">
            <v>0</v>
          </cell>
          <cell r="AP62">
            <v>2230</v>
          </cell>
          <cell r="AS62">
            <v>110940</v>
          </cell>
        </row>
        <row r="63">
          <cell r="E63" t="str">
            <v>내과간호사</v>
          </cell>
          <cell r="F63" t="str">
            <v>여</v>
          </cell>
          <cell r="U63">
            <v>1079548.1346979202</v>
          </cell>
          <cell r="Y63">
            <v>61983.624958732267</v>
          </cell>
          <cell r="Z63">
            <v>0</v>
          </cell>
          <cell r="AA63">
            <v>61983.624958732267</v>
          </cell>
          <cell r="AB63">
            <v>0</v>
          </cell>
          <cell r="AD63">
            <v>50000</v>
          </cell>
          <cell r="AE63">
            <v>0</v>
          </cell>
          <cell r="AF63">
            <v>0</v>
          </cell>
          <cell r="AP63">
            <v>1800</v>
          </cell>
          <cell r="AS63">
            <v>86600</v>
          </cell>
        </row>
        <row r="64">
          <cell r="E64" t="str">
            <v>내과간호사</v>
          </cell>
          <cell r="F64" t="str">
            <v>여</v>
          </cell>
          <cell r="U64">
            <v>1069067.084846484</v>
          </cell>
          <cell r="Y64">
            <v>61381.842192142627</v>
          </cell>
          <cell r="Z64">
            <v>0</v>
          </cell>
          <cell r="AA64">
            <v>61381.842192142627</v>
          </cell>
          <cell r="AB64">
            <v>0</v>
          </cell>
          <cell r="AE64">
            <v>0</v>
          </cell>
          <cell r="AF64">
            <v>0</v>
          </cell>
          <cell r="AP64">
            <v>1590</v>
          </cell>
          <cell r="AS64">
            <v>78910</v>
          </cell>
        </row>
        <row r="65">
          <cell r="E65" t="str">
            <v>외과간호사</v>
          </cell>
          <cell r="F65" t="str">
            <v>여</v>
          </cell>
          <cell r="U65">
            <v>1138312.3142951468</v>
          </cell>
          <cell r="V65">
            <v>0</v>
          </cell>
          <cell r="W65">
            <v>50000</v>
          </cell>
          <cell r="Y65">
            <v>68228.458237041923</v>
          </cell>
          <cell r="Z65">
            <v>0</v>
          </cell>
          <cell r="AA65">
            <v>68228.458237041923</v>
          </cell>
          <cell r="AB65">
            <v>0</v>
          </cell>
          <cell r="AD65">
            <v>110000</v>
          </cell>
          <cell r="AE65">
            <v>0</v>
          </cell>
          <cell r="AF65">
            <v>0</v>
          </cell>
          <cell r="AP65">
            <v>2210</v>
          </cell>
          <cell r="AS65">
            <v>102920</v>
          </cell>
        </row>
        <row r="66">
          <cell r="E66" t="str">
            <v>내과간호사</v>
          </cell>
          <cell r="F66" t="str">
            <v>여</v>
          </cell>
          <cell r="U66">
            <v>770000</v>
          </cell>
          <cell r="W66">
            <v>0</v>
          </cell>
          <cell r="Y66">
            <v>0</v>
          </cell>
          <cell r="Z66">
            <v>0</v>
          </cell>
          <cell r="AA66">
            <v>0</v>
          </cell>
          <cell r="AB66">
            <v>0</v>
          </cell>
          <cell r="AD66">
            <v>-67680</v>
          </cell>
          <cell r="AE66">
            <v>0</v>
          </cell>
          <cell r="AF66">
            <v>0</v>
          </cell>
          <cell r="AL66">
            <v>0</v>
          </cell>
          <cell r="AP66">
            <v>0</v>
          </cell>
          <cell r="AQ66">
            <v>93670</v>
          </cell>
          <cell r="AS66">
            <v>98230</v>
          </cell>
        </row>
        <row r="67">
          <cell r="E67" t="str">
            <v>외과간호사</v>
          </cell>
          <cell r="F67" t="str">
            <v>여</v>
          </cell>
          <cell r="U67">
            <v>1039504.7870584351</v>
          </cell>
          <cell r="W67">
            <v>50000</v>
          </cell>
          <cell r="Y67">
            <v>62555.298778474746</v>
          </cell>
          <cell r="Z67">
            <v>0</v>
          </cell>
          <cell r="AA67">
            <v>62555.298778474746</v>
          </cell>
          <cell r="AB67">
            <v>0</v>
          </cell>
          <cell r="AD67">
            <v>30000</v>
          </cell>
          <cell r="AE67">
            <v>0</v>
          </cell>
          <cell r="AF67">
            <v>0</v>
          </cell>
          <cell r="AP67">
            <v>1250</v>
          </cell>
          <cell r="AS67">
            <v>65590</v>
          </cell>
        </row>
        <row r="68">
          <cell r="E68" t="str">
            <v>원무과</v>
          </cell>
          <cell r="F68" t="str">
            <v>여</v>
          </cell>
          <cell r="U68">
            <v>1142657.3426573426</v>
          </cell>
          <cell r="W68">
            <v>0</v>
          </cell>
          <cell r="Y68">
            <v>114812.46026700572</v>
          </cell>
          <cell r="Z68">
            <v>0</v>
          </cell>
          <cell r="AA68">
            <v>65607.120152574702</v>
          </cell>
          <cell r="AB68">
            <v>0</v>
          </cell>
          <cell r="AE68">
            <v>0</v>
          </cell>
          <cell r="AF68">
            <v>0</v>
          </cell>
          <cell r="AP68">
            <v>2590</v>
          </cell>
          <cell r="AS68">
            <v>114760</v>
          </cell>
        </row>
        <row r="69">
          <cell r="E69" t="str">
            <v>내과간호사</v>
          </cell>
          <cell r="F69" t="str">
            <v>여</v>
          </cell>
          <cell r="U69">
            <v>1039504.7870584351</v>
          </cell>
          <cell r="W69">
            <v>50000</v>
          </cell>
          <cell r="Y69">
            <v>62555.298778474746</v>
          </cell>
          <cell r="Z69">
            <v>0</v>
          </cell>
          <cell r="AA69">
            <v>62555.298778474746</v>
          </cell>
          <cell r="AB69">
            <v>0</v>
          </cell>
          <cell r="AE69">
            <v>0</v>
          </cell>
          <cell r="AF69">
            <v>0</v>
          </cell>
          <cell r="AP69">
            <v>2380</v>
          </cell>
          <cell r="AS69">
            <v>103480</v>
          </cell>
        </row>
        <row r="70">
          <cell r="E70" t="str">
            <v>내과간호사</v>
          </cell>
          <cell r="F70" t="str">
            <v>여</v>
          </cell>
          <cell r="U70">
            <v>1048104.9851436118</v>
          </cell>
          <cell r="Y70">
            <v>60178.276658963354</v>
          </cell>
          <cell r="Z70">
            <v>0</v>
          </cell>
          <cell r="AA70">
            <v>60178.276658963354</v>
          </cell>
          <cell r="AB70">
            <v>0</v>
          </cell>
          <cell r="AD70">
            <v>50000</v>
          </cell>
          <cell r="AE70">
            <v>0</v>
          </cell>
          <cell r="AF70">
            <v>0</v>
          </cell>
          <cell r="AP70">
            <v>2290</v>
          </cell>
          <cell r="AS70">
            <v>100040</v>
          </cell>
        </row>
        <row r="71">
          <cell r="E71" t="str">
            <v>응급의학과수의사</v>
          </cell>
          <cell r="F71" t="str">
            <v>남</v>
          </cell>
          <cell r="U71">
            <v>957332.92552378029</v>
          </cell>
          <cell r="Y71">
            <v>418412.60131518578</v>
          </cell>
          <cell r="Z71">
            <v>162716.01162257226</v>
          </cell>
          <cell r="AA71">
            <v>0</v>
          </cell>
          <cell r="AB71">
            <v>0</v>
          </cell>
          <cell r="AD71">
            <v>48937</v>
          </cell>
          <cell r="AE71">
            <v>0</v>
          </cell>
          <cell r="AF71">
            <v>0</v>
          </cell>
          <cell r="AP71">
            <v>3010</v>
          </cell>
          <cell r="AS71">
            <v>138990</v>
          </cell>
        </row>
        <row r="72">
          <cell r="E72" t="str">
            <v>외과간호사</v>
          </cell>
          <cell r="F72" t="str">
            <v>여</v>
          </cell>
          <cell r="U72">
            <v>1087794.6517002312</v>
          </cell>
          <cell r="W72">
            <v>30000</v>
          </cell>
          <cell r="Y72">
            <v>64179.597226807535</v>
          </cell>
          <cell r="Z72">
            <v>0</v>
          </cell>
          <cell r="AA72">
            <v>64179.597226807535</v>
          </cell>
          <cell r="AB72">
            <v>0</v>
          </cell>
          <cell r="AD72">
            <v>50000</v>
          </cell>
          <cell r="AE72">
            <v>0</v>
          </cell>
          <cell r="AF72">
            <v>0</v>
          </cell>
          <cell r="AP72">
            <v>2640</v>
          </cell>
          <cell r="AS72">
            <v>115800</v>
          </cell>
        </row>
        <row r="73">
          <cell r="E73" t="str">
            <v>응급의학과수의사</v>
          </cell>
          <cell r="F73" t="str">
            <v>여</v>
          </cell>
          <cell r="U73">
            <v>957332.92552378029</v>
          </cell>
          <cell r="Y73">
            <v>418412.60131518578</v>
          </cell>
          <cell r="Z73">
            <v>162716.01162257226</v>
          </cell>
          <cell r="AA73">
            <v>0</v>
          </cell>
          <cell r="AB73">
            <v>0</v>
          </cell>
          <cell r="AD73">
            <v>48937</v>
          </cell>
          <cell r="AE73">
            <v>0</v>
          </cell>
          <cell r="AF73">
            <v>0</v>
          </cell>
          <cell r="AP73">
            <v>3010</v>
          </cell>
          <cell r="AS73">
            <v>138990</v>
          </cell>
        </row>
        <row r="74">
          <cell r="E74" t="str">
            <v>외과간호사</v>
          </cell>
          <cell r="F74" t="str">
            <v>남</v>
          </cell>
          <cell r="U74">
            <v>1048104.9851436118</v>
          </cell>
          <cell r="Y74">
            <v>60178.276658963354</v>
          </cell>
          <cell r="Z74">
            <v>0</v>
          </cell>
          <cell r="AA74">
            <v>60178.276658963354</v>
          </cell>
          <cell r="AB74">
            <v>0</v>
          </cell>
          <cell r="AD74">
            <v>50000</v>
          </cell>
          <cell r="AE74">
            <v>0</v>
          </cell>
          <cell r="AF74">
            <v>0</v>
          </cell>
          <cell r="AP74">
            <v>2290</v>
          </cell>
          <cell r="AS74">
            <v>100040</v>
          </cell>
        </row>
        <row r="75">
          <cell r="E75" t="str">
            <v>응급의학과수의사</v>
          </cell>
          <cell r="F75" t="str">
            <v>여</v>
          </cell>
          <cell r="U75">
            <v>957332.92552378029</v>
          </cell>
          <cell r="Y75">
            <v>418412.60131518578</v>
          </cell>
          <cell r="Z75">
            <v>162716.01162257226</v>
          </cell>
          <cell r="AA75">
            <v>0</v>
          </cell>
          <cell r="AB75">
            <v>0</v>
          </cell>
          <cell r="AD75">
            <v>48937</v>
          </cell>
          <cell r="AE75">
            <v>0</v>
          </cell>
          <cell r="AF75">
            <v>0</v>
          </cell>
          <cell r="AP75">
            <v>3010</v>
          </cell>
          <cell r="AS75">
            <v>138990</v>
          </cell>
        </row>
        <row r="76">
          <cell r="E76" t="str">
            <v>외과간호사</v>
          </cell>
          <cell r="F76" t="str">
            <v>여</v>
          </cell>
          <cell r="U76">
            <v>1039504.7870584351</v>
          </cell>
          <cell r="W76">
            <v>50000</v>
          </cell>
          <cell r="Y76">
            <v>62555.298778474746</v>
          </cell>
          <cell r="Z76">
            <v>0</v>
          </cell>
          <cell r="AA76">
            <v>62555.298778474746</v>
          </cell>
          <cell r="AB76">
            <v>0</v>
          </cell>
          <cell r="AD76">
            <v>90000</v>
          </cell>
          <cell r="AE76">
            <v>0</v>
          </cell>
          <cell r="AF76">
            <v>0</v>
          </cell>
          <cell r="AP76">
            <v>2380</v>
          </cell>
          <cell r="AS76">
            <v>105830</v>
          </cell>
        </row>
        <row r="77">
          <cell r="E77" t="str">
            <v>응급의학과수의사</v>
          </cell>
          <cell r="F77" t="str">
            <v>여</v>
          </cell>
          <cell r="U77">
            <v>957332.92552378029</v>
          </cell>
          <cell r="Y77">
            <v>418412.60131518578</v>
          </cell>
          <cell r="Z77">
            <v>162716.01162257226</v>
          </cell>
          <cell r="AA77">
            <v>0</v>
          </cell>
          <cell r="AB77">
            <v>0</v>
          </cell>
          <cell r="AD77">
            <v>342555</v>
          </cell>
          <cell r="AE77">
            <v>0</v>
          </cell>
          <cell r="AF77">
            <v>0</v>
          </cell>
          <cell r="AL77">
            <v>-25320</v>
          </cell>
          <cell r="AP77">
            <v>3010</v>
          </cell>
          <cell r="AQ77">
            <v>31160</v>
          </cell>
          <cell r="AS77">
            <v>153550</v>
          </cell>
        </row>
        <row r="78">
          <cell r="E78" t="str">
            <v>응급의학과간호사</v>
          </cell>
          <cell r="F78" t="str">
            <v>여</v>
          </cell>
          <cell r="U78">
            <v>1142657.3426573426</v>
          </cell>
          <cell r="Y78">
            <v>114812.46026700572</v>
          </cell>
          <cell r="Z78">
            <v>0</v>
          </cell>
          <cell r="AA78">
            <v>65607.120152574702</v>
          </cell>
          <cell r="AB78">
            <v>0</v>
          </cell>
          <cell r="AE78">
            <v>0</v>
          </cell>
          <cell r="AF78">
            <v>0</v>
          </cell>
          <cell r="AP78">
            <v>2590</v>
          </cell>
          <cell r="AQ78">
            <v>0</v>
          </cell>
          <cell r="AS78">
            <v>114760</v>
          </cell>
        </row>
        <row r="79">
          <cell r="E79" t="str">
            <v>응급의학과수의사</v>
          </cell>
          <cell r="F79" t="str">
            <v>여</v>
          </cell>
          <cell r="U79">
            <v>957332.92552378029</v>
          </cell>
          <cell r="Y79">
            <v>418412.60131518578</v>
          </cell>
          <cell r="Z79">
            <v>162716.01162257226</v>
          </cell>
          <cell r="AA79">
            <v>0</v>
          </cell>
          <cell r="AB79">
            <v>0</v>
          </cell>
          <cell r="AD79">
            <v>440425</v>
          </cell>
          <cell r="AE79">
            <v>0</v>
          </cell>
          <cell r="AF79">
            <v>0</v>
          </cell>
          <cell r="AL79">
            <v>-26000</v>
          </cell>
          <cell r="AP79">
            <v>3010</v>
          </cell>
          <cell r="AQ79">
            <v>34310</v>
          </cell>
          <cell r="AS79">
            <v>158710</v>
          </cell>
        </row>
        <row r="80">
          <cell r="E80" t="str">
            <v>내과 수의사</v>
          </cell>
          <cell r="F80" t="str">
            <v>남</v>
          </cell>
          <cell r="U80">
            <v>2006450.6359781949</v>
          </cell>
          <cell r="W80">
            <v>0</v>
          </cell>
          <cell r="Y80">
            <v>316807.99515445181</v>
          </cell>
          <cell r="Z80">
            <v>0</v>
          </cell>
          <cell r="AA80">
            <v>115202.90732889157</v>
          </cell>
          <cell r="AB80">
            <v>0</v>
          </cell>
          <cell r="AE80">
            <v>0</v>
          </cell>
          <cell r="AF80">
            <v>0</v>
          </cell>
          <cell r="AP80">
            <v>4780</v>
          </cell>
          <cell r="AS80">
            <v>238140</v>
          </cell>
        </row>
        <row r="81">
          <cell r="E81" t="str">
            <v>응급의학과수의사</v>
          </cell>
          <cell r="F81" t="str">
            <v>여</v>
          </cell>
          <cell r="U81">
            <v>1675332.619666616</v>
          </cell>
          <cell r="W81">
            <v>0</v>
          </cell>
          <cell r="Y81">
            <v>732222.05230157531</v>
          </cell>
          <cell r="Z81">
            <v>284753.0203395015</v>
          </cell>
          <cell r="AA81">
            <v>0</v>
          </cell>
          <cell r="AB81">
            <v>0</v>
          </cell>
          <cell r="AD81">
            <v>-2596154</v>
          </cell>
          <cell r="AE81">
            <v>0</v>
          </cell>
          <cell r="AF81">
            <v>0</v>
          </cell>
          <cell r="AL81">
            <v>-135810</v>
          </cell>
          <cell r="AP81">
            <v>0</v>
          </cell>
          <cell r="AQ81">
            <v>-15740</v>
          </cell>
          <cell r="AS81">
            <v>-150930</v>
          </cell>
        </row>
        <row r="82">
          <cell r="E82" t="str">
            <v>총무팀</v>
          </cell>
          <cell r="F82" t="str">
            <v>여</v>
          </cell>
          <cell r="U82">
            <v>1246910.9630526952</v>
          </cell>
          <cell r="W82">
            <v>0</v>
          </cell>
          <cell r="Y82">
            <v>196880.67837674133</v>
          </cell>
          <cell r="Z82">
            <v>0</v>
          </cell>
          <cell r="AA82">
            <v>71592.973955178662</v>
          </cell>
          <cell r="AB82">
            <v>0</v>
          </cell>
          <cell r="AE82">
            <v>0</v>
          </cell>
          <cell r="AF82">
            <v>0</v>
          </cell>
          <cell r="AP82">
            <v>2970</v>
          </cell>
          <cell r="AS82">
            <v>135170</v>
          </cell>
        </row>
        <row r="83">
          <cell r="E83" t="str">
            <v>원무과</v>
          </cell>
          <cell r="F83" t="str">
            <v>여</v>
          </cell>
          <cell r="U83">
            <v>1142657.3426573426</v>
          </cell>
          <cell r="Y83">
            <v>114812.46026700572</v>
          </cell>
          <cell r="Z83">
            <v>0</v>
          </cell>
          <cell r="AA83">
            <v>65607.120152574702</v>
          </cell>
          <cell r="AB83">
            <v>0</v>
          </cell>
          <cell r="AE83">
            <v>0</v>
          </cell>
          <cell r="AF83">
            <v>0</v>
          </cell>
          <cell r="AP83">
            <v>2590</v>
          </cell>
          <cell r="AQ83">
            <v>0</v>
          </cell>
          <cell r="AS83">
            <v>114760</v>
          </cell>
        </row>
        <row r="84">
          <cell r="E84" t="str">
            <v>응급의학과간호사</v>
          </cell>
          <cell r="F84" t="str">
            <v>여</v>
          </cell>
          <cell r="U84">
            <v>789580.97568435548</v>
          </cell>
          <cell r="W84">
            <v>50000</v>
          </cell>
          <cell r="Y84">
            <v>366947.85135341797</v>
          </cell>
          <cell r="Z84">
            <v>142701.94219299589</v>
          </cell>
          <cell r="AA84">
            <v>0</v>
          </cell>
          <cell r="AB84">
            <v>0</v>
          </cell>
          <cell r="AD84">
            <v>46099</v>
          </cell>
          <cell r="AE84">
            <v>0</v>
          </cell>
          <cell r="AF84">
            <v>0</v>
          </cell>
          <cell r="AP84">
            <v>2840</v>
          </cell>
          <cell r="AS84">
            <v>126620</v>
          </cell>
        </row>
        <row r="85">
          <cell r="E85" t="str">
            <v>영상진단과간호사</v>
          </cell>
          <cell r="F85" t="str">
            <v>여</v>
          </cell>
          <cell r="U85">
            <v>1090000</v>
          </cell>
          <cell r="Y85">
            <v>0</v>
          </cell>
          <cell r="Z85">
            <v>0</v>
          </cell>
          <cell r="AA85">
            <v>0</v>
          </cell>
          <cell r="AB85">
            <v>0</v>
          </cell>
          <cell r="AE85">
            <v>0</v>
          </cell>
          <cell r="AF85">
            <v>0</v>
          </cell>
          <cell r="AP85">
            <v>2000</v>
          </cell>
          <cell r="AQ85">
            <v>0</v>
          </cell>
          <cell r="AS85">
            <v>85520</v>
          </cell>
        </row>
        <row r="86">
          <cell r="E86" t="str">
            <v>ENC수련의</v>
          </cell>
          <cell r="F86" t="str">
            <v>여</v>
          </cell>
          <cell r="U86">
            <v>957332.92552378029</v>
          </cell>
          <cell r="Y86">
            <v>418412.60131518578</v>
          </cell>
          <cell r="Z86">
            <v>162716.01162257226</v>
          </cell>
          <cell r="AA86">
            <v>0</v>
          </cell>
          <cell r="AB86">
            <v>0</v>
          </cell>
          <cell r="AD86">
            <v>48937</v>
          </cell>
          <cell r="AE86">
            <v>0</v>
          </cell>
          <cell r="AF86">
            <v>0</v>
          </cell>
          <cell r="AP86">
            <v>3010</v>
          </cell>
          <cell r="AQ86">
            <v>0</v>
          </cell>
          <cell r="AR86">
            <v>200000</v>
          </cell>
          <cell r="AS86">
            <v>338990</v>
          </cell>
        </row>
        <row r="87">
          <cell r="E87" t="str">
            <v>ENC수련의</v>
          </cell>
          <cell r="F87" t="str">
            <v>여</v>
          </cell>
          <cell r="U87">
            <v>957332.92552378029</v>
          </cell>
          <cell r="Y87">
            <v>418412.60131518578</v>
          </cell>
          <cell r="Z87">
            <v>162716.01162257226</v>
          </cell>
          <cell r="AA87">
            <v>0</v>
          </cell>
          <cell r="AB87">
            <v>0</v>
          </cell>
          <cell r="AD87">
            <v>48937</v>
          </cell>
          <cell r="AE87">
            <v>0</v>
          </cell>
          <cell r="AF87">
            <v>0</v>
          </cell>
          <cell r="AP87">
            <v>3010</v>
          </cell>
          <cell r="AQ87">
            <v>0</v>
          </cell>
          <cell r="AR87">
            <v>200000</v>
          </cell>
          <cell r="AS87">
            <v>338990</v>
          </cell>
        </row>
        <row r="88">
          <cell r="E88" t="str">
            <v>ENC수련의</v>
          </cell>
          <cell r="F88" t="str">
            <v>여</v>
          </cell>
          <cell r="U88">
            <v>957332.92552378029</v>
          </cell>
          <cell r="Y88">
            <v>418412.60131518578</v>
          </cell>
          <cell r="Z88">
            <v>162716.01162257226</v>
          </cell>
          <cell r="AA88">
            <v>0</v>
          </cell>
          <cell r="AB88">
            <v>0</v>
          </cell>
          <cell r="AD88">
            <v>48937</v>
          </cell>
          <cell r="AE88">
            <v>0</v>
          </cell>
          <cell r="AF88">
            <v>0</v>
          </cell>
          <cell r="AP88">
            <v>3010</v>
          </cell>
          <cell r="AQ88">
            <v>0</v>
          </cell>
          <cell r="AR88">
            <v>200000</v>
          </cell>
          <cell r="AS88">
            <v>335270</v>
          </cell>
        </row>
        <row r="89">
          <cell r="E89" t="str">
            <v>ENC수련의</v>
          </cell>
          <cell r="F89" t="str">
            <v>남</v>
          </cell>
          <cell r="U89">
            <v>957332.92552378029</v>
          </cell>
          <cell r="Y89">
            <v>418412.60131518578</v>
          </cell>
          <cell r="Z89">
            <v>162716.01162257226</v>
          </cell>
          <cell r="AA89">
            <v>0</v>
          </cell>
          <cell r="AB89">
            <v>0</v>
          </cell>
          <cell r="AD89">
            <v>48937</v>
          </cell>
          <cell r="AE89">
            <v>0</v>
          </cell>
          <cell r="AF89">
            <v>0</v>
          </cell>
          <cell r="AP89">
            <v>3010</v>
          </cell>
          <cell r="AQ89">
            <v>0</v>
          </cell>
          <cell r="AR89">
            <v>200000</v>
          </cell>
          <cell r="AS89">
            <v>338990</v>
          </cell>
        </row>
        <row r="90">
          <cell r="E90" t="str">
            <v>ENC수련의</v>
          </cell>
          <cell r="F90" t="str">
            <v>여</v>
          </cell>
          <cell r="U90">
            <v>957332.92552378029</v>
          </cell>
          <cell r="Y90">
            <v>418412.60131518578</v>
          </cell>
          <cell r="Z90">
            <v>162716.01162257226</v>
          </cell>
          <cell r="AA90">
            <v>0</v>
          </cell>
          <cell r="AB90">
            <v>0</v>
          </cell>
          <cell r="AD90">
            <v>48937</v>
          </cell>
          <cell r="AE90">
            <v>0</v>
          </cell>
          <cell r="AF90">
            <v>0</v>
          </cell>
          <cell r="AP90">
            <v>3010</v>
          </cell>
          <cell r="AQ90">
            <v>0</v>
          </cell>
          <cell r="AR90">
            <v>200000</v>
          </cell>
          <cell r="AS90">
            <v>338990</v>
          </cell>
        </row>
        <row r="91">
          <cell r="E91" t="str">
            <v>ENC수련의</v>
          </cell>
          <cell r="F91" t="str">
            <v>남</v>
          </cell>
          <cell r="U91">
            <v>957332.92552378029</v>
          </cell>
          <cell r="Y91">
            <v>418412.60131518578</v>
          </cell>
          <cell r="Z91">
            <v>162716.01162257226</v>
          </cell>
          <cell r="AA91">
            <v>0</v>
          </cell>
          <cell r="AB91">
            <v>0</v>
          </cell>
          <cell r="AD91">
            <v>48937</v>
          </cell>
          <cell r="AE91">
            <v>0</v>
          </cell>
          <cell r="AF91">
            <v>0</v>
          </cell>
          <cell r="AP91">
            <v>3010</v>
          </cell>
          <cell r="AQ91">
            <v>0</v>
          </cell>
          <cell r="AR91">
            <v>200000</v>
          </cell>
          <cell r="AS91">
            <v>338990</v>
          </cell>
        </row>
        <row r="92">
          <cell r="E92" t="str">
            <v>ENC수련의</v>
          </cell>
          <cell r="F92" t="str">
            <v>여</v>
          </cell>
          <cell r="U92">
            <v>957332.92552378029</v>
          </cell>
          <cell r="Y92">
            <v>418412.60131518578</v>
          </cell>
          <cell r="Z92">
            <v>162716.01162257226</v>
          </cell>
          <cell r="AA92">
            <v>0</v>
          </cell>
          <cell r="AB92">
            <v>0</v>
          </cell>
          <cell r="AD92">
            <v>48937</v>
          </cell>
          <cell r="AE92">
            <v>0</v>
          </cell>
          <cell r="AF92">
            <v>0</v>
          </cell>
          <cell r="AP92">
            <v>3010</v>
          </cell>
          <cell r="AQ92">
            <v>0</v>
          </cell>
          <cell r="AR92">
            <v>200000</v>
          </cell>
          <cell r="AS92">
            <v>338990</v>
          </cell>
        </row>
        <row r="93">
          <cell r="E93" t="str">
            <v>ENC수련의</v>
          </cell>
          <cell r="F93" t="str">
            <v>여</v>
          </cell>
          <cell r="U93">
            <v>957332.92552378029</v>
          </cell>
          <cell r="Y93">
            <v>418412.60131518578</v>
          </cell>
          <cell r="Z93">
            <v>162716.01162257226</v>
          </cell>
          <cell r="AA93">
            <v>0</v>
          </cell>
          <cell r="AB93">
            <v>0</v>
          </cell>
          <cell r="AD93">
            <v>48937</v>
          </cell>
          <cell r="AE93">
            <v>0</v>
          </cell>
          <cell r="AF93">
            <v>0</v>
          </cell>
          <cell r="AP93">
            <v>3010</v>
          </cell>
          <cell r="AQ93">
            <v>0</v>
          </cell>
          <cell r="AR93">
            <v>200000</v>
          </cell>
          <cell r="AS93">
            <v>338990</v>
          </cell>
        </row>
        <row r="94">
          <cell r="E94" t="str">
            <v>ENC간호사</v>
          </cell>
          <cell r="F94" t="str">
            <v>여</v>
          </cell>
          <cell r="U94">
            <v>1090000</v>
          </cell>
          <cell r="Y94">
            <v>0</v>
          </cell>
          <cell r="Z94">
            <v>0</v>
          </cell>
          <cell r="AA94">
            <v>0</v>
          </cell>
          <cell r="AB94">
            <v>0</v>
          </cell>
          <cell r="AD94">
            <v>-233571</v>
          </cell>
          <cell r="AE94">
            <v>0</v>
          </cell>
          <cell r="AF94">
            <v>0</v>
          </cell>
          <cell r="AP94">
            <v>0</v>
          </cell>
          <cell r="AQ94">
            <v>0</v>
          </cell>
          <cell r="AS94">
            <v>5560</v>
          </cell>
        </row>
        <row r="95">
          <cell r="E95" t="str">
            <v>ENC간호사</v>
          </cell>
          <cell r="F95" t="str">
            <v>여</v>
          </cell>
          <cell r="U95">
            <v>1090000</v>
          </cell>
          <cell r="Y95">
            <v>0</v>
          </cell>
          <cell r="Z95">
            <v>0</v>
          </cell>
          <cell r="AA95">
            <v>0</v>
          </cell>
          <cell r="AB95">
            <v>0</v>
          </cell>
          <cell r="AD95">
            <v>-233571</v>
          </cell>
          <cell r="AE95">
            <v>0</v>
          </cell>
          <cell r="AF95">
            <v>0</v>
          </cell>
          <cell r="AP95">
            <v>0</v>
          </cell>
          <cell r="AQ95">
            <v>0</v>
          </cell>
          <cell r="AS95">
            <v>5560</v>
          </cell>
        </row>
        <row r="96">
          <cell r="E96" t="str">
            <v>ENC간호사</v>
          </cell>
          <cell r="F96" t="str">
            <v>여</v>
          </cell>
          <cell r="U96">
            <v>1090000</v>
          </cell>
          <cell r="Y96">
            <v>0</v>
          </cell>
          <cell r="Z96">
            <v>0</v>
          </cell>
          <cell r="AA96">
            <v>0</v>
          </cell>
          <cell r="AB96">
            <v>0</v>
          </cell>
          <cell r="AD96">
            <v>-506071</v>
          </cell>
          <cell r="AE96">
            <v>0</v>
          </cell>
          <cell r="AF96">
            <v>0</v>
          </cell>
          <cell r="AP96">
            <v>0</v>
          </cell>
          <cell r="AQ96">
            <v>0</v>
          </cell>
          <cell r="AS96">
            <v>3790</v>
          </cell>
        </row>
        <row r="97">
          <cell r="U97">
            <v>0</v>
          </cell>
          <cell r="Y97">
            <v>0</v>
          </cell>
          <cell r="Z97">
            <v>0</v>
          </cell>
          <cell r="AA97">
            <v>0</v>
          </cell>
          <cell r="AB97">
            <v>0</v>
          </cell>
          <cell r="AE97">
            <v>0</v>
          </cell>
          <cell r="AF97">
            <v>0</v>
          </cell>
          <cell r="AP97">
            <v>0</v>
          </cell>
          <cell r="AQ97">
            <v>0</v>
          </cell>
          <cell r="AS97">
            <v>0</v>
          </cell>
        </row>
        <row r="98">
          <cell r="U98">
            <v>0</v>
          </cell>
          <cell r="Y98">
            <v>0</v>
          </cell>
          <cell r="Z98">
            <v>0</v>
          </cell>
          <cell r="AA98">
            <v>0</v>
          </cell>
          <cell r="AB98">
            <v>0</v>
          </cell>
          <cell r="AE98">
            <v>0</v>
          </cell>
          <cell r="AF98">
            <v>0</v>
          </cell>
          <cell r="AP98">
            <v>0</v>
          </cell>
          <cell r="AQ98">
            <v>0</v>
          </cell>
          <cell r="AS98">
            <v>0</v>
          </cell>
        </row>
        <row r="99">
          <cell r="U99">
            <v>0</v>
          </cell>
          <cell r="Y99">
            <v>0</v>
          </cell>
          <cell r="Z99">
            <v>0</v>
          </cell>
          <cell r="AA99">
            <v>0</v>
          </cell>
          <cell r="AB99">
            <v>0</v>
          </cell>
          <cell r="AE99">
            <v>0</v>
          </cell>
          <cell r="AF99">
            <v>0</v>
          </cell>
          <cell r="AP99">
            <v>0</v>
          </cell>
          <cell r="AQ99">
            <v>0</v>
          </cell>
          <cell r="AS99">
            <v>0</v>
          </cell>
        </row>
        <row r="100">
          <cell r="U100">
            <v>0</v>
          </cell>
          <cell r="W100">
            <v>0</v>
          </cell>
          <cell r="Y100">
            <v>0</v>
          </cell>
          <cell r="Z100">
            <v>0</v>
          </cell>
          <cell r="AA100">
            <v>0</v>
          </cell>
          <cell r="AB100">
            <v>0</v>
          </cell>
          <cell r="AC100">
            <v>0</v>
          </cell>
          <cell r="AE100">
            <v>0</v>
          </cell>
          <cell r="AF100">
            <v>0</v>
          </cell>
          <cell r="AP100">
            <v>0</v>
          </cell>
          <cell r="AQ100">
            <v>0</v>
          </cell>
          <cell r="AS100">
            <v>0</v>
          </cell>
        </row>
        <row r="101">
          <cell r="U101">
            <v>0</v>
          </cell>
          <cell r="W101">
            <v>0</v>
          </cell>
          <cell r="Y101">
            <v>0</v>
          </cell>
          <cell r="Z101">
            <v>0</v>
          </cell>
          <cell r="AA101">
            <v>0</v>
          </cell>
          <cell r="AB101">
            <v>0</v>
          </cell>
          <cell r="AC101">
            <v>0</v>
          </cell>
          <cell r="AE101">
            <v>0</v>
          </cell>
          <cell r="AF101">
            <v>0</v>
          </cell>
          <cell r="AP101">
            <v>0</v>
          </cell>
          <cell r="AQ101">
            <v>0</v>
          </cell>
          <cell r="AS101">
            <v>0</v>
          </cell>
        </row>
        <row r="102">
          <cell r="U102">
            <v>0</v>
          </cell>
          <cell r="W102">
            <v>0</v>
          </cell>
          <cell r="Y102">
            <v>0</v>
          </cell>
          <cell r="Z102">
            <v>0</v>
          </cell>
          <cell r="AA102">
            <v>0</v>
          </cell>
          <cell r="AB102">
            <v>0</v>
          </cell>
          <cell r="AC102">
            <v>0</v>
          </cell>
          <cell r="AE102">
            <v>0</v>
          </cell>
          <cell r="AF102">
            <v>0</v>
          </cell>
          <cell r="AP102">
            <v>0</v>
          </cell>
          <cell r="AQ102">
            <v>0</v>
          </cell>
          <cell r="AS102">
            <v>0</v>
          </cell>
        </row>
        <row r="103">
          <cell r="U103">
            <v>0</v>
          </cell>
          <cell r="W103">
            <v>0</v>
          </cell>
          <cell r="Y103">
            <v>0</v>
          </cell>
          <cell r="Z103">
            <v>0</v>
          </cell>
          <cell r="AA103">
            <v>0</v>
          </cell>
          <cell r="AB103">
            <v>0</v>
          </cell>
          <cell r="AC103">
            <v>0</v>
          </cell>
          <cell r="AE103">
            <v>0</v>
          </cell>
          <cell r="AF103">
            <v>0</v>
          </cell>
          <cell r="AP103">
            <v>0</v>
          </cell>
          <cell r="AQ103">
            <v>0</v>
          </cell>
          <cell r="AS103">
            <v>0</v>
          </cell>
        </row>
        <row r="104">
          <cell r="U104">
            <v>0</v>
          </cell>
          <cell r="W104">
            <v>0</v>
          </cell>
          <cell r="Y104">
            <v>0</v>
          </cell>
          <cell r="Z104">
            <v>0</v>
          </cell>
          <cell r="AA104">
            <v>0</v>
          </cell>
          <cell r="AB104">
            <v>0</v>
          </cell>
          <cell r="AC104">
            <v>0</v>
          </cell>
          <cell r="AE104">
            <v>0</v>
          </cell>
          <cell r="AF104">
            <v>0</v>
          </cell>
          <cell r="AP104">
            <v>0</v>
          </cell>
          <cell r="AQ104">
            <v>0</v>
          </cell>
          <cell r="AS104">
            <v>0</v>
          </cell>
        </row>
        <row r="105">
          <cell r="U105">
            <v>0</v>
          </cell>
          <cell r="W105">
            <v>0</v>
          </cell>
          <cell r="Y105">
            <v>0</v>
          </cell>
          <cell r="Z105">
            <v>0</v>
          </cell>
          <cell r="AA105">
            <v>0</v>
          </cell>
          <cell r="AB105">
            <v>0</v>
          </cell>
          <cell r="AC105">
            <v>0</v>
          </cell>
          <cell r="AE105">
            <v>0</v>
          </cell>
          <cell r="AF105">
            <v>0</v>
          </cell>
          <cell r="AP105">
            <v>0</v>
          </cell>
          <cell r="AQ105">
            <v>0</v>
          </cell>
          <cell r="AS105">
            <v>0</v>
          </cell>
        </row>
        <row r="106">
          <cell r="U106">
            <v>143986227.24943471</v>
          </cell>
          <cell r="V106">
            <v>4650000</v>
          </cell>
          <cell r="W106">
            <v>2910000</v>
          </cell>
          <cell r="Y106">
            <v>28803234.838032223</v>
          </cell>
          <cell r="Z106">
            <v>6176829.9902737429</v>
          </cell>
          <cell r="AA106">
            <v>5945049.3837977946</v>
          </cell>
          <cell r="AE106">
            <v>0</v>
          </cell>
          <cell r="AH106">
            <v>2000000</v>
          </cell>
          <cell r="AI106">
            <v>300000</v>
          </cell>
          <cell r="AP106">
            <v>340660</v>
          </cell>
          <cell r="AQ106">
            <v>143400</v>
          </cell>
          <cell r="AR106">
            <v>1937718</v>
          </cell>
          <cell r="AS106">
            <v>22200278</v>
          </cell>
        </row>
      </sheetData>
      <sheetData sheetId="2" refreshError="1"/>
      <sheetData sheetId="3" refreshError="1"/>
      <sheetData sheetId="4" refreshError="1"/>
      <sheetData sheetId="5" refreshError="1">
        <row r="2">
          <cell r="E2">
            <v>92</v>
          </cell>
        </row>
      </sheetData>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근로시간산정"/>
      <sheetName val="임금테이블"/>
      <sheetName val="공제내역"/>
      <sheetName val="급여대장"/>
      <sheetName val="급여명세서"/>
      <sheetName val="급여명세서(개인발급용)"/>
      <sheetName val="갑근세2014"/>
      <sheetName val="근로시간분석"/>
      <sheetName val="Sheet1"/>
    </sheetNames>
    <sheetDataSet>
      <sheetData sheetId="0" refreshError="1"/>
      <sheetData sheetId="1" refreshError="1">
        <row r="32">
          <cell r="F32" t="str">
            <v>김종구</v>
          </cell>
          <cell r="G32">
            <v>40179</v>
          </cell>
          <cell r="I32">
            <v>33600000</v>
          </cell>
          <cell r="J32">
            <v>2515000</v>
          </cell>
          <cell r="K32">
            <v>2700000</v>
          </cell>
          <cell r="L32">
            <v>285000</v>
          </cell>
          <cell r="M32">
            <v>2800000</v>
          </cell>
          <cell r="N32">
            <v>1621176.4705882354</v>
          </cell>
          <cell r="O32">
            <v>100000</v>
          </cell>
          <cell r="R32">
            <v>1078823.5294117648</v>
          </cell>
          <cell r="S32">
            <v>0</v>
          </cell>
          <cell r="T32">
            <v>0</v>
          </cell>
          <cell r="U32">
            <v>0</v>
          </cell>
          <cell r="Y32">
            <v>0</v>
          </cell>
          <cell r="Z32">
            <v>7760</v>
          </cell>
          <cell r="AA32">
            <v>8240</v>
          </cell>
          <cell r="AB32">
            <v>65920</v>
          </cell>
        </row>
        <row r="33">
          <cell r="F33" t="str">
            <v>최선복</v>
          </cell>
          <cell r="G33">
            <v>40179</v>
          </cell>
          <cell r="I33">
            <v>30000000</v>
          </cell>
          <cell r="J33">
            <v>2266130</v>
          </cell>
          <cell r="K33">
            <v>2400000</v>
          </cell>
          <cell r="L33">
            <v>233870</v>
          </cell>
          <cell r="M33">
            <v>2500000</v>
          </cell>
          <cell r="N33">
            <v>1436764.705882353</v>
          </cell>
          <cell r="O33">
            <v>100000</v>
          </cell>
          <cell r="R33">
            <v>963235.29411764711</v>
          </cell>
          <cell r="S33">
            <v>0</v>
          </cell>
          <cell r="T33">
            <v>0</v>
          </cell>
          <cell r="U33">
            <v>0</v>
          </cell>
          <cell r="Y33">
            <v>0</v>
          </cell>
          <cell r="Z33">
            <v>6870</v>
          </cell>
          <cell r="AA33">
            <v>7350</v>
          </cell>
          <cell r="AB33">
            <v>58800</v>
          </cell>
        </row>
        <row r="34">
          <cell r="F34" t="str">
            <v>임희선</v>
          </cell>
          <cell r="G34">
            <v>40575</v>
          </cell>
          <cell r="I34">
            <v>18000000</v>
          </cell>
          <cell r="J34">
            <v>1376990</v>
          </cell>
          <cell r="K34">
            <v>1400000</v>
          </cell>
          <cell r="L34">
            <v>123010</v>
          </cell>
          <cell r="M34">
            <v>1500000</v>
          </cell>
          <cell r="N34">
            <v>1400000</v>
          </cell>
          <cell r="O34">
            <v>100000</v>
          </cell>
          <cell r="R34">
            <v>0</v>
          </cell>
          <cell r="S34">
            <v>0</v>
          </cell>
          <cell r="T34">
            <v>0</v>
          </cell>
          <cell r="U34">
            <v>0</v>
          </cell>
          <cell r="Y34">
            <v>0</v>
          </cell>
          <cell r="Z34">
            <v>6700</v>
          </cell>
          <cell r="AA34">
            <v>7180</v>
          </cell>
          <cell r="AB34">
            <v>57440</v>
          </cell>
        </row>
        <row r="35">
          <cell r="F35" t="str">
            <v>전영일</v>
          </cell>
          <cell r="G35">
            <v>40969</v>
          </cell>
          <cell r="I35">
            <v>33600000</v>
          </cell>
          <cell r="J35">
            <v>2515000</v>
          </cell>
          <cell r="K35">
            <v>2700000</v>
          </cell>
          <cell r="L35">
            <v>285000</v>
          </cell>
          <cell r="M35">
            <v>2800000</v>
          </cell>
          <cell r="N35">
            <v>2524215.2466367716</v>
          </cell>
          <cell r="O35">
            <v>100000</v>
          </cell>
          <cell r="R35">
            <v>175784.75336322869</v>
          </cell>
          <cell r="S35">
            <v>0</v>
          </cell>
          <cell r="T35">
            <v>0</v>
          </cell>
          <cell r="U35">
            <v>0</v>
          </cell>
          <cell r="Y35">
            <v>0</v>
          </cell>
          <cell r="Z35">
            <v>12080</v>
          </cell>
          <cell r="AA35">
            <v>12560</v>
          </cell>
          <cell r="AB35">
            <v>100480</v>
          </cell>
        </row>
        <row r="36">
          <cell r="F36" t="str">
            <v>박종훈</v>
          </cell>
          <cell r="G36">
            <v>41122</v>
          </cell>
          <cell r="I36">
            <v>21600000</v>
          </cell>
          <cell r="J36">
            <v>1645100</v>
          </cell>
          <cell r="K36">
            <v>1700000</v>
          </cell>
          <cell r="L36">
            <v>154900</v>
          </cell>
          <cell r="M36">
            <v>1800000</v>
          </cell>
          <cell r="N36">
            <v>1586995.5156950674</v>
          </cell>
          <cell r="O36">
            <v>100000</v>
          </cell>
          <cell r="R36">
            <v>113004.48430493273</v>
          </cell>
          <cell r="S36">
            <v>0</v>
          </cell>
          <cell r="T36">
            <v>0</v>
          </cell>
          <cell r="U36">
            <v>0</v>
          </cell>
          <cell r="Y36">
            <v>0</v>
          </cell>
          <cell r="Z36">
            <v>7590</v>
          </cell>
          <cell r="AA36">
            <v>8070</v>
          </cell>
          <cell r="AB36">
            <v>64560</v>
          </cell>
        </row>
        <row r="37">
          <cell r="F37" t="str">
            <v>박종호</v>
          </cell>
          <cell r="G37">
            <v>41791</v>
          </cell>
          <cell r="I37">
            <v>21600000</v>
          </cell>
          <cell r="J37">
            <v>1645100</v>
          </cell>
          <cell r="K37">
            <v>1700000</v>
          </cell>
          <cell r="L37">
            <v>154900</v>
          </cell>
          <cell r="M37">
            <v>1800000</v>
          </cell>
          <cell r="N37">
            <v>1586995.5156950674</v>
          </cell>
          <cell r="O37">
            <v>100000</v>
          </cell>
          <cell r="R37">
            <v>113004.48430493273</v>
          </cell>
          <cell r="S37">
            <v>0</v>
          </cell>
          <cell r="T37">
            <v>0</v>
          </cell>
          <cell r="U37">
            <v>0</v>
          </cell>
          <cell r="Y37">
            <v>0</v>
          </cell>
          <cell r="Z37">
            <v>7590</v>
          </cell>
          <cell r="AA37">
            <v>8070</v>
          </cell>
          <cell r="AB37">
            <v>64560</v>
          </cell>
        </row>
        <row r="38">
          <cell r="F38" t="str">
            <v>최진화</v>
          </cell>
          <cell r="G38">
            <v>40179</v>
          </cell>
          <cell r="I38">
            <v>18000000</v>
          </cell>
          <cell r="J38">
            <v>1376990</v>
          </cell>
          <cell r="K38">
            <v>1400000</v>
          </cell>
          <cell r="L38">
            <v>123010</v>
          </cell>
          <cell r="M38">
            <v>1500000</v>
          </cell>
          <cell r="N38">
            <v>1400000</v>
          </cell>
          <cell r="O38">
            <v>100000</v>
          </cell>
          <cell r="R38">
            <v>0</v>
          </cell>
          <cell r="S38">
            <v>0</v>
          </cell>
          <cell r="T38">
            <v>0</v>
          </cell>
          <cell r="U38">
            <v>0</v>
          </cell>
          <cell r="Y38">
            <v>0</v>
          </cell>
          <cell r="Z38">
            <v>6700</v>
          </cell>
          <cell r="AA38">
            <v>7180</v>
          </cell>
          <cell r="AB38">
            <v>57440</v>
          </cell>
        </row>
        <row r="39">
          <cell r="F39" t="str">
            <v>최지은</v>
          </cell>
          <cell r="G39">
            <v>41183</v>
          </cell>
          <cell r="I39">
            <v>21600000</v>
          </cell>
          <cell r="J39">
            <v>1645100</v>
          </cell>
          <cell r="K39">
            <v>1700000</v>
          </cell>
          <cell r="L39">
            <v>154900</v>
          </cell>
          <cell r="M39">
            <v>1800000</v>
          </cell>
          <cell r="N39">
            <v>1700000</v>
          </cell>
          <cell r="O39">
            <v>100000</v>
          </cell>
          <cell r="R39">
            <v>0</v>
          </cell>
          <cell r="S39">
            <v>0</v>
          </cell>
          <cell r="T39">
            <v>0</v>
          </cell>
          <cell r="U39">
            <v>0</v>
          </cell>
          <cell r="Y39">
            <v>0</v>
          </cell>
          <cell r="Z39">
            <v>8130</v>
          </cell>
          <cell r="AA39">
            <v>8610</v>
          </cell>
          <cell r="AB39">
            <v>68880</v>
          </cell>
        </row>
        <row r="40">
          <cell r="F40" t="str">
            <v>용경수</v>
          </cell>
          <cell r="I40">
            <v>15600000</v>
          </cell>
          <cell r="J40">
            <v>1197860</v>
          </cell>
          <cell r="K40">
            <v>1200000</v>
          </cell>
          <cell r="L40">
            <v>102140</v>
          </cell>
          <cell r="M40">
            <v>1300000</v>
          </cell>
          <cell r="N40">
            <v>1200000</v>
          </cell>
          <cell r="O40">
            <v>100000</v>
          </cell>
          <cell r="R40">
            <v>0</v>
          </cell>
          <cell r="S40">
            <v>0</v>
          </cell>
          <cell r="T40">
            <v>0</v>
          </cell>
          <cell r="U40">
            <v>0</v>
          </cell>
          <cell r="Y40">
            <v>0</v>
          </cell>
          <cell r="Z40">
            <v>5740</v>
          </cell>
          <cell r="AA40">
            <v>6220</v>
          </cell>
          <cell r="AB40">
            <v>49760</v>
          </cell>
        </row>
        <row r="41">
          <cell r="F41" t="str">
            <v>오명우</v>
          </cell>
          <cell r="G41">
            <v>41791</v>
          </cell>
          <cell r="I41">
            <v>21600000</v>
          </cell>
          <cell r="J41">
            <v>1645100</v>
          </cell>
          <cell r="K41">
            <v>1700000</v>
          </cell>
          <cell r="L41">
            <v>154900</v>
          </cell>
          <cell r="M41">
            <v>1800000</v>
          </cell>
          <cell r="N41">
            <v>1183959.0443686007</v>
          </cell>
          <cell r="O41">
            <v>100000</v>
          </cell>
          <cell r="R41">
            <v>516040.95563139929</v>
          </cell>
          <cell r="S41">
            <v>0</v>
          </cell>
          <cell r="T41">
            <v>0</v>
          </cell>
          <cell r="U41">
            <v>0</v>
          </cell>
          <cell r="Y41">
            <v>0</v>
          </cell>
          <cell r="Z41">
            <v>5660</v>
          </cell>
          <cell r="AA41">
            <v>6140</v>
          </cell>
          <cell r="AB41">
            <v>49120</v>
          </cell>
        </row>
        <row r="42">
          <cell r="F42" t="str">
            <v>A</v>
          </cell>
          <cell r="I42">
            <v>18348000</v>
          </cell>
          <cell r="J42">
            <v>1392460</v>
          </cell>
          <cell r="K42">
            <v>1529000</v>
          </cell>
          <cell r="L42">
            <v>136540</v>
          </cell>
          <cell r="M42">
            <v>1529000</v>
          </cell>
          <cell r="N42">
            <v>1166281.0218978103</v>
          </cell>
          <cell r="R42">
            <v>362718.97810218978</v>
          </cell>
          <cell r="S42">
            <v>0</v>
          </cell>
          <cell r="T42">
            <v>0</v>
          </cell>
          <cell r="U42">
            <v>0</v>
          </cell>
          <cell r="Y42">
            <v>0</v>
          </cell>
          <cell r="Z42">
            <v>5580</v>
          </cell>
          <cell r="AA42">
            <v>5580</v>
          </cell>
          <cell r="AB42">
            <v>44640</v>
          </cell>
        </row>
        <row r="43">
          <cell r="F43" t="str">
            <v>B</v>
          </cell>
          <cell r="I43">
            <v>18348000</v>
          </cell>
          <cell r="J43">
            <v>1392460</v>
          </cell>
          <cell r="K43">
            <v>1529000</v>
          </cell>
          <cell r="L43">
            <v>136540</v>
          </cell>
          <cell r="M43">
            <v>1529000</v>
          </cell>
          <cell r="N43">
            <v>1166281.0218978103</v>
          </cell>
          <cell r="R43">
            <v>362718.97810218978</v>
          </cell>
          <cell r="S43">
            <v>0</v>
          </cell>
          <cell r="T43">
            <v>0</v>
          </cell>
          <cell r="U43">
            <v>0</v>
          </cell>
          <cell r="Y43">
            <v>0</v>
          </cell>
          <cell r="Z43">
            <v>5580</v>
          </cell>
          <cell r="AA43">
            <v>5580</v>
          </cell>
          <cell r="AB43">
            <v>44640</v>
          </cell>
        </row>
        <row r="44">
          <cell r="F44" t="str">
            <v>강귀원</v>
          </cell>
          <cell r="G44">
            <v>40179</v>
          </cell>
          <cell r="I44">
            <v>24000000</v>
          </cell>
          <cell r="J44">
            <v>1823870</v>
          </cell>
          <cell r="K44">
            <v>1900000</v>
          </cell>
          <cell r="L44">
            <v>176130</v>
          </cell>
          <cell r="M44">
            <v>2000000</v>
          </cell>
          <cell r="N44">
            <v>1326621.1604095562</v>
          </cell>
          <cell r="O44">
            <v>100000</v>
          </cell>
          <cell r="R44">
            <v>573378.83959044365</v>
          </cell>
          <cell r="S44">
            <v>0</v>
          </cell>
          <cell r="T44">
            <v>0</v>
          </cell>
          <cell r="U44">
            <v>0</v>
          </cell>
          <cell r="Y44">
            <v>0</v>
          </cell>
          <cell r="Z44">
            <v>6350</v>
          </cell>
          <cell r="AA44">
            <v>6830</v>
          </cell>
          <cell r="AB44">
            <v>54640</v>
          </cell>
        </row>
        <row r="45">
          <cell r="F45" t="str">
            <v>손정숙</v>
          </cell>
          <cell r="G45">
            <v>41334</v>
          </cell>
          <cell r="I45">
            <v>14400000</v>
          </cell>
          <cell r="J45">
            <v>1097860</v>
          </cell>
          <cell r="K45">
            <v>1200000</v>
          </cell>
          <cell r="L45">
            <v>102140</v>
          </cell>
          <cell r="M45">
            <v>1200000</v>
          </cell>
          <cell r="N45">
            <v>1150769.2307692308</v>
          </cell>
          <cell r="R45">
            <v>49230.769230769234</v>
          </cell>
          <cell r="S45">
            <v>0</v>
          </cell>
          <cell r="T45">
            <v>0</v>
          </cell>
          <cell r="U45">
            <v>0</v>
          </cell>
          <cell r="Y45">
            <v>0</v>
          </cell>
          <cell r="Z45">
            <v>6150</v>
          </cell>
          <cell r="AA45">
            <v>6150</v>
          </cell>
          <cell r="AB45">
            <v>49200</v>
          </cell>
        </row>
        <row r="46">
          <cell r="F46" t="str">
            <v>C</v>
          </cell>
          <cell r="I46">
            <v>14400000</v>
          </cell>
          <cell r="J46">
            <v>1097860</v>
          </cell>
          <cell r="K46">
            <v>1200000</v>
          </cell>
          <cell r="L46">
            <v>102140</v>
          </cell>
          <cell r="M46">
            <v>1200000</v>
          </cell>
          <cell r="N46">
            <v>1116417.9104477612</v>
          </cell>
          <cell r="R46">
            <v>83582.089552238802</v>
          </cell>
          <cell r="S46">
            <v>0</v>
          </cell>
          <cell r="T46">
            <v>0</v>
          </cell>
          <cell r="U46">
            <v>0</v>
          </cell>
          <cell r="Y46">
            <v>0</v>
          </cell>
          <cell r="Z46">
            <v>5970</v>
          </cell>
          <cell r="AA46">
            <v>5970</v>
          </cell>
          <cell r="AB46">
            <v>47760</v>
          </cell>
        </row>
        <row r="47">
          <cell r="F47" t="str">
            <v>김권욱</v>
          </cell>
          <cell r="G47">
            <v>41730</v>
          </cell>
          <cell r="I47">
            <v>21312000</v>
          </cell>
          <cell r="J47">
            <v>1623790</v>
          </cell>
          <cell r="K47">
            <v>1676000</v>
          </cell>
          <cell r="L47">
            <v>152210</v>
          </cell>
          <cell r="M47">
            <v>1776000</v>
          </cell>
          <cell r="N47">
            <v>1166839.5904436859</v>
          </cell>
          <cell r="O47">
            <v>100000</v>
          </cell>
          <cell r="R47">
            <v>509160.409556314</v>
          </cell>
          <cell r="S47">
            <v>0</v>
          </cell>
          <cell r="T47">
            <v>0</v>
          </cell>
          <cell r="U47">
            <v>0</v>
          </cell>
          <cell r="Y47">
            <v>0</v>
          </cell>
          <cell r="Z47">
            <v>5580</v>
          </cell>
          <cell r="AA47">
            <v>6060</v>
          </cell>
          <cell r="AB47">
            <v>48480</v>
          </cell>
        </row>
        <row r="48">
          <cell r="F48" t="str">
            <v>문희숙</v>
          </cell>
          <cell r="G48">
            <v>41275</v>
          </cell>
          <cell r="I48">
            <v>18756000</v>
          </cell>
          <cell r="J48">
            <v>1422720</v>
          </cell>
          <cell r="K48">
            <v>1563000</v>
          </cell>
          <cell r="L48">
            <v>140280</v>
          </cell>
          <cell r="M48">
            <v>1563000</v>
          </cell>
          <cell r="N48">
            <v>1166667.8571428573</v>
          </cell>
          <cell r="R48">
            <v>396332.14285714284</v>
          </cell>
          <cell r="S48">
            <v>0</v>
          </cell>
          <cell r="T48">
            <v>0</v>
          </cell>
          <cell r="U48">
            <v>0</v>
          </cell>
          <cell r="Y48">
            <v>0</v>
          </cell>
          <cell r="Z48">
            <v>5580</v>
          </cell>
          <cell r="AA48">
            <v>5580</v>
          </cell>
          <cell r="AB48">
            <v>44640</v>
          </cell>
        </row>
        <row r="49">
          <cell r="F49" t="str">
            <v>방승권</v>
          </cell>
          <cell r="G49">
            <v>41275</v>
          </cell>
          <cell r="I49">
            <v>18756000</v>
          </cell>
          <cell r="J49">
            <v>1422720</v>
          </cell>
          <cell r="K49">
            <v>1563000</v>
          </cell>
          <cell r="L49">
            <v>140280</v>
          </cell>
          <cell r="M49">
            <v>1563000</v>
          </cell>
          <cell r="N49">
            <v>1166667.8571428573</v>
          </cell>
          <cell r="R49">
            <v>396332.14285714284</v>
          </cell>
          <cell r="S49">
            <v>0</v>
          </cell>
          <cell r="T49">
            <v>0</v>
          </cell>
          <cell r="U49">
            <v>0</v>
          </cell>
          <cell r="Y49">
            <v>0</v>
          </cell>
          <cell r="Z49">
            <v>5580</v>
          </cell>
          <cell r="AA49">
            <v>5580</v>
          </cell>
          <cell r="AB49">
            <v>44640</v>
          </cell>
        </row>
        <row r="50">
          <cell r="F50" t="str">
            <v>김미임</v>
          </cell>
          <cell r="G50">
            <v>41306</v>
          </cell>
          <cell r="I50">
            <v>21600000</v>
          </cell>
          <cell r="J50">
            <v>1645100</v>
          </cell>
          <cell r="K50">
            <v>1700000</v>
          </cell>
          <cell r="L50">
            <v>154900</v>
          </cell>
          <cell r="M50">
            <v>1800000</v>
          </cell>
          <cell r="N50">
            <v>1183959.0443686007</v>
          </cell>
          <cell r="O50">
            <v>100000</v>
          </cell>
          <cell r="R50">
            <v>516040.95563139929</v>
          </cell>
          <cell r="S50">
            <v>0</v>
          </cell>
          <cell r="T50">
            <v>0</v>
          </cell>
          <cell r="U50">
            <v>0</v>
          </cell>
          <cell r="Y50">
            <v>0</v>
          </cell>
          <cell r="Z50">
            <v>5660</v>
          </cell>
          <cell r="AA50">
            <v>6140</v>
          </cell>
          <cell r="AB50">
            <v>49120</v>
          </cell>
        </row>
        <row r="51">
          <cell r="F51" t="str">
            <v>조영숙</v>
          </cell>
          <cell r="G51">
            <v>41456</v>
          </cell>
          <cell r="I51">
            <v>20964000</v>
          </cell>
          <cell r="J51">
            <v>1587280</v>
          </cell>
          <cell r="K51">
            <v>1747000</v>
          </cell>
          <cell r="L51">
            <v>159720</v>
          </cell>
          <cell r="M51">
            <v>1747000</v>
          </cell>
          <cell r="N51">
            <v>1166527.1565495208</v>
          </cell>
          <cell r="R51">
            <v>580472.84345047921</v>
          </cell>
          <cell r="S51">
            <v>0</v>
          </cell>
          <cell r="T51">
            <v>0</v>
          </cell>
          <cell r="U51">
            <v>0</v>
          </cell>
          <cell r="Y51">
            <v>0</v>
          </cell>
          <cell r="Z51">
            <v>5580</v>
          </cell>
          <cell r="AA51">
            <v>5580</v>
          </cell>
          <cell r="AB51">
            <v>44640</v>
          </cell>
        </row>
        <row r="52">
          <cell r="F52" t="str">
            <v>김성희</v>
          </cell>
          <cell r="G52">
            <v>41426</v>
          </cell>
          <cell r="I52">
            <v>19200000</v>
          </cell>
          <cell r="J52">
            <v>1455710</v>
          </cell>
          <cell r="K52">
            <v>1600000</v>
          </cell>
          <cell r="L52">
            <v>144290</v>
          </cell>
          <cell r="M52">
            <v>1600000</v>
          </cell>
          <cell r="N52">
            <v>1181625.4416961132</v>
          </cell>
          <cell r="R52">
            <v>418374.55830388697</v>
          </cell>
          <cell r="S52">
            <v>0</v>
          </cell>
          <cell r="T52">
            <v>0</v>
          </cell>
          <cell r="U52">
            <v>0</v>
          </cell>
          <cell r="Y52">
            <v>0</v>
          </cell>
          <cell r="Z52">
            <v>5650</v>
          </cell>
          <cell r="AA52">
            <v>5650</v>
          </cell>
          <cell r="AB52">
            <v>45200</v>
          </cell>
        </row>
        <row r="53">
          <cell r="F53" t="str">
            <v>이정화</v>
          </cell>
          <cell r="G53">
            <v>41579</v>
          </cell>
          <cell r="I53">
            <v>19200000</v>
          </cell>
          <cell r="J53">
            <v>1455710</v>
          </cell>
          <cell r="K53">
            <v>1600000</v>
          </cell>
          <cell r="L53">
            <v>144290</v>
          </cell>
          <cell r="M53">
            <v>1600000</v>
          </cell>
          <cell r="N53">
            <v>1181625.4416961132</v>
          </cell>
          <cell r="R53">
            <v>418374.55830388697</v>
          </cell>
          <cell r="S53">
            <v>0</v>
          </cell>
          <cell r="T53">
            <v>0</v>
          </cell>
          <cell r="U53">
            <v>0</v>
          </cell>
          <cell r="Y53">
            <v>0</v>
          </cell>
          <cell r="Z53">
            <v>5650</v>
          </cell>
          <cell r="AA53">
            <v>5650</v>
          </cell>
          <cell r="AB53">
            <v>45200</v>
          </cell>
        </row>
        <row r="54">
          <cell r="F54" t="str">
            <v>문만숙</v>
          </cell>
          <cell r="G54">
            <v>41791</v>
          </cell>
          <cell r="I54">
            <v>19200000</v>
          </cell>
          <cell r="J54">
            <v>1455710</v>
          </cell>
          <cell r="K54">
            <v>1600000</v>
          </cell>
          <cell r="L54">
            <v>144290</v>
          </cell>
          <cell r="M54">
            <v>1600000</v>
          </cell>
          <cell r="N54">
            <v>1181625.4416961132</v>
          </cell>
          <cell r="R54">
            <v>418374.55830388697</v>
          </cell>
          <cell r="S54">
            <v>0</v>
          </cell>
          <cell r="T54">
            <v>0</v>
          </cell>
          <cell r="U54">
            <v>0</v>
          </cell>
          <cell r="Y54">
            <v>0</v>
          </cell>
          <cell r="Z54">
            <v>5650</v>
          </cell>
          <cell r="AA54">
            <v>5650</v>
          </cell>
          <cell r="AB54">
            <v>45200</v>
          </cell>
        </row>
        <row r="55">
          <cell r="F55" t="str">
            <v>D</v>
          </cell>
          <cell r="G55">
            <v>41275</v>
          </cell>
          <cell r="I55">
            <v>24000000</v>
          </cell>
          <cell r="J55">
            <v>1823870</v>
          </cell>
          <cell r="K55">
            <v>1900000</v>
          </cell>
          <cell r="L55">
            <v>176130</v>
          </cell>
          <cell r="M55">
            <v>2000000</v>
          </cell>
          <cell r="N55">
            <v>1326621.1604095562</v>
          </cell>
          <cell r="O55">
            <v>100000</v>
          </cell>
          <cell r="R55">
            <v>573378.83959044365</v>
          </cell>
          <cell r="S55">
            <v>0</v>
          </cell>
          <cell r="T55">
            <v>0</v>
          </cell>
          <cell r="U55">
            <v>0</v>
          </cell>
          <cell r="Y55">
            <v>0</v>
          </cell>
          <cell r="Z55">
            <v>6350</v>
          </cell>
          <cell r="AA55">
            <v>6830</v>
          </cell>
          <cell r="AB55">
            <v>54640</v>
          </cell>
        </row>
        <row r="56">
          <cell r="F56" t="str">
            <v>전금녀</v>
          </cell>
          <cell r="G56">
            <v>41791</v>
          </cell>
          <cell r="I56">
            <v>18552000</v>
          </cell>
          <cell r="J56">
            <v>1407580</v>
          </cell>
          <cell r="K56">
            <v>1546000</v>
          </cell>
          <cell r="L56">
            <v>138420</v>
          </cell>
          <cell r="M56">
            <v>1546000</v>
          </cell>
          <cell r="N56">
            <v>1166476.5342960288</v>
          </cell>
          <cell r="R56">
            <v>379523.4657039711</v>
          </cell>
          <cell r="S56">
            <v>0</v>
          </cell>
          <cell r="T56">
            <v>0</v>
          </cell>
          <cell r="U56">
            <v>0</v>
          </cell>
          <cell r="Y56">
            <v>0</v>
          </cell>
          <cell r="Z56">
            <v>5580</v>
          </cell>
          <cell r="AA56">
            <v>5580</v>
          </cell>
          <cell r="AB56">
            <v>44640</v>
          </cell>
        </row>
        <row r="57">
          <cell r="F57" t="str">
            <v>E</v>
          </cell>
          <cell r="I57">
            <v>18552000</v>
          </cell>
          <cell r="J57">
            <v>1407580</v>
          </cell>
          <cell r="K57">
            <v>1546000</v>
          </cell>
          <cell r="L57">
            <v>138420</v>
          </cell>
          <cell r="M57">
            <v>1546000</v>
          </cell>
          <cell r="N57">
            <v>1166476.5342960288</v>
          </cell>
          <cell r="R57">
            <v>379523.4657039711</v>
          </cell>
          <cell r="S57">
            <v>0</v>
          </cell>
          <cell r="T57">
            <v>0</v>
          </cell>
          <cell r="U57">
            <v>0</v>
          </cell>
          <cell r="Z57">
            <v>5580</v>
          </cell>
          <cell r="AA57">
            <v>5580</v>
          </cell>
          <cell r="AB57">
            <v>44640</v>
          </cell>
        </row>
        <row r="58">
          <cell r="F58" t="str">
            <v>F</v>
          </cell>
          <cell r="I58">
            <v>24000000</v>
          </cell>
          <cell r="J58">
            <v>1813250</v>
          </cell>
          <cell r="K58">
            <v>2000000</v>
          </cell>
          <cell r="L58">
            <v>186750</v>
          </cell>
          <cell r="M58">
            <v>2000000</v>
          </cell>
          <cell r="N58">
            <v>1259036.1445783132</v>
          </cell>
          <cell r="R58">
            <v>740963.85542168678</v>
          </cell>
          <cell r="S58">
            <v>0</v>
          </cell>
          <cell r="T58">
            <v>0</v>
          </cell>
          <cell r="U58">
            <v>0</v>
          </cell>
          <cell r="Y58">
            <v>0</v>
          </cell>
          <cell r="Z58">
            <v>6020</v>
          </cell>
          <cell r="AA58">
            <v>6020</v>
          </cell>
          <cell r="AB58">
            <v>48160</v>
          </cell>
        </row>
        <row r="59">
          <cell r="F59" t="str">
            <v>최기매</v>
          </cell>
          <cell r="G59">
            <v>41730</v>
          </cell>
          <cell r="I59">
            <v>18348000</v>
          </cell>
          <cell r="J59">
            <v>1392460</v>
          </cell>
          <cell r="K59">
            <v>1529000</v>
          </cell>
          <cell r="L59">
            <v>136540</v>
          </cell>
          <cell r="M59">
            <v>1529000</v>
          </cell>
          <cell r="N59">
            <v>1166281.0218978103</v>
          </cell>
          <cell r="R59">
            <v>362718.97810218978</v>
          </cell>
          <cell r="S59">
            <v>0</v>
          </cell>
          <cell r="T59">
            <v>0</v>
          </cell>
          <cell r="U59">
            <v>0</v>
          </cell>
          <cell r="Y59">
            <v>0</v>
          </cell>
          <cell r="Z59">
            <v>5580</v>
          </cell>
          <cell r="AA59">
            <v>5580</v>
          </cell>
          <cell r="AB59">
            <v>44640</v>
          </cell>
        </row>
        <row r="60">
          <cell r="F60" t="str">
            <v>김옥자</v>
          </cell>
          <cell r="G60" t="str">
            <v>2013-10-36</v>
          </cell>
          <cell r="I60">
            <v>18348000</v>
          </cell>
          <cell r="J60">
            <v>1392460</v>
          </cell>
          <cell r="K60">
            <v>1529000</v>
          </cell>
          <cell r="L60">
            <v>136540</v>
          </cell>
          <cell r="M60">
            <v>1529000</v>
          </cell>
          <cell r="N60">
            <v>1166281.0218978103</v>
          </cell>
          <cell r="R60">
            <v>362718.97810218978</v>
          </cell>
          <cell r="S60">
            <v>0</v>
          </cell>
          <cell r="T60">
            <v>0</v>
          </cell>
          <cell r="U60">
            <v>0</v>
          </cell>
          <cell r="Y60">
            <v>0</v>
          </cell>
          <cell r="Z60">
            <v>5580</v>
          </cell>
          <cell r="AA60">
            <v>5580</v>
          </cell>
          <cell r="AB60">
            <v>44640</v>
          </cell>
        </row>
        <row r="61">
          <cell r="F61" t="str">
            <v>G</v>
          </cell>
          <cell r="I61">
            <v>21600000</v>
          </cell>
          <cell r="J61">
            <v>1645100</v>
          </cell>
          <cell r="K61">
            <v>1700000</v>
          </cell>
          <cell r="L61">
            <v>154900</v>
          </cell>
          <cell r="M61">
            <v>1800000</v>
          </cell>
          <cell r="N61">
            <v>1183959.0443686007</v>
          </cell>
          <cell r="O61">
            <v>100000</v>
          </cell>
          <cell r="R61">
            <v>516040.95563139929</v>
          </cell>
          <cell r="S61">
            <v>0</v>
          </cell>
          <cell r="T61">
            <v>0</v>
          </cell>
          <cell r="U61">
            <v>0</v>
          </cell>
          <cell r="Y61">
            <v>0</v>
          </cell>
          <cell r="Z61">
            <v>5660</v>
          </cell>
          <cell r="AA61">
            <v>6140</v>
          </cell>
          <cell r="AB61">
            <v>49120</v>
          </cell>
        </row>
        <row r="62">
          <cell r="F62" t="str">
            <v>H</v>
          </cell>
          <cell r="I62">
            <v>21036000</v>
          </cell>
          <cell r="J62">
            <v>1592550</v>
          </cell>
          <cell r="K62">
            <v>1753000</v>
          </cell>
          <cell r="L62">
            <v>160450</v>
          </cell>
          <cell r="M62">
            <v>1753000</v>
          </cell>
          <cell r="N62">
            <v>1166805.7324840764</v>
          </cell>
          <cell r="R62">
            <v>586194.26751592348</v>
          </cell>
          <cell r="S62">
            <v>0</v>
          </cell>
          <cell r="T62">
            <v>0</v>
          </cell>
          <cell r="U62">
            <v>0</v>
          </cell>
          <cell r="Y62">
            <v>0</v>
          </cell>
          <cell r="Z62">
            <v>5580</v>
          </cell>
          <cell r="AA62">
            <v>5580</v>
          </cell>
          <cell r="AB62">
            <v>44640</v>
          </cell>
        </row>
        <row r="63">
          <cell r="F63" t="str">
            <v>I</v>
          </cell>
          <cell r="I63">
            <v>18000000</v>
          </cell>
          <cell r="J63">
            <v>1376990</v>
          </cell>
          <cell r="K63">
            <v>1400000</v>
          </cell>
          <cell r="L63">
            <v>123010</v>
          </cell>
          <cell r="M63">
            <v>1500000</v>
          </cell>
          <cell r="N63">
            <v>1228389.8305084745</v>
          </cell>
          <cell r="O63">
            <v>100000</v>
          </cell>
          <cell r="R63">
            <v>171610.16949152542</v>
          </cell>
          <cell r="S63">
            <v>0</v>
          </cell>
          <cell r="T63">
            <v>0</v>
          </cell>
          <cell r="U63">
            <v>0</v>
          </cell>
          <cell r="Y63">
            <v>0</v>
          </cell>
          <cell r="Z63">
            <v>5880</v>
          </cell>
          <cell r="AA63">
            <v>6360</v>
          </cell>
          <cell r="AB63">
            <v>50880</v>
          </cell>
        </row>
      </sheetData>
      <sheetData sheetId="2" refreshError="1">
        <row r="10">
          <cell r="B10" t="str">
            <v>김종구</v>
          </cell>
          <cell r="C10">
            <v>1</v>
          </cell>
          <cell r="E10">
            <v>2700000</v>
          </cell>
          <cell r="F10">
            <v>54370</v>
          </cell>
          <cell r="G10">
            <v>5430</v>
          </cell>
          <cell r="H10">
            <v>80860</v>
          </cell>
          <cell r="I10">
            <v>5290</v>
          </cell>
          <cell r="J10">
            <v>121500</v>
          </cell>
          <cell r="K10">
            <v>17550</v>
          </cell>
          <cell r="N10">
            <v>285000</v>
          </cell>
        </row>
        <row r="11">
          <cell r="B11" t="str">
            <v>최선복</v>
          </cell>
          <cell r="C11">
            <v>1</v>
          </cell>
          <cell r="E11">
            <v>2400000</v>
          </cell>
          <cell r="F11">
            <v>30630</v>
          </cell>
          <cell r="G11">
            <v>3060</v>
          </cell>
          <cell r="H11">
            <v>71880</v>
          </cell>
          <cell r="I11">
            <v>4700</v>
          </cell>
          <cell r="J11">
            <v>108000</v>
          </cell>
          <cell r="K11">
            <v>15600</v>
          </cell>
          <cell r="N11">
            <v>233870</v>
          </cell>
        </row>
        <row r="12">
          <cell r="B12" t="str">
            <v>임희선</v>
          </cell>
          <cell r="C12">
            <v>1</v>
          </cell>
          <cell r="E12">
            <v>1400000</v>
          </cell>
          <cell r="F12">
            <v>5680</v>
          </cell>
          <cell r="G12">
            <v>560</v>
          </cell>
          <cell r="H12">
            <v>41930</v>
          </cell>
          <cell r="I12">
            <v>2740</v>
          </cell>
          <cell r="J12">
            <v>63000</v>
          </cell>
          <cell r="K12">
            <v>9100</v>
          </cell>
          <cell r="N12">
            <v>123010</v>
          </cell>
        </row>
        <row r="13">
          <cell r="B13" t="str">
            <v>전영일</v>
          </cell>
          <cell r="C13">
            <v>1</v>
          </cell>
          <cell r="E13">
            <v>2700000</v>
          </cell>
          <cell r="F13">
            <v>54370</v>
          </cell>
          <cell r="G13">
            <v>5430</v>
          </cell>
          <cell r="H13">
            <v>80860</v>
          </cell>
          <cell r="I13">
            <v>5290</v>
          </cell>
          <cell r="J13">
            <v>121500</v>
          </cell>
          <cell r="K13">
            <v>17550</v>
          </cell>
          <cell r="N13">
            <v>285000</v>
          </cell>
        </row>
        <row r="14">
          <cell r="B14" t="str">
            <v>박종훈</v>
          </cell>
          <cell r="C14">
            <v>1</v>
          </cell>
          <cell r="E14">
            <v>1700000</v>
          </cell>
          <cell r="F14">
            <v>11920</v>
          </cell>
          <cell r="G14">
            <v>1190</v>
          </cell>
          <cell r="H14">
            <v>50910</v>
          </cell>
          <cell r="I14">
            <v>3330</v>
          </cell>
          <cell r="J14">
            <v>76500</v>
          </cell>
          <cell r="K14">
            <v>11050</v>
          </cell>
          <cell r="N14">
            <v>154900</v>
          </cell>
        </row>
        <row r="15">
          <cell r="B15" t="str">
            <v>박종호</v>
          </cell>
          <cell r="C15">
            <v>1</v>
          </cell>
          <cell r="E15">
            <v>1700000</v>
          </cell>
          <cell r="F15">
            <v>11920</v>
          </cell>
          <cell r="G15">
            <v>1190</v>
          </cell>
          <cell r="H15">
            <v>50910</v>
          </cell>
          <cell r="I15">
            <v>3330</v>
          </cell>
          <cell r="J15">
            <v>76500</v>
          </cell>
          <cell r="K15">
            <v>11050</v>
          </cell>
          <cell r="N15">
            <v>154900</v>
          </cell>
        </row>
        <row r="16">
          <cell r="B16" t="str">
            <v>최진화</v>
          </cell>
          <cell r="C16">
            <v>1</v>
          </cell>
          <cell r="E16">
            <v>1400000</v>
          </cell>
          <cell r="F16">
            <v>5680</v>
          </cell>
          <cell r="G16">
            <v>560</v>
          </cell>
          <cell r="H16">
            <v>41930</v>
          </cell>
          <cell r="I16">
            <v>2740</v>
          </cell>
          <cell r="J16">
            <v>63000</v>
          </cell>
          <cell r="K16">
            <v>9100</v>
          </cell>
          <cell r="N16">
            <v>123010</v>
          </cell>
        </row>
        <row r="17">
          <cell r="B17" t="str">
            <v>최지은</v>
          </cell>
          <cell r="C17">
            <v>1</v>
          </cell>
          <cell r="E17">
            <v>1700000</v>
          </cell>
          <cell r="F17">
            <v>11920</v>
          </cell>
          <cell r="G17">
            <v>1190</v>
          </cell>
          <cell r="H17">
            <v>50910</v>
          </cell>
          <cell r="I17">
            <v>3330</v>
          </cell>
          <cell r="J17">
            <v>76500</v>
          </cell>
          <cell r="K17">
            <v>11050</v>
          </cell>
          <cell r="N17">
            <v>154900</v>
          </cell>
        </row>
        <row r="18">
          <cell r="B18" t="str">
            <v>용경수</v>
          </cell>
          <cell r="C18">
            <v>1</v>
          </cell>
          <cell r="E18">
            <v>1200000</v>
          </cell>
          <cell r="F18">
            <v>1870</v>
          </cell>
          <cell r="G18">
            <v>180</v>
          </cell>
          <cell r="H18">
            <v>35940</v>
          </cell>
          <cell r="I18">
            <v>2350</v>
          </cell>
          <cell r="J18">
            <v>54000</v>
          </cell>
          <cell r="K18">
            <v>7800</v>
          </cell>
          <cell r="N18">
            <v>102140</v>
          </cell>
        </row>
        <row r="19">
          <cell r="B19" t="str">
            <v>오명우</v>
          </cell>
          <cell r="C19">
            <v>1</v>
          </cell>
          <cell r="E19">
            <v>1700000</v>
          </cell>
          <cell r="F19">
            <v>11920</v>
          </cell>
          <cell r="G19">
            <v>1190</v>
          </cell>
          <cell r="H19">
            <v>50910</v>
          </cell>
          <cell r="I19">
            <v>3330</v>
          </cell>
          <cell r="J19">
            <v>76500</v>
          </cell>
          <cell r="K19">
            <v>11050</v>
          </cell>
          <cell r="N19">
            <v>154900</v>
          </cell>
        </row>
        <row r="20">
          <cell r="B20" t="str">
            <v>A</v>
          </cell>
          <cell r="C20">
            <v>1</v>
          </cell>
          <cell r="E20">
            <v>1529000</v>
          </cell>
          <cell r="F20">
            <v>8210</v>
          </cell>
          <cell r="G20">
            <v>820</v>
          </cell>
          <cell r="H20">
            <v>45790</v>
          </cell>
          <cell r="I20">
            <v>2990</v>
          </cell>
          <cell r="J20">
            <v>68800</v>
          </cell>
          <cell r="K20">
            <v>9930</v>
          </cell>
          <cell r="N20">
            <v>136540</v>
          </cell>
        </row>
        <row r="21">
          <cell r="B21" t="str">
            <v>B</v>
          </cell>
          <cell r="C21">
            <v>1</v>
          </cell>
          <cell r="E21">
            <v>1529000</v>
          </cell>
          <cell r="F21">
            <v>8210</v>
          </cell>
          <cell r="G21">
            <v>820</v>
          </cell>
          <cell r="H21">
            <v>45790</v>
          </cell>
          <cell r="I21">
            <v>2990</v>
          </cell>
          <cell r="J21">
            <v>68800</v>
          </cell>
          <cell r="K21">
            <v>9930</v>
          </cell>
          <cell r="N21">
            <v>136540</v>
          </cell>
        </row>
        <row r="22">
          <cell r="B22" t="str">
            <v>강귀원</v>
          </cell>
          <cell r="C22">
            <v>1</v>
          </cell>
          <cell r="E22">
            <v>1900000</v>
          </cell>
          <cell r="F22">
            <v>16060</v>
          </cell>
          <cell r="G22">
            <v>1600</v>
          </cell>
          <cell r="H22">
            <v>56900</v>
          </cell>
          <cell r="I22">
            <v>3720</v>
          </cell>
          <cell r="J22">
            <v>85500</v>
          </cell>
          <cell r="K22">
            <v>12350</v>
          </cell>
          <cell r="N22">
            <v>176130</v>
          </cell>
        </row>
        <row r="23">
          <cell r="B23" t="str">
            <v>손정숙</v>
          </cell>
          <cell r="C23">
            <v>1</v>
          </cell>
          <cell r="E23">
            <v>1200000</v>
          </cell>
          <cell r="F23">
            <v>1870</v>
          </cell>
          <cell r="G23">
            <v>180</v>
          </cell>
          <cell r="H23">
            <v>35940</v>
          </cell>
          <cell r="I23">
            <v>2350</v>
          </cell>
          <cell r="J23">
            <v>54000</v>
          </cell>
          <cell r="K23">
            <v>7800</v>
          </cell>
          <cell r="N23">
            <v>102140</v>
          </cell>
        </row>
        <row r="24">
          <cell r="B24" t="str">
            <v>C</v>
          </cell>
          <cell r="C24">
            <v>1</v>
          </cell>
          <cell r="E24">
            <v>1200000</v>
          </cell>
          <cell r="F24">
            <v>1870</v>
          </cell>
          <cell r="G24">
            <v>180</v>
          </cell>
          <cell r="H24">
            <v>35940</v>
          </cell>
          <cell r="I24">
            <v>2350</v>
          </cell>
          <cell r="J24">
            <v>54000</v>
          </cell>
          <cell r="K24">
            <v>7800</v>
          </cell>
          <cell r="N24">
            <v>102140</v>
          </cell>
        </row>
        <row r="25">
          <cell r="B25" t="str">
            <v>김권욱</v>
          </cell>
          <cell r="C25">
            <v>1</v>
          </cell>
          <cell r="E25">
            <v>1676000</v>
          </cell>
          <cell r="F25">
            <v>11300</v>
          </cell>
          <cell r="G25">
            <v>1130</v>
          </cell>
          <cell r="H25">
            <v>50190</v>
          </cell>
          <cell r="I25">
            <v>3280</v>
          </cell>
          <cell r="J25">
            <v>75420</v>
          </cell>
          <cell r="K25">
            <v>10890</v>
          </cell>
          <cell r="N25">
            <v>152210</v>
          </cell>
        </row>
        <row r="26">
          <cell r="B26" t="str">
            <v>문희숙</v>
          </cell>
          <cell r="C26">
            <v>1</v>
          </cell>
          <cell r="E26">
            <v>1563000</v>
          </cell>
          <cell r="F26">
            <v>9030</v>
          </cell>
          <cell r="G26">
            <v>900</v>
          </cell>
          <cell r="H26">
            <v>46810</v>
          </cell>
          <cell r="I26">
            <v>3060</v>
          </cell>
          <cell r="J26">
            <v>70330</v>
          </cell>
          <cell r="K26">
            <v>10150</v>
          </cell>
          <cell r="N26">
            <v>140280</v>
          </cell>
        </row>
        <row r="27">
          <cell r="B27" t="str">
            <v>방승권</v>
          </cell>
          <cell r="C27">
            <v>1</v>
          </cell>
          <cell r="E27">
            <v>1563000</v>
          </cell>
          <cell r="F27">
            <v>9030</v>
          </cell>
          <cell r="G27">
            <v>900</v>
          </cell>
          <cell r="H27">
            <v>46810</v>
          </cell>
          <cell r="I27">
            <v>3060</v>
          </cell>
          <cell r="J27">
            <v>70330</v>
          </cell>
          <cell r="K27">
            <v>10150</v>
          </cell>
          <cell r="N27">
            <v>140280</v>
          </cell>
        </row>
        <row r="28">
          <cell r="B28" t="str">
            <v>김미임</v>
          </cell>
          <cell r="C28">
            <v>1</v>
          </cell>
          <cell r="E28">
            <v>1700000</v>
          </cell>
          <cell r="F28">
            <v>11920</v>
          </cell>
          <cell r="G28">
            <v>1190</v>
          </cell>
          <cell r="H28">
            <v>50910</v>
          </cell>
          <cell r="I28">
            <v>3330</v>
          </cell>
          <cell r="J28">
            <v>76500</v>
          </cell>
          <cell r="K28">
            <v>11050</v>
          </cell>
          <cell r="N28">
            <v>154900</v>
          </cell>
        </row>
        <row r="29">
          <cell r="B29" t="str">
            <v>조영숙</v>
          </cell>
          <cell r="C29">
            <v>1</v>
          </cell>
          <cell r="E29">
            <v>1747000</v>
          </cell>
          <cell r="F29">
            <v>12750</v>
          </cell>
          <cell r="G29">
            <v>1270</v>
          </cell>
          <cell r="H29">
            <v>52320</v>
          </cell>
          <cell r="I29">
            <v>3420</v>
          </cell>
          <cell r="J29">
            <v>78610</v>
          </cell>
          <cell r="K29">
            <v>11350</v>
          </cell>
          <cell r="N29">
            <v>159720</v>
          </cell>
        </row>
        <row r="30">
          <cell r="B30" t="str">
            <v>김성희</v>
          </cell>
          <cell r="C30">
            <v>1</v>
          </cell>
          <cell r="E30">
            <v>1600000</v>
          </cell>
          <cell r="F30">
            <v>9860</v>
          </cell>
          <cell r="G30">
            <v>980</v>
          </cell>
          <cell r="H30">
            <v>47920</v>
          </cell>
          <cell r="I30">
            <v>3130</v>
          </cell>
          <cell r="J30">
            <v>72000</v>
          </cell>
          <cell r="K30">
            <v>10400</v>
          </cell>
          <cell r="N30">
            <v>144290</v>
          </cell>
        </row>
        <row r="31">
          <cell r="B31" t="str">
            <v>이정화</v>
          </cell>
          <cell r="C31">
            <v>1</v>
          </cell>
          <cell r="E31">
            <v>1600000</v>
          </cell>
          <cell r="F31">
            <v>9860</v>
          </cell>
          <cell r="G31">
            <v>980</v>
          </cell>
          <cell r="H31">
            <v>47920</v>
          </cell>
          <cell r="I31">
            <v>3130</v>
          </cell>
          <cell r="J31">
            <v>72000</v>
          </cell>
          <cell r="K31">
            <v>10400</v>
          </cell>
          <cell r="N31">
            <v>144290</v>
          </cell>
        </row>
        <row r="32">
          <cell r="B32" t="str">
            <v>문만숙</v>
          </cell>
          <cell r="C32">
            <v>1</v>
          </cell>
          <cell r="E32">
            <v>1600000</v>
          </cell>
          <cell r="F32">
            <v>9860</v>
          </cell>
          <cell r="G32">
            <v>980</v>
          </cell>
          <cell r="H32">
            <v>47920</v>
          </cell>
          <cell r="I32">
            <v>3130</v>
          </cell>
          <cell r="J32">
            <v>72000</v>
          </cell>
          <cell r="K32">
            <v>10400</v>
          </cell>
          <cell r="N32">
            <v>144290</v>
          </cell>
        </row>
        <row r="33">
          <cell r="B33" t="str">
            <v>D</v>
          </cell>
          <cell r="C33">
            <v>1</v>
          </cell>
          <cell r="E33">
            <v>1900000</v>
          </cell>
          <cell r="F33">
            <v>16060</v>
          </cell>
          <cell r="G33">
            <v>1600</v>
          </cell>
          <cell r="H33">
            <v>56900</v>
          </cell>
          <cell r="I33">
            <v>3720</v>
          </cell>
          <cell r="J33">
            <v>85500</v>
          </cell>
          <cell r="K33">
            <v>12350</v>
          </cell>
          <cell r="N33">
            <v>176130</v>
          </cell>
        </row>
        <row r="34">
          <cell r="B34" t="str">
            <v>전금녀</v>
          </cell>
          <cell r="C34">
            <v>1</v>
          </cell>
          <cell r="E34">
            <v>1546000</v>
          </cell>
          <cell r="F34">
            <v>8620</v>
          </cell>
          <cell r="G34">
            <v>860</v>
          </cell>
          <cell r="H34">
            <v>46300</v>
          </cell>
          <cell r="I34">
            <v>3030</v>
          </cell>
          <cell r="J34">
            <v>69570</v>
          </cell>
          <cell r="K34">
            <v>10040</v>
          </cell>
          <cell r="N34">
            <v>138420</v>
          </cell>
        </row>
        <row r="35">
          <cell r="B35" t="str">
            <v>E</v>
          </cell>
          <cell r="C35">
            <v>1</v>
          </cell>
          <cell r="E35">
            <v>1546000</v>
          </cell>
          <cell r="F35">
            <v>8620</v>
          </cell>
          <cell r="G35">
            <v>860</v>
          </cell>
          <cell r="H35">
            <v>46300</v>
          </cell>
          <cell r="I35">
            <v>3030</v>
          </cell>
          <cell r="J35">
            <v>69570</v>
          </cell>
          <cell r="K35">
            <v>10040</v>
          </cell>
          <cell r="N35">
            <v>138420</v>
          </cell>
        </row>
        <row r="36">
          <cell r="B36" t="str">
            <v>F</v>
          </cell>
          <cell r="C36">
            <v>1</v>
          </cell>
          <cell r="E36">
            <v>2000000</v>
          </cell>
          <cell r="F36">
            <v>18120</v>
          </cell>
          <cell r="G36">
            <v>1810</v>
          </cell>
          <cell r="H36">
            <v>59900</v>
          </cell>
          <cell r="I36">
            <v>3920</v>
          </cell>
          <cell r="J36">
            <v>90000</v>
          </cell>
          <cell r="K36">
            <v>13000</v>
          </cell>
          <cell r="N36">
            <v>186750</v>
          </cell>
        </row>
        <row r="37">
          <cell r="B37" t="str">
            <v>최기매</v>
          </cell>
          <cell r="C37">
            <v>1</v>
          </cell>
          <cell r="E37">
            <v>1529000</v>
          </cell>
          <cell r="F37">
            <v>8210</v>
          </cell>
          <cell r="G37">
            <v>820</v>
          </cell>
          <cell r="H37">
            <v>45790</v>
          </cell>
          <cell r="I37">
            <v>2990</v>
          </cell>
          <cell r="J37">
            <v>68800</v>
          </cell>
          <cell r="K37">
            <v>9930</v>
          </cell>
          <cell r="N37">
            <v>136540</v>
          </cell>
        </row>
        <row r="38">
          <cell r="B38" t="str">
            <v>김옥자</v>
          </cell>
          <cell r="C38">
            <v>1</v>
          </cell>
          <cell r="E38">
            <v>1529000</v>
          </cell>
          <cell r="F38">
            <v>8210</v>
          </cell>
          <cell r="G38">
            <v>820</v>
          </cell>
          <cell r="H38">
            <v>45790</v>
          </cell>
          <cell r="I38">
            <v>2990</v>
          </cell>
          <cell r="J38">
            <v>68800</v>
          </cell>
          <cell r="K38">
            <v>9930</v>
          </cell>
          <cell r="N38">
            <v>136540</v>
          </cell>
        </row>
        <row r="39">
          <cell r="B39" t="str">
            <v>G</v>
          </cell>
          <cell r="C39">
            <v>1</v>
          </cell>
          <cell r="E39">
            <v>1700000</v>
          </cell>
          <cell r="F39">
            <v>11920</v>
          </cell>
          <cell r="G39">
            <v>1190</v>
          </cell>
          <cell r="H39">
            <v>50910</v>
          </cell>
          <cell r="I39">
            <v>3330</v>
          </cell>
          <cell r="J39">
            <v>76500</v>
          </cell>
          <cell r="K39">
            <v>11050</v>
          </cell>
          <cell r="N39">
            <v>154900</v>
          </cell>
        </row>
        <row r="40">
          <cell r="B40" t="str">
            <v>H</v>
          </cell>
          <cell r="C40">
            <v>1</v>
          </cell>
          <cell r="E40">
            <v>1753000</v>
          </cell>
          <cell r="F40">
            <v>12960</v>
          </cell>
          <cell r="G40">
            <v>1290</v>
          </cell>
          <cell r="H40">
            <v>52500</v>
          </cell>
          <cell r="I40">
            <v>3430</v>
          </cell>
          <cell r="J40">
            <v>78880</v>
          </cell>
          <cell r="K40">
            <v>11390</v>
          </cell>
          <cell r="N40">
            <v>160450</v>
          </cell>
        </row>
        <row r="41">
          <cell r="B41" t="str">
            <v>I</v>
          </cell>
          <cell r="C41">
            <v>1</v>
          </cell>
          <cell r="E41">
            <v>1400000</v>
          </cell>
          <cell r="F41">
            <v>5680</v>
          </cell>
          <cell r="G41">
            <v>560</v>
          </cell>
          <cell r="H41">
            <v>41930</v>
          </cell>
          <cell r="I41">
            <v>2740</v>
          </cell>
          <cell r="J41">
            <v>63000</v>
          </cell>
          <cell r="K41">
            <v>9100</v>
          </cell>
          <cell r="N41">
            <v>123010</v>
          </cell>
        </row>
      </sheetData>
      <sheetData sheetId="3" refreshError="1">
        <row r="5">
          <cell r="D5" t="str">
            <v>김종구</v>
          </cell>
          <cell r="E5">
            <v>40179</v>
          </cell>
          <cell r="F5" t="str">
            <v/>
          </cell>
          <cell r="G5">
            <v>1621176.4705882354</v>
          </cell>
          <cell r="H5">
            <v>100000</v>
          </cell>
          <cell r="I5">
            <v>0</v>
          </cell>
          <cell r="J5">
            <v>0</v>
          </cell>
          <cell r="K5">
            <v>1078823.5294117648</v>
          </cell>
          <cell r="L5">
            <v>0</v>
          </cell>
          <cell r="M5">
            <v>0</v>
          </cell>
          <cell r="N5">
            <v>0</v>
          </cell>
          <cell r="O5">
            <v>0</v>
          </cell>
          <cell r="P5">
            <v>0</v>
          </cell>
          <cell r="Q5">
            <v>0</v>
          </cell>
          <cell r="R5">
            <v>0</v>
          </cell>
          <cell r="S5">
            <v>2800000</v>
          </cell>
          <cell r="T5">
            <v>54370</v>
          </cell>
          <cell r="U5">
            <v>5430</v>
          </cell>
          <cell r="V5">
            <v>80860</v>
          </cell>
          <cell r="W5">
            <v>5290</v>
          </cell>
          <cell r="X5">
            <v>121500</v>
          </cell>
          <cell r="Y5">
            <v>17550</v>
          </cell>
          <cell r="Z5">
            <v>0</v>
          </cell>
          <cell r="AA5">
            <v>0</v>
          </cell>
          <cell r="AB5">
            <v>285000</v>
          </cell>
          <cell r="AC5">
            <v>2515000</v>
          </cell>
        </row>
        <row r="6">
          <cell r="D6" t="str">
            <v>최선복</v>
          </cell>
          <cell r="E6">
            <v>40179</v>
          </cell>
          <cell r="F6" t="str">
            <v/>
          </cell>
          <cell r="G6">
            <v>1436764.705882353</v>
          </cell>
          <cell r="H6">
            <v>100000</v>
          </cell>
          <cell r="I6">
            <v>0</v>
          </cell>
          <cell r="J6">
            <v>0</v>
          </cell>
          <cell r="K6">
            <v>963235.29411764711</v>
          </cell>
          <cell r="L6">
            <v>0</v>
          </cell>
          <cell r="M6">
            <v>0</v>
          </cell>
          <cell r="N6">
            <v>0</v>
          </cell>
          <cell r="O6">
            <v>0</v>
          </cell>
          <cell r="P6">
            <v>0</v>
          </cell>
          <cell r="Q6">
            <v>0</v>
          </cell>
          <cell r="R6">
            <v>0</v>
          </cell>
          <cell r="S6">
            <v>2500000</v>
          </cell>
          <cell r="T6">
            <v>30630</v>
          </cell>
          <cell r="U6">
            <v>3060</v>
          </cell>
          <cell r="V6">
            <v>71880</v>
          </cell>
          <cell r="W6">
            <v>4700</v>
          </cell>
          <cell r="X6">
            <v>108000</v>
          </cell>
          <cell r="Y6">
            <v>15600</v>
          </cell>
          <cell r="Z6">
            <v>0</v>
          </cell>
          <cell r="AA6">
            <v>0</v>
          </cell>
          <cell r="AB6">
            <v>233870</v>
          </cell>
          <cell r="AC6">
            <v>2266130</v>
          </cell>
        </row>
        <row r="7">
          <cell r="D7" t="str">
            <v>임희선</v>
          </cell>
          <cell r="E7">
            <v>40575</v>
          </cell>
          <cell r="F7" t="str">
            <v/>
          </cell>
          <cell r="G7">
            <v>1400000</v>
          </cell>
          <cell r="H7">
            <v>100000</v>
          </cell>
          <cell r="I7">
            <v>0</v>
          </cell>
          <cell r="J7">
            <v>0</v>
          </cell>
          <cell r="K7">
            <v>0</v>
          </cell>
          <cell r="L7">
            <v>0</v>
          </cell>
          <cell r="M7">
            <v>0</v>
          </cell>
          <cell r="N7">
            <v>0</v>
          </cell>
          <cell r="O7">
            <v>0</v>
          </cell>
          <cell r="P7">
            <v>0</v>
          </cell>
          <cell r="Q7">
            <v>0</v>
          </cell>
          <cell r="R7">
            <v>0</v>
          </cell>
          <cell r="S7">
            <v>1500000</v>
          </cell>
          <cell r="T7">
            <v>5680</v>
          </cell>
          <cell r="U7">
            <v>560</v>
          </cell>
          <cell r="V7">
            <v>41930</v>
          </cell>
          <cell r="W7">
            <v>2740</v>
          </cell>
          <cell r="X7">
            <v>63000</v>
          </cell>
          <cell r="Y7">
            <v>9100</v>
          </cell>
          <cell r="Z7">
            <v>0</v>
          </cell>
          <cell r="AA7">
            <v>0</v>
          </cell>
          <cell r="AB7">
            <v>123010</v>
          </cell>
          <cell r="AC7">
            <v>1376990</v>
          </cell>
        </row>
        <row r="8">
          <cell r="D8" t="str">
            <v>전영일</v>
          </cell>
          <cell r="E8">
            <v>40969</v>
          </cell>
          <cell r="F8" t="str">
            <v/>
          </cell>
          <cell r="G8">
            <v>2524215.2466367716</v>
          </cell>
          <cell r="H8">
            <v>100000</v>
          </cell>
          <cell r="I8">
            <v>0</v>
          </cell>
          <cell r="J8">
            <v>0</v>
          </cell>
          <cell r="K8">
            <v>175784.75336322869</v>
          </cell>
          <cell r="L8">
            <v>0</v>
          </cell>
          <cell r="M8">
            <v>0</v>
          </cell>
          <cell r="N8">
            <v>0</v>
          </cell>
          <cell r="O8">
            <v>0</v>
          </cell>
          <cell r="P8">
            <v>0</v>
          </cell>
          <cell r="Q8">
            <v>0</v>
          </cell>
          <cell r="R8">
            <v>0</v>
          </cell>
          <cell r="S8">
            <v>2800000.0000000005</v>
          </cell>
          <cell r="T8">
            <v>54370</v>
          </cell>
          <cell r="U8">
            <v>5430</v>
          </cell>
          <cell r="V8">
            <v>80860</v>
          </cell>
          <cell r="W8">
            <v>5290</v>
          </cell>
          <cell r="X8">
            <v>121500</v>
          </cell>
          <cell r="Y8">
            <v>17550</v>
          </cell>
          <cell r="Z8">
            <v>0</v>
          </cell>
          <cell r="AA8">
            <v>0</v>
          </cell>
          <cell r="AB8">
            <v>285000</v>
          </cell>
          <cell r="AC8">
            <v>2515000.0000000005</v>
          </cell>
        </row>
        <row r="9">
          <cell r="D9" t="str">
            <v>박종훈</v>
          </cell>
          <cell r="E9">
            <v>41122</v>
          </cell>
          <cell r="F9" t="str">
            <v/>
          </cell>
          <cell r="G9">
            <v>1586995.5156950674</v>
          </cell>
          <cell r="H9">
            <v>100000</v>
          </cell>
          <cell r="I9">
            <v>0</v>
          </cell>
          <cell r="J9">
            <v>0</v>
          </cell>
          <cell r="K9">
            <v>113004.48430493273</v>
          </cell>
          <cell r="L9">
            <v>0</v>
          </cell>
          <cell r="M9">
            <v>0</v>
          </cell>
          <cell r="N9">
            <v>0</v>
          </cell>
          <cell r="O9">
            <v>0</v>
          </cell>
          <cell r="P9">
            <v>0</v>
          </cell>
          <cell r="Q9">
            <v>0</v>
          </cell>
          <cell r="R9">
            <v>0</v>
          </cell>
          <cell r="S9">
            <v>1800000</v>
          </cell>
          <cell r="T9">
            <v>11920</v>
          </cell>
          <cell r="U9">
            <v>1190</v>
          </cell>
          <cell r="V9">
            <v>50910</v>
          </cell>
          <cell r="W9">
            <v>3330</v>
          </cell>
          <cell r="X9">
            <v>76500</v>
          </cell>
          <cell r="Y9">
            <v>11050</v>
          </cell>
          <cell r="Z9">
            <v>0</v>
          </cell>
          <cell r="AA9">
            <v>0</v>
          </cell>
          <cell r="AB9">
            <v>154900</v>
          </cell>
          <cell r="AC9">
            <v>1645100</v>
          </cell>
        </row>
        <row r="10">
          <cell r="D10" t="str">
            <v>박종호</v>
          </cell>
          <cell r="E10">
            <v>41791</v>
          </cell>
          <cell r="F10" t="str">
            <v/>
          </cell>
          <cell r="G10">
            <v>1586995.5156950674</v>
          </cell>
          <cell r="H10">
            <v>100000</v>
          </cell>
          <cell r="I10">
            <v>0</v>
          </cell>
          <cell r="J10">
            <v>0</v>
          </cell>
          <cell r="K10">
            <v>113004.48430493273</v>
          </cell>
          <cell r="L10">
            <v>0</v>
          </cell>
          <cell r="M10">
            <v>0</v>
          </cell>
          <cell r="N10">
            <v>0</v>
          </cell>
          <cell r="O10">
            <v>0</v>
          </cell>
          <cell r="P10">
            <v>0</v>
          </cell>
          <cell r="Q10">
            <v>0</v>
          </cell>
          <cell r="R10">
            <v>0</v>
          </cell>
          <cell r="S10">
            <v>1800000</v>
          </cell>
          <cell r="T10">
            <v>11920</v>
          </cell>
          <cell r="U10">
            <v>1190</v>
          </cell>
          <cell r="V10">
            <v>50910</v>
          </cell>
          <cell r="W10">
            <v>3330</v>
          </cell>
          <cell r="X10">
            <v>76500</v>
          </cell>
          <cell r="Y10">
            <v>11050</v>
          </cell>
          <cell r="Z10">
            <v>0</v>
          </cell>
          <cell r="AA10">
            <v>0</v>
          </cell>
          <cell r="AB10">
            <v>154900</v>
          </cell>
          <cell r="AC10">
            <v>1645100</v>
          </cell>
        </row>
        <row r="11">
          <cell r="D11" t="str">
            <v>최진화</v>
          </cell>
          <cell r="E11">
            <v>40179</v>
          </cell>
          <cell r="F11" t="str">
            <v/>
          </cell>
          <cell r="G11">
            <v>1400000</v>
          </cell>
          <cell r="H11">
            <v>100000</v>
          </cell>
          <cell r="I11">
            <v>0</v>
          </cell>
          <cell r="J11">
            <v>0</v>
          </cell>
          <cell r="K11">
            <v>0</v>
          </cell>
          <cell r="L11">
            <v>0</v>
          </cell>
          <cell r="M11">
            <v>0</v>
          </cell>
          <cell r="N11">
            <v>0</v>
          </cell>
          <cell r="O11">
            <v>0</v>
          </cell>
          <cell r="P11">
            <v>0</v>
          </cell>
          <cell r="Q11">
            <v>0</v>
          </cell>
          <cell r="R11">
            <v>0</v>
          </cell>
          <cell r="S11">
            <v>1500000</v>
          </cell>
          <cell r="T11">
            <v>5680</v>
          </cell>
          <cell r="U11">
            <v>560</v>
          </cell>
          <cell r="V11">
            <v>41930</v>
          </cell>
          <cell r="W11">
            <v>2740</v>
          </cell>
          <cell r="X11">
            <v>63000</v>
          </cell>
          <cell r="Y11">
            <v>9100</v>
          </cell>
          <cell r="Z11">
            <v>0</v>
          </cell>
          <cell r="AA11">
            <v>0</v>
          </cell>
          <cell r="AB11">
            <v>123010</v>
          </cell>
          <cell r="AC11">
            <v>1376990</v>
          </cell>
        </row>
        <row r="12">
          <cell r="D12" t="str">
            <v>최지은</v>
          </cell>
          <cell r="E12">
            <v>41183</v>
          </cell>
          <cell r="F12" t="str">
            <v/>
          </cell>
          <cell r="G12">
            <v>1700000</v>
          </cell>
          <cell r="H12">
            <v>100000</v>
          </cell>
          <cell r="I12">
            <v>0</v>
          </cell>
          <cell r="J12">
            <v>0</v>
          </cell>
          <cell r="K12">
            <v>0</v>
          </cell>
          <cell r="L12">
            <v>0</v>
          </cell>
          <cell r="M12">
            <v>0</v>
          </cell>
          <cell r="N12">
            <v>0</v>
          </cell>
          <cell r="O12">
            <v>0</v>
          </cell>
          <cell r="P12">
            <v>0</v>
          </cell>
          <cell r="Q12">
            <v>0</v>
          </cell>
          <cell r="R12">
            <v>0</v>
          </cell>
          <cell r="S12">
            <v>1800000</v>
          </cell>
          <cell r="T12">
            <v>11920</v>
          </cell>
          <cell r="U12">
            <v>1190</v>
          </cell>
          <cell r="V12">
            <v>50910</v>
          </cell>
          <cell r="W12">
            <v>3330</v>
          </cell>
          <cell r="X12">
            <v>76500</v>
          </cell>
          <cell r="Y12">
            <v>11050</v>
          </cell>
          <cell r="Z12">
            <v>0</v>
          </cell>
          <cell r="AA12">
            <v>0</v>
          </cell>
          <cell r="AB12">
            <v>154900</v>
          </cell>
          <cell r="AC12">
            <v>1645100</v>
          </cell>
        </row>
        <row r="13">
          <cell r="D13" t="str">
            <v>용경수</v>
          </cell>
          <cell r="E13" t="str">
            <v/>
          </cell>
          <cell r="F13" t="str">
            <v/>
          </cell>
          <cell r="G13">
            <v>1200000</v>
          </cell>
          <cell r="H13">
            <v>100000</v>
          </cell>
          <cell r="I13">
            <v>0</v>
          </cell>
          <cell r="J13">
            <v>0</v>
          </cell>
          <cell r="K13">
            <v>0</v>
          </cell>
          <cell r="L13">
            <v>0</v>
          </cell>
          <cell r="M13">
            <v>0</v>
          </cell>
          <cell r="N13">
            <v>0</v>
          </cell>
          <cell r="O13">
            <v>0</v>
          </cell>
          <cell r="P13">
            <v>0</v>
          </cell>
          <cell r="Q13">
            <v>0</v>
          </cell>
          <cell r="R13">
            <v>0</v>
          </cell>
          <cell r="S13">
            <v>1300000</v>
          </cell>
          <cell r="T13">
            <v>1870</v>
          </cell>
          <cell r="U13">
            <v>180</v>
          </cell>
          <cell r="V13">
            <v>35940</v>
          </cell>
          <cell r="W13">
            <v>2350</v>
          </cell>
          <cell r="X13">
            <v>54000</v>
          </cell>
          <cell r="Y13">
            <v>7800</v>
          </cell>
          <cell r="Z13">
            <v>0</v>
          </cell>
          <cell r="AA13">
            <v>0</v>
          </cell>
          <cell r="AB13">
            <v>102140</v>
          </cell>
          <cell r="AC13">
            <v>1197860</v>
          </cell>
        </row>
        <row r="14">
          <cell r="D14" t="str">
            <v>오명우</v>
          </cell>
          <cell r="E14">
            <v>41791</v>
          </cell>
          <cell r="F14" t="str">
            <v/>
          </cell>
          <cell r="G14">
            <v>1183959.0443686007</v>
          </cell>
          <cell r="H14">
            <v>100000</v>
          </cell>
          <cell r="I14">
            <v>0</v>
          </cell>
          <cell r="J14">
            <v>0</v>
          </cell>
          <cell r="K14">
            <v>516040.95563139929</v>
          </cell>
          <cell r="L14">
            <v>0</v>
          </cell>
          <cell r="M14">
            <v>0</v>
          </cell>
          <cell r="N14">
            <v>0</v>
          </cell>
          <cell r="O14">
            <v>0</v>
          </cell>
          <cell r="P14">
            <v>0</v>
          </cell>
          <cell r="Q14">
            <v>0</v>
          </cell>
          <cell r="R14">
            <v>0</v>
          </cell>
          <cell r="S14">
            <v>1800000</v>
          </cell>
          <cell r="T14">
            <v>11920</v>
          </cell>
          <cell r="U14">
            <v>1190</v>
          </cell>
          <cell r="V14">
            <v>50910</v>
          </cell>
          <cell r="W14">
            <v>3330</v>
          </cell>
          <cell r="X14">
            <v>76500</v>
          </cell>
          <cell r="Y14">
            <v>11050</v>
          </cell>
          <cell r="Z14">
            <v>0</v>
          </cell>
          <cell r="AA14">
            <v>0</v>
          </cell>
          <cell r="AB14">
            <v>154900</v>
          </cell>
          <cell r="AC14">
            <v>1645100</v>
          </cell>
        </row>
        <row r="15">
          <cell r="D15" t="str">
            <v>A</v>
          </cell>
          <cell r="E15" t="str">
            <v/>
          </cell>
          <cell r="F15" t="str">
            <v/>
          </cell>
          <cell r="G15">
            <v>1166281.0218978103</v>
          </cell>
          <cell r="H15">
            <v>0</v>
          </cell>
          <cell r="I15">
            <v>0</v>
          </cell>
          <cell r="J15">
            <v>0</v>
          </cell>
          <cell r="K15">
            <v>362718.97810218978</v>
          </cell>
          <cell r="L15">
            <v>0</v>
          </cell>
          <cell r="M15">
            <v>0</v>
          </cell>
          <cell r="N15">
            <v>0</v>
          </cell>
          <cell r="O15">
            <v>0</v>
          </cell>
          <cell r="P15">
            <v>0</v>
          </cell>
          <cell r="Q15">
            <v>0</v>
          </cell>
          <cell r="R15">
            <v>0</v>
          </cell>
          <cell r="S15">
            <v>1529000</v>
          </cell>
          <cell r="T15">
            <v>8210</v>
          </cell>
          <cell r="U15">
            <v>820</v>
          </cell>
          <cell r="V15">
            <v>45790</v>
          </cell>
          <cell r="W15">
            <v>2990</v>
          </cell>
          <cell r="X15">
            <v>68800</v>
          </cell>
          <cell r="Y15">
            <v>9930</v>
          </cell>
          <cell r="Z15">
            <v>0</v>
          </cell>
          <cell r="AA15">
            <v>0</v>
          </cell>
          <cell r="AB15">
            <v>136540</v>
          </cell>
          <cell r="AC15">
            <v>1392460</v>
          </cell>
        </row>
        <row r="16">
          <cell r="D16" t="str">
            <v>B</v>
          </cell>
          <cell r="E16" t="str">
            <v/>
          </cell>
          <cell r="F16" t="str">
            <v/>
          </cell>
          <cell r="G16">
            <v>1166281.0218978103</v>
          </cell>
          <cell r="H16">
            <v>0</v>
          </cell>
          <cell r="I16">
            <v>0</v>
          </cell>
          <cell r="J16">
            <v>0</v>
          </cell>
          <cell r="K16">
            <v>362718.97810218978</v>
          </cell>
          <cell r="L16">
            <v>0</v>
          </cell>
          <cell r="M16">
            <v>0</v>
          </cell>
          <cell r="N16">
            <v>0</v>
          </cell>
          <cell r="O16">
            <v>0</v>
          </cell>
          <cell r="P16">
            <v>0</v>
          </cell>
          <cell r="Q16">
            <v>0</v>
          </cell>
          <cell r="R16">
            <v>0</v>
          </cell>
          <cell r="S16">
            <v>1529000</v>
          </cell>
          <cell r="T16">
            <v>8210</v>
          </cell>
          <cell r="U16">
            <v>820</v>
          </cell>
          <cell r="V16">
            <v>45790</v>
          </cell>
          <cell r="W16">
            <v>2990</v>
          </cell>
          <cell r="X16">
            <v>68800</v>
          </cell>
          <cell r="Y16">
            <v>9930</v>
          </cell>
          <cell r="Z16">
            <v>0</v>
          </cell>
          <cell r="AA16">
            <v>0</v>
          </cell>
          <cell r="AB16">
            <v>136540</v>
          </cell>
          <cell r="AC16">
            <v>1392460</v>
          </cell>
        </row>
        <row r="17">
          <cell r="D17" t="str">
            <v>강귀원</v>
          </cell>
          <cell r="E17">
            <v>40179</v>
          </cell>
          <cell r="F17" t="str">
            <v/>
          </cell>
          <cell r="G17">
            <v>1326621.1604095562</v>
          </cell>
          <cell r="H17">
            <v>100000</v>
          </cell>
          <cell r="I17">
            <v>0</v>
          </cell>
          <cell r="J17">
            <v>0</v>
          </cell>
          <cell r="K17">
            <v>573378.83959044365</v>
          </cell>
          <cell r="L17">
            <v>0</v>
          </cell>
          <cell r="M17">
            <v>0</v>
          </cell>
          <cell r="N17">
            <v>0</v>
          </cell>
          <cell r="O17">
            <v>0</v>
          </cell>
          <cell r="P17">
            <v>0</v>
          </cell>
          <cell r="Q17">
            <v>0</v>
          </cell>
          <cell r="R17">
            <v>0</v>
          </cell>
          <cell r="S17">
            <v>2000000</v>
          </cell>
          <cell r="T17">
            <v>16060</v>
          </cell>
          <cell r="U17">
            <v>1600</v>
          </cell>
          <cell r="V17">
            <v>56900</v>
          </cell>
          <cell r="W17">
            <v>3720</v>
          </cell>
          <cell r="X17">
            <v>85500</v>
          </cell>
          <cell r="Y17">
            <v>12350</v>
          </cell>
          <cell r="Z17">
            <v>0</v>
          </cell>
          <cell r="AA17">
            <v>0</v>
          </cell>
          <cell r="AB17">
            <v>176130</v>
          </cell>
          <cell r="AC17">
            <v>1823870</v>
          </cell>
        </row>
        <row r="18">
          <cell r="D18" t="str">
            <v>손정숙</v>
          </cell>
          <cell r="E18">
            <v>41334</v>
          </cell>
          <cell r="F18" t="str">
            <v/>
          </cell>
          <cell r="G18">
            <v>1150769.2307692308</v>
          </cell>
          <cell r="H18">
            <v>0</v>
          </cell>
          <cell r="I18">
            <v>0</v>
          </cell>
          <cell r="J18">
            <v>0</v>
          </cell>
          <cell r="K18">
            <v>49230.769230769234</v>
          </cell>
          <cell r="L18">
            <v>0</v>
          </cell>
          <cell r="M18">
            <v>0</v>
          </cell>
          <cell r="N18">
            <v>0</v>
          </cell>
          <cell r="O18">
            <v>0</v>
          </cell>
          <cell r="P18">
            <v>0</v>
          </cell>
          <cell r="Q18">
            <v>0</v>
          </cell>
          <cell r="R18">
            <v>0</v>
          </cell>
          <cell r="S18">
            <v>1200000</v>
          </cell>
          <cell r="T18">
            <v>1870</v>
          </cell>
          <cell r="U18">
            <v>180</v>
          </cell>
          <cell r="V18">
            <v>35940</v>
          </cell>
          <cell r="W18">
            <v>2350</v>
          </cell>
          <cell r="X18">
            <v>54000</v>
          </cell>
          <cell r="Y18">
            <v>7800</v>
          </cell>
          <cell r="Z18">
            <v>0</v>
          </cell>
          <cell r="AA18">
            <v>0</v>
          </cell>
          <cell r="AB18">
            <v>102140</v>
          </cell>
          <cell r="AC18">
            <v>1097860</v>
          </cell>
        </row>
        <row r="19">
          <cell r="D19" t="str">
            <v>C</v>
          </cell>
          <cell r="E19" t="str">
            <v/>
          </cell>
          <cell r="F19" t="str">
            <v/>
          </cell>
          <cell r="G19">
            <v>1116417.9104477612</v>
          </cell>
          <cell r="H19">
            <v>0</v>
          </cell>
          <cell r="I19">
            <v>0</v>
          </cell>
          <cell r="J19">
            <v>0</v>
          </cell>
          <cell r="K19">
            <v>83582.089552238802</v>
          </cell>
          <cell r="L19">
            <v>0</v>
          </cell>
          <cell r="M19">
            <v>0</v>
          </cell>
          <cell r="N19">
            <v>0</v>
          </cell>
          <cell r="O19">
            <v>0</v>
          </cell>
          <cell r="P19">
            <v>0</v>
          </cell>
          <cell r="Q19">
            <v>0</v>
          </cell>
          <cell r="R19">
            <v>0</v>
          </cell>
          <cell r="S19">
            <v>1200000</v>
          </cell>
          <cell r="T19">
            <v>1870</v>
          </cell>
          <cell r="U19">
            <v>180</v>
          </cell>
          <cell r="V19">
            <v>35940</v>
          </cell>
          <cell r="W19">
            <v>2350</v>
          </cell>
          <cell r="X19">
            <v>54000</v>
          </cell>
          <cell r="Y19">
            <v>7800</v>
          </cell>
          <cell r="Z19">
            <v>0</v>
          </cell>
          <cell r="AA19">
            <v>0</v>
          </cell>
          <cell r="AB19">
            <v>102140</v>
          </cell>
          <cell r="AC19">
            <v>1097860</v>
          </cell>
        </row>
        <row r="20">
          <cell r="D20" t="str">
            <v>김권욱</v>
          </cell>
          <cell r="E20">
            <v>41730</v>
          </cell>
          <cell r="F20" t="str">
            <v/>
          </cell>
          <cell r="G20">
            <v>1166839.5904436859</v>
          </cell>
          <cell r="H20">
            <v>100000</v>
          </cell>
          <cell r="I20">
            <v>0</v>
          </cell>
          <cell r="J20">
            <v>0</v>
          </cell>
          <cell r="K20">
            <v>509160.409556314</v>
          </cell>
          <cell r="L20">
            <v>0</v>
          </cell>
          <cell r="M20">
            <v>0</v>
          </cell>
          <cell r="N20">
            <v>0</v>
          </cell>
          <cell r="O20">
            <v>0</v>
          </cell>
          <cell r="P20">
            <v>0</v>
          </cell>
          <cell r="Q20">
            <v>0</v>
          </cell>
          <cell r="R20">
            <v>0</v>
          </cell>
          <cell r="S20">
            <v>1776000</v>
          </cell>
          <cell r="T20">
            <v>11300</v>
          </cell>
          <cell r="U20">
            <v>1130</v>
          </cell>
          <cell r="V20">
            <v>50190</v>
          </cell>
          <cell r="W20">
            <v>3280</v>
          </cell>
          <cell r="X20">
            <v>75420</v>
          </cell>
          <cell r="Y20">
            <v>10890</v>
          </cell>
          <cell r="Z20">
            <v>0</v>
          </cell>
          <cell r="AA20">
            <v>0</v>
          </cell>
          <cell r="AB20">
            <v>152210</v>
          </cell>
          <cell r="AC20">
            <v>1623790</v>
          </cell>
        </row>
        <row r="21">
          <cell r="D21" t="str">
            <v>문희숙</v>
          </cell>
          <cell r="E21">
            <v>41275</v>
          </cell>
          <cell r="F21" t="str">
            <v/>
          </cell>
          <cell r="G21">
            <v>1166667.8571428573</v>
          </cell>
          <cell r="H21">
            <v>0</v>
          </cell>
          <cell r="I21">
            <v>0</v>
          </cell>
          <cell r="J21">
            <v>0</v>
          </cell>
          <cell r="K21">
            <v>396332.14285714284</v>
          </cell>
          <cell r="L21">
            <v>0</v>
          </cell>
          <cell r="M21">
            <v>0</v>
          </cell>
          <cell r="N21">
            <v>0</v>
          </cell>
          <cell r="O21">
            <v>0</v>
          </cell>
          <cell r="P21">
            <v>0</v>
          </cell>
          <cell r="Q21">
            <v>0</v>
          </cell>
          <cell r="R21">
            <v>0</v>
          </cell>
          <cell r="S21">
            <v>1563000</v>
          </cell>
          <cell r="T21">
            <v>9030</v>
          </cell>
          <cell r="U21">
            <v>900</v>
          </cell>
          <cell r="V21">
            <v>46810</v>
          </cell>
          <cell r="W21">
            <v>3060</v>
          </cell>
          <cell r="X21">
            <v>70330</v>
          </cell>
          <cell r="Y21">
            <v>10150</v>
          </cell>
          <cell r="Z21">
            <v>0</v>
          </cell>
          <cell r="AA21">
            <v>0</v>
          </cell>
          <cell r="AB21">
            <v>140280</v>
          </cell>
          <cell r="AC21">
            <v>1422720</v>
          </cell>
        </row>
        <row r="22">
          <cell r="D22" t="str">
            <v>방승권</v>
          </cell>
          <cell r="E22">
            <v>41275</v>
          </cell>
          <cell r="F22" t="str">
            <v/>
          </cell>
          <cell r="G22">
            <v>1166667.8571428573</v>
          </cell>
          <cell r="H22">
            <v>0</v>
          </cell>
          <cell r="I22">
            <v>0</v>
          </cell>
          <cell r="J22">
            <v>0</v>
          </cell>
          <cell r="K22">
            <v>396332.14285714284</v>
          </cell>
          <cell r="L22">
            <v>0</v>
          </cell>
          <cell r="M22">
            <v>0</v>
          </cell>
          <cell r="N22">
            <v>0</v>
          </cell>
          <cell r="O22">
            <v>0</v>
          </cell>
          <cell r="P22">
            <v>0</v>
          </cell>
          <cell r="Q22">
            <v>0</v>
          </cell>
          <cell r="R22">
            <v>0</v>
          </cell>
          <cell r="S22">
            <v>1563000</v>
          </cell>
          <cell r="T22">
            <v>9030</v>
          </cell>
          <cell r="U22">
            <v>900</v>
          </cell>
          <cell r="V22">
            <v>46810</v>
          </cell>
          <cell r="W22">
            <v>3060</v>
          </cell>
          <cell r="X22">
            <v>70330</v>
          </cell>
          <cell r="Y22">
            <v>10150</v>
          </cell>
          <cell r="Z22">
            <v>0</v>
          </cell>
          <cell r="AA22">
            <v>0</v>
          </cell>
          <cell r="AB22">
            <v>140280</v>
          </cell>
          <cell r="AC22">
            <v>1422720</v>
          </cell>
        </row>
        <row r="23">
          <cell r="D23" t="str">
            <v>김미임</v>
          </cell>
          <cell r="E23">
            <v>41306</v>
          </cell>
          <cell r="F23" t="str">
            <v/>
          </cell>
          <cell r="G23">
            <v>1183959.0443686007</v>
          </cell>
          <cell r="H23">
            <v>100000</v>
          </cell>
          <cell r="I23">
            <v>0</v>
          </cell>
          <cell r="J23">
            <v>0</v>
          </cell>
          <cell r="K23">
            <v>516040.95563139929</v>
          </cell>
          <cell r="L23">
            <v>0</v>
          </cell>
          <cell r="M23">
            <v>0</v>
          </cell>
          <cell r="N23">
            <v>0</v>
          </cell>
          <cell r="O23">
            <v>0</v>
          </cell>
          <cell r="P23">
            <v>0</v>
          </cell>
          <cell r="Q23">
            <v>0</v>
          </cell>
          <cell r="R23">
            <v>0</v>
          </cell>
          <cell r="S23">
            <v>1800000</v>
          </cell>
          <cell r="T23">
            <v>11920</v>
          </cell>
          <cell r="U23">
            <v>1190</v>
          </cell>
          <cell r="V23">
            <v>50910</v>
          </cell>
          <cell r="W23">
            <v>3330</v>
          </cell>
          <cell r="X23">
            <v>76500</v>
          </cell>
          <cell r="Y23">
            <v>11050</v>
          </cell>
          <cell r="Z23">
            <v>0</v>
          </cell>
          <cell r="AA23">
            <v>0</v>
          </cell>
          <cell r="AB23">
            <v>154900</v>
          </cell>
          <cell r="AC23">
            <v>1645100</v>
          </cell>
        </row>
        <row r="24">
          <cell r="D24" t="str">
            <v>조영숙</v>
          </cell>
          <cell r="E24">
            <v>41456</v>
          </cell>
          <cell r="F24" t="str">
            <v/>
          </cell>
          <cell r="G24">
            <v>1166527.1565495208</v>
          </cell>
          <cell r="H24">
            <v>0</v>
          </cell>
          <cell r="I24">
            <v>0</v>
          </cell>
          <cell r="J24">
            <v>0</v>
          </cell>
          <cell r="K24">
            <v>580472.84345047921</v>
          </cell>
          <cell r="L24">
            <v>0</v>
          </cell>
          <cell r="M24">
            <v>0</v>
          </cell>
          <cell r="N24">
            <v>0</v>
          </cell>
          <cell r="O24">
            <v>0</v>
          </cell>
          <cell r="P24">
            <v>0</v>
          </cell>
          <cell r="Q24">
            <v>0</v>
          </cell>
          <cell r="R24">
            <v>0</v>
          </cell>
          <cell r="S24">
            <v>1747000</v>
          </cell>
          <cell r="T24">
            <v>12750</v>
          </cell>
          <cell r="U24">
            <v>1270</v>
          </cell>
          <cell r="V24">
            <v>52320</v>
          </cell>
          <cell r="W24">
            <v>3420</v>
          </cell>
          <cell r="X24">
            <v>78610</v>
          </cell>
          <cell r="Y24">
            <v>11350</v>
          </cell>
          <cell r="Z24">
            <v>0</v>
          </cell>
          <cell r="AA24">
            <v>0</v>
          </cell>
          <cell r="AB24">
            <v>159720</v>
          </cell>
          <cell r="AC24">
            <v>1587280</v>
          </cell>
        </row>
        <row r="25">
          <cell r="D25" t="str">
            <v>김성희</v>
          </cell>
          <cell r="E25">
            <v>41426</v>
          </cell>
          <cell r="F25" t="str">
            <v/>
          </cell>
          <cell r="G25">
            <v>1181625.4416961132</v>
          </cell>
          <cell r="H25">
            <v>0</v>
          </cell>
          <cell r="I25">
            <v>0</v>
          </cell>
          <cell r="J25">
            <v>0</v>
          </cell>
          <cell r="K25">
            <v>418374.55830388697</v>
          </cell>
          <cell r="L25">
            <v>0</v>
          </cell>
          <cell r="M25">
            <v>0</v>
          </cell>
          <cell r="N25">
            <v>0</v>
          </cell>
          <cell r="O25">
            <v>0</v>
          </cell>
          <cell r="P25">
            <v>0</v>
          </cell>
          <cell r="Q25">
            <v>0</v>
          </cell>
          <cell r="R25">
            <v>0</v>
          </cell>
          <cell r="S25">
            <v>1600000.0000000002</v>
          </cell>
          <cell r="T25">
            <v>9860</v>
          </cell>
          <cell r="U25">
            <v>980</v>
          </cell>
          <cell r="V25">
            <v>47920</v>
          </cell>
          <cell r="W25">
            <v>3130</v>
          </cell>
          <cell r="X25">
            <v>72000</v>
          </cell>
          <cell r="Y25">
            <v>10400</v>
          </cell>
          <cell r="Z25">
            <v>0</v>
          </cell>
          <cell r="AA25">
            <v>0</v>
          </cell>
          <cell r="AB25">
            <v>144290</v>
          </cell>
          <cell r="AC25">
            <v>1455710.0000000002</v>
          </cell>
        </row>
        <row r="26">
          <cell r="D26" t="str">
            <v>이정화</v>
          </cell>
          <cell r="E26">
            <v>41579</v>
          </cell>
          <cell r="F26" t="str">
            <v/>
          </cell>
          <cell r="G26">
            <v>1181625.4416961132</v>
          </cell>
          <cell r="H26">
            <v>0</v>
          </cell>
          <cell r="I26">
            <v>0</v>
          </cell>
          <cell r="J26">
            <v>0</v>
          </cell>
          <cell r="K26">
            <v>418374.55830388697</v>
          </cell>
          <cell r="L26">
            <v>0</v>
          </cell>
          <cell r="M26">
            <v>0</v>
          </cell>
          <cell r="N26">
            <v>0</v>
          </cell>
          <cell r="O26">
            <v>0</v>
          </cell>
          <cell r="P26">
            <v>0</v>
          </cell>
          <cell r="Q26">
            <v>0</v>
          </cell>
          <cell r="R26">
            <v>0</v>
          </cell>
          <cell r="S26">
            <v>1600000.0000000002</v>
          </cell>
          <cell r="T26">
            <v>9860</v>
          </cell>
          <cell r="U26">
            <v>980</v>
          </cell>
          <cell r="V26">
            <v>47920</v>
          </cell>
          <cell r="W26">
            <v>3130</v>
          </cell>
          <cell r="X26">
            <v>72000</v>
          </cell>
          <cell r="Y26">
            <v>10400</v>
          </cell>
          <cell r="Z26">
            <v>0</v>
          </cell>
          <cell r="AA26">
            <v>0</v>
          </cell>
          <cell r="AB26">
            <v>144290</v>
          </cell>
          <cell r="AC26">
            <v>1455710.0000000002</v>
          </cell>
        </row>
        <row r="27">
          <cell r="D27" t="str">
            <v>문만숙</v>
          </cell>
          <cell r="E27">
            <v>41791</v>
          </cell>
          <cell r="F27" t="str">
            <v/>
          </cell>
          <cell r="G27">
            <v>1181625.4416961132</v>
          </cell>
          <cell r="H27">
            <v>0</v>
          </cell>
          <cell r="I27">
            <v>0</v>
          </cell>
          <cell r="J27">
            <v>0</v>
          </cell>
          <cell r="K27">
            <v>418374.55830388697</v>
          </cell>
          <cell r="L27">
            <v>0</v>
          </cell>
          <cell r="M27">
            <v>0</v>
          </cell>
          <cell r="N27">
            <v>0</v>
          </cell>
          <cell r="O27">
            <v>0</v>
          </cell>
          <cell r="P27">
            <v>0</v>
          </cell>
          <cell r="Q27">
            <v>0</v>
          </cell>
          <cell r="R27">
            <v>0</v>
          </cell>
          <cell r="S27">
            <v>1600000.0000000002</v>
          </cell>
          <cell r="T27">
            <v>9860</v>
          </cell>
          <cell r="U27">
            <v>980</v>
          </cell>
          <cell r="V27">
            <v>47920</v>
          </cell>
          <cell r="W27">
            <v>3130</v>
          </cell>
          <cell r="X27">
            <v>72000</v>
          </cell>
          <cell r="Y27">
            <v>10400</v>
          </cell>
          <cell r="Z27">
            <v>0</v>
          </cell>
          <cell r="AA27">
            <v>0</v>
          </cell>
          <cell r="AB27">
            <v>144290</v>
          </cell>
          <cell r="AC27">
            <v>1455710.0000000002</v>
          </cell>
        </row>
        <row r="28">
          <cell r="D28" t="str">
            <v>D</v>
          </cell>
          <cell r="E28">
            <v>41275</v>
          </cell>
          <cell r="F28" t="str">
            <v/>
          </cell>
          <cell r="G28">
            <v>1326621.1604095562</v>
          </cell>
          <cell r="H28">
            <v>100000</v>
          </cell>
          <cell r="I28">
            <v>0</v>
          </cell>
          <cell r="J28">
            <v>0</v>
          </cell>
          <cell r="K28">
            <v>573378.83959044365</v>
          </cell>
          <cell r="L28">
            <v>0</v>
          </cell>
          <cell r="M28">
            <v>0</v>
          </cell>
          <cell r="N28">
            <v>0</v>
          </cell>
          <cell r="O28">
            <v>0</v>
          </cell>
          <cell r="P28">
            <v>0</v>
          </cell>
          <cell r="Q28">
            <v>0</v>
          </cell>
          <cell r="R28">
            <v>0</v>
          </cell>
          <cell r="S28">
            <v>2000000</v>
          </cell>
          <cell r="T28">
            <v>16060</v>
          </cell>
          <cell r="U28">
            <v>1600</v>
          </cell>
          <cell r="V28">
            <v>56900</v>
          </cell>
          <cell r="W28">
            <v>3720</v>
          </cell>
          <cell r="X28">
            <v>85500</v>
          </cell>
          <cell r="Y28">
            <v>12350</v>
          </cell>
          <cell r="Z28">
            <v>0</v>
          </cell>
          <cell r="AA28">
            <v>0</v>
          </cell>
          <cell r="AB28">
            <v>176130</v>
          </cell>
          <cell r="AC28">
            <v>1823870</v>
          </cell>
        </row>
        <row r="29">
          <cell r="D29" t="str">
            <v>전금녀</v>
          </cell>
          <cell r="E29">
            <v>41791</v>
          </cell>
          <cell r="F29" t="str">
            <v/>
          </cell>
          <cell r="G29">
            <v>1166476.5342960288</v>
          </cell>
          <cell r="H29">
            <v>0</v>
          </cell>
          <cell r="I29">
            <v>0</v>
          </cell>
          <cell r="J29">
            <v>0</v>
          </cell>
          <cell r="K29">
            <v>379523.4657039711</v>
          </cell>
          <cell r="L29">
            <v>0</v>
          </cell>
          <cell r="M29">
            <v>0</v>
          </cell>
          <cell r="N29">
            <v>0</v>
          </cell>
          <cell r="O29">
            <v>0</v>
          </cell>
          <cell r="P29">
            <v>0</v>
          </cell>
          <cell r="Q29">
            <v>0</v>
          </cell>
          <cell r="R29">
            <v>0</v>
          </cell>
          <cell r="S29">
            <v>1546000</v>
          </cell>
          <cell r="T29">
            <v>8620</v>
          </cell>
          <cell r="U29">
            <v>860</v>
          </cell>
          <cell r="V29">
            <v>46300</v>
          </cell>
          <cell r="W29">
            <v>3030</v>
          </cell>
          <cell r="X29">
            <v>69570</v>
          </cell>
          <cell r="Y29">
            <v>10040</v>
          </cell>
          <cell r="Z29">
            <v>0</v>
          </cell>
          <cell r="AA29">
            <v>0</v>
          </cell>
          <cell r="AB29">
            <v>138420</v>
          </cell>
          <cell r="AC29">
            <v>1407580</v>
          </cell>
        </row>
        <row r="30">
          <cell r="D30" t="str">
            <v>E</v>
          </cell>
          <cell r="E30" t="str">
            <v/>
          </cell>
          <cell r="F30" t="str">
            <v/>
          </cell>
          <cell r="G30">
            <v>1166476.5342960288</v>
          </cell>
          <cell r="H30">
            <v>0</v>
          </cell>
          <cell r="I30">
            <v>0</v>
          </cell>
          <cell r="J30">
            <v>0</v>
          </cell>
          <cell r="K30">
            <v>379523.4657039711</v>
          </cell>
          <cell r="L30">
            <v>0</v>
          </cell>
          <cell r="M30">
            <v>0</v>
          </cell>
          <cell r="N30">
            <v>0</v>
          </cell>
          <cell r="O30">
            <v>0</v>
          </cell>
          <cell r="P30">
            <v>0</v>
          </cell>
          <cell r="Q30">
            <v>0</v>
          </cell>
          <cell r="R30">
            <v>0</v>
          </cell>
          <cell r="S30">
            <v>1546000</v>
          </cell>
          <cell r="T30">
            <v>8620</v>
          </cell>
          <cell r="U30">
            <v>860</v>
          </cell>
          <cell r="V30">
            <v>46300</v>
          </cell>
          <cell r="W30">
            <v>3030</v>
          </cell>
          <cell r="X30">
            <v>69570</v>
          </cell>
          <cell r="Y30">
            <v>10040</v>
          </cell>
          <cell r="Z30">
            <v>0</v>
          </cell>
          <cell r="AA30">
            <v>0</v>
          </cell>
          <cell r="AB30">
            <v>138420</v>
          </cell>
          <cell r="AC30">
            <v>1407580</v>
          </cell>
        </row>
        <row r="31">
          <cell r="D31" t="str">
            <v>F</v>
          </cell>
          <cell r="E31" t="str">
            <v/>
          </cell>
          <cell r="F31" t="str">
            <v/>
          </cell>
          <cell r="G31">
            <v>1259036.1445783132</v>
          </cell>
          <cell r="H31">
            <v>0</v>
          </cell>
          <cell r="I31">
            <v>0</v>
          </cell>
          <cell r="J31">
            <v>0</v>
          </cell>
          <cell r="K31">
            <v>740963.85542168678</v>
          </cell>
          <cell r="L31">
            <v>0</v>
          </cell>
          <cell r="M31">
            <v>0</v>
          </cell>
          <cell r="N31">
            <v>0</v>
          </cell>
          <cell r="O31">
            <v>0</v>
          </cell>
          <cell r="P31">
            <v>0</v>
          </cell>
          <cell r="Q31">
            <v>0</v>
          </cell>
          <cell r="R31">
            <v>0</v>
          </cell>
          <cell r="S31">
            <v>2000000</v>
          </cell>
          <cell r="T31">
            <v>18120</v>
          </cell>
          <cell r="U31">
            <v>1810</v>
          </cell>
          <cell r="V31">
            <v>59900</v>
          </cell>
          <cell r="W31">
            <v>3920</v>
          </cell>
          <cell r="X31">
            <v>90000</v>
          </cell>
          <cell r="Y31">
            <v>13000</v>
          </cell>
          <cell r="Z31">
            <v>0</v>
          </cell>
          <cell r="AA31">
            <v>0</v>
          </cell>
          <cell r="AB31">
            <v>186750</v>
          </cell>
          <cell r="AC31">
            <v>1813250</v>
          </cell>
        </row>
        <row r="32">
          <cell r="D32" t="str">
            <v>최기매</v>
          </cell>
          <cell r="E32">
            <v>41730</v>
          </cell>
          <cell r="F32" t="str">
            <v/>
          </cell>
          <cell r="G32">
            <v>1166281.0218978103</v>
          </cell>
          <cell r="H32">
            <v>0</v>
          </cell>
          <cell r="I32">
            <v>0</v>
          </cell>
          <cell r="J32">
            <v>0</v>
          </cell>
          <cell r="K32">
            <v>362718.97810218978</v>
          </cell>
          <cell r="L32">
            <v>0</v>
          </cell>
          <cell r="M32">
            <v>0</v>
          </cell>
          <cell r="N32">
            <v>0</v>
          </cell>
          <cell r="O32">
            <v>0</v>
          </cell>
          <cell r="P32">
            <v>0</v>
          </cell>
          <cell r="Q32">
            <v>0</v>
          </cell>
          <cell r="R32">
            <v>0</v>
          </cell>
          <cell r="S32">
            <v>1529000</v>
          </cell>
          <cell r="T32">
            <v>8210</v>
          </cell>
          <cell r="U32">
            <v>820</v>
          </cell>
          <cell r="V32">
            <v>45790</v>
          </cell>
          <cell r="W32">
            <v>2990</v>
          </cell>
          <cell r="X32">
            <v>68800</v>
          </cell>
          <cell r="Y32">
            <v>9930</v>
          </cell>
          <cell r="Z32">
            <v>0</v>
          </cell>
          <cell r="AA32">
            <v>0</v>
          </cell>
          <cell r="AB32">
            <v>136540</v>
          </cell>
          <cell r="AC32">
            <v>1392460</v>
          </cell>
        </row>
        <row r="33">
          <cell r="D33" t="str">
            <v>김옥자</v>
          </cell>
          <cell r="E33" t="str">
            <v>2013-10-36</v>
          </cell>
          <cell r="F33" t="str">
            <v/>
          </cell>
          <cell r="G33">
            <v>1166281.0218978103</v>
          </cell>
          <cell r="H33">
            <v>0</v>
          </cell>
          <cell r="I33">
            <v>0</v>
          </cell>
          <cell r="J33">
            <v>0</v>
          </cell>
          <cell r="K33">
            <v>362718.97810218978</v>
          </cell>
          <cell r="L33">
            <v>0</v>
          </cell>
          <cell r="M33">
            <v>0</v>
          </cell>
          <cell r="N33">
            <v>0</v>
          </cell>
          <cell r="O33">
            <v>0</v>
          </cell>
          <cell r="P33">
            <v>0</v>
          </cell>
          <cell r="Q33">
            <v>0</v>
          </cell>
          <cell r="R33">
            <v>0</v>
          </cell>
          <cell r="S33">
            <v>1529000</v>
          </cell>
          <cell r="T33">
            <v>8210</v>
          </cell>
          <cell r="U33">
            <v>820</v>
          </cell>
          <cell r="V33">
            <v>45790</v>
          </cell>
          <cell r="W33">
            <v>2990</v>
          </cell>
          <cell r="X33">
            <v>68800</v>
          </cell>
          <cell r="Y33">
            <v>9930</v>
          </cell>
          <cell r="Z33">
            <v>0</v>
          </cell>
          <cell r="AA33">
            <v>0</v>
          </cell>
          <cell r="AB33">
            <v>136540</v>
          </cell>
          <cell r="AC33">
            <v>1392460</v>
          </cell>
        </row>
        <row r="34">
          <cell r="D34" t="str">
            <v>G</v>
          </cell>
          <cell r="E34" t="str">
            <v/>
          </cell>
          <cell r="F34" t="str">
            <v/>
          </cell>
          <cell r="G34">
            <v>1183959.0443686007</v>
          </cell>
          <cell r="H34">
            <v>100000</v>
          </cell>
          <cell r="I34">
            <v>0</v>
          </cell>
          <cell r="J34">
            <v>0</v>
          </cell>
          <cell r="K34">
            <v>516040.95563139929</v>
          </cell>
          <cell r="L34">
            <v>0</v>
          </cell>
          <cell r="M34">
            <v>0</v>
          </cell>
          <cell r="N34">
            <v>0</v>
          </cell>
          <cell r="O34">
            <v>0</v>
          </cell>
          <cell r="P34">
            <v>0</v>
          </cell>
          <cell r="Q34">
            <v>0</v>
          </cell>
          <cell r="R34">
            <v>0</v>
          </cell>
          <cell r="S34">
            <v>1800000</v>
          </cell>
          <cell r="T34">
            <v>11920</v>
          </cell>
          <cell r="U34">
            <v>1190</v>
          </cell>
          <cell r="V34">
            <v>50910</v>
          </cell>
          <cell r="W34">
            <v>3330</v>
          </cell>
          <cell r="X34">
            <v>76500</v>
          </cell>
          <cell r="Y34">
            <v>11050</v>
          </cell>
          <cell r="Z34">
            <v>0</v>
          </cell>
          <cell r="AA34">
            <v>0</v>
          </cell>
          <cell r="AB34">
            <v>154900</v>
          </cell>
          <cell r="AC34">
            <v>1645100</v>
          </cell>
        </row>
        <row r="35">
          <cell r="D35" t="str">
            <v>H</v>
          </cell>
          <cell r="E35" t="str">
            <v/>
          </cell>
          <cell r="F35" t="str">
            <v/>
          </cell>
          <cell r="G35">
            <v>1166805.7324840764</v>
          </cell>
          <cell r="H35">
            <v>0</v>
          </cell>
          <cell r="I35">
            <v>0</v>
          </cell>
          <cell r="J35">
            <v>0</v>
          </cell>
          <cell r="K35">
            <v>586194.26751592348</v>
          </cell>
          <cell r="L35">
            <v>0</v>
          </cell>
          <cell r="M35">
            <v>0</v>
          </cell>
          <cell r="N35">
            <v>0</v>
          </cell>
          <cell r="O35">
            <v>0</v>
          </cell>
          <cell r="P35">
            <v>0</v>
          </cell>
          <cell r="Q35">
            <v>0</v>
          </cell>
          <cell r="R35">
            <v>0</v>
          </cell>
          <cell r="S35">
            <v>1753000</v>
          </cell>
          <cell r="T35">
            <v>12960</v>
          </cell>
          <cell r="U35">
            <v>1290</v>
          </cell>
          <cell r="V35">
            <v>52500</v>
          </cell>
          <cell r="W35">
            <v>3430</v>
          </cell>
          <cell r="X35">
            <v>78880</v>
          </cell>
          <cell r="Y35">
            <v>11390</v>
          </cell>
          <cell r="Z35">
            <v>0</v>
          </cell>
          <cell r="AA35">
            <v>0</v>
          </cell>
          <cell r="AB35">
            <v>160450</v>
          </cell>
          <cell r="AC35">
            <v>1592550</v>
          </cell>
        </row>
        <row r="36">
          <cell r="D36" t="str">
            <v>I</v>
          </cell>
          <cell r="E36" t="str">
            <v/>
          </cell>
          <cell r="F36" t="str">
            <v/>
          </cell>
          <cell r="G36">
            <v>1228389.8305084745</v>
          </cell>
          <cell r="H36">
            <v>100000</v>
          </cell>
          <cell r="I36">
            <v>0</v>
          </cell>
          <cell r="J36">
            <v>0</v>
          </cell>
          <cell r="K36">
            <v>171610.16949152542</v>
          </cell>
          <cell r="L36">
            <v>0</v>
          </cell>
          <cell r="M36">
            <v>0</v>
          </cell>
          <cell r="N36">
            <v>0</v>
          </cell>
          <cell r="O36">
            <v>0</v>
          </cell>
          <cell r="P36">
            <v>0</v>
          </cell>
          <cell r="Q36">
            <v>0</v>
          </cell>
          <cell r="R36">
            <v>0</v>
          </cell>
          <cell r="S36">
            <v>1500000</v>
          </cell>
          <cell r="T36">
            <v>5680</v>
          </cell>
          <cell r="U36">
            <v>560</v>
          </cell>
          <cell r="V36">
            <v>41930</v>
          </cell>
          <cell r="W36">
            <v>2740</v>
          </cell>
          <cell r="X36">
            <v>63000</v>
          </cell>
          <cell r="Y36">
            <v>9100</v>
          </cell>
          <cell r="Z36">
            <v>0</v>
          </cell>
          <cell r="AA36">
            <v>0</v>
          </cell>
          <cell r="AB36">
            <v>123010</v>
          </cell>
          <cell r="AC36">
            <v>1376990</v>
          </cell>
        </row>
        <row r="37">
          <cell r="E37" t="str">
            <v/>
          </cell>
          <cell r="F37" t="str">
            <v/>
          </cell>
        </row>
        <row r="38">
          <cell r="E38" t="str">
            <v/>
          </cell>
          <cell r="F38" t="str">
            <v/>
          </cell>
        </row>
        <row r="39">
          <cell r="E39" t="str">
            <v/>
          </cell>
          <cell r="F39" t="str">
            <v/>
          </cell>
        </row>
        <row r="40">
          <cell r="E40" t="str">
            <v/>
          </cell>
          <cell r="F40" t="str">
            <v/>
          </cell>
        </row>
        <row r="41">
          <cell r="E41" t="str">
            <v/>
          </cell>
          <cell r="F41" t="str">
            <v/>
          </cell>
        </row>
        <row r="42">
          <cell r="E42" t="str">
            <v/>
          </cell>
          <cell r="F42" t="str">
            <v/>
          </cell>
        </row>
        <row r="44">
          <cell r="E44" t="str">
            <v/>
          </cell>
          <cell r="F44" t="str">
            <v/>
          </cell>
        </row>
      </sheetData>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급여조견표"/>
      <sheetName val="DB"/>
      <sheetName val="근로계약서, 동의각서"/>
    </sheetNames>
    <sheetDataSet>
      <sheetData sheetId="0"/>
      <sheetData sheetId="1">
        <row r="1">
          <cell r="A1" t="str">
            <v>구분</v>
          </cell>
          <cell r="B1" t="str">
            <v>이름</v>
          </cell>
          <cell r="C1" t="str">
            <v>입사일</v>
          </cell>
          <cell r="D1" t="str">
            <v>생년월일</v>
          </cell>
          <cell r="E1" t="str">
            <v>성별</v>
          </cell>
          <cell r="F1" t="str">
            <v>직무</v>
          </cell>
          <cell r="G1" t="str">
            <v>2007년 월별 급여 계약 금액</v>
          </cell>
          <cell r="H1" t="str">
            <v>급여코드</v>
          </cell>
          <cell r="I1" t="str">
            <v>기본급</v>
          </cell>
          <cell r="J1" t="str">
            <v>연장근로수당</v>
          </cell>
          <cell r="K1" t="str">
            <v>야간근로수당</v>
          </cell>
          <cell r="L1" t="str">
            <v>휴일근로수당</v>
          </cell>
          <cell r="M1" t="str">
            <v>법정휴가수당</v>
          </cell>
          <cell r="N1" t="str">
            <v>월급 총계</v>
          </cell>
        </row>
        <row r="2">
          <cell r="A2">
            <v>1</v>
          </cell>
          <cell r="B2" t="str">
            <v>이명박</v>
          </cell>
          <cell r="C2" t="str">
            <v>2001.10.01</v>
          </cell>
          <cell r="D2">
            <v>590303</v>
          </cell>
          <cell r="E2" t="str">
            <v>남</v>
          </cell>
          <cell r="F2" t="str">
            <v>출장</v>
          </cell>
          <cell r="G2">
            <v>2100000</v>
          </cell>
          <cell r="H2" t="str">
            <v>M11</v>
          </cell>
          <cell r="I2">
            <v>1512000</v>
          </cell>
          <cell r="J2">
            <v>420000</v>
          </cell>
          <cell r="K2">
            <v>42000</v>
          </cell>
          <cell r="L2">
            <v>63000</v>
          </cell>
          <cell r="M2">
            <v>63000</v>
          </cell>
          <cell r="N2">
            <v>2100000</v>
          </cell>
        </row>
        <row r="3">
          <cell r="A3">
            <v>2</v>
          </cell>
          <cell r="B3" t="str">
            <v>박근혜</v>
          </cell>
          <cell r="C3" t="str">
            <v>2001.10.01</v>
          </cell>
          <cell r="D3">
            <v>640429</v>
          </cell>
          <cell r="E3" t="str">
            <v>남</v>
          </cell>
          <cell r="F3" t="str">
            <v>출장</v>
          </cell>
          <cell r="G3">
            <v>1500000</v>
          </cell>
          <cell r="H3" t="str">
            <v>H1</v>
          </cell>
          <cell r="I3">
            <v>1080000</v>
          </cell>
          <cell r="J3">
            <v>300000</v>
          </cell>
          <cell r="K3">
            <v>30000</v>
          </cell>
          <cell r="L3">
            <v>45000</v>
          </cell>
          <cell r="M3">
            <v>45000</v>
          </cell>
          <cell r="N3">
            <v>1500000</v>
          </cell>
        </row>
        <row r="4">
          <cell r="A4">
            <v>3</v>
          </cell>
          <cell r="B4" t="str">
            <v>손학규</v>
          </cell>
          <cell r="C4" t="str">
            <v>2001.10.01</v>
          </cell>
          <cell r="D4">
            <v>731010</v>
          </cell>
          <cell r="E4" t="str">
            <v>남</v>
          </cell>
          <cell r="F4" t="str">
            <v>출장</v>
          </cell>
          <cell r="G4">
            <v>1200000</v>
          </cell>
          <cell r="H4" t="str">
            <v>E1</v>
          </cell>
          <cell r="I4">
            <v>864000</v>
          </cell>
          <cell r="J4">
            <v>240000</v>
          </cell>
          <cell r="K4">
            <v>24000</v>
          </cell>
          <cell r="L4">
            <v>36000</v>
          </cell>
          <cell r="M4">
            <v>36000</v>
          </cell>
          <cell r="N4">
            <v>1200000</v>
          </cell>
        </row>
        <row r="5">
          <cell r="A5">
            <v>4</v>
          </cell>
          <cell r="B5" t="str">
            <v>김근태</v>
          </cell>
          <cell r="C5" t="str">
            <v>2001.10.01</v>
          </cell>
          <cell r="D5">
            <v>761028</v>
          </cell>
          <cell r="E5" t="str">
            <v>남</v>
          </cell>
          <cell r="F5" t="str">
            <v>출장</v>
          </cell>
          <cell r="G5">
            <v>1500000</v>
          </cell>
          <cell r="H5" t="str">
            <v>H1</v>
          </cell>
          <cell r="I5">
            <v>1080000</v>
          </cell>
          <cell r="J5">
            <v>300000</v>
          </cell>
          <cell r="K5">
            <v>30000</v>
          </cell>
          <cell r="L5">
            <v>45000</v>
          </cell>
          <cell r="M5">
            <v>45000</v>
          </cell>
          <cell r="N5">
            <v>1500000</v>
          </cell>
        </row>
        <row r="6">
          <cell r="A6">
            <v>5</v>
          </cell>
          <cell r="B6" t="str">
            <v>정동영</v>
          </cell>
          <cell r="C6" t="str">
            <v>2002.02.01</v>
          </cell>
          <cell r="D6">
            <v>650628</v>
          </cell>
          <cell r="E6" t="str">
            <v>남</v>
          </cell>
          <cell r="F6" t="str">
            <v>출장</v>
          </cell>
          <cell r="G6">
            <v>1100000</v>
          </cell>
          <cell r="H6" t="str">
            <v>D1</v>
          </cell>
          <cell r="I6">
            <v>792000</v>
          </cell>
          <cell r="J6">
            <v>220000</v>
          </cell>
          <cell r="K6">
            <v>22000</v>
          </cell>
          <cell r="L6">
            <v>33000</v>
          </cell>
          <cell r="M6">
            <v>33000</v>
          </cell>
          <cell r="N6">
            <v>1100000</v>
          </cell>
        </row>
        <row r="7">
          <cell r="A7">
            <v>6</v>
          </cell>
          <cell r="B7" t="str">
            <v>고건</v>
          </cell>
          <cell r="C7" t="str">
            <v>2002.02.01</v>
          </cell>
          <cell r="D7">
            <v>711015</v>
          </cell>
          <cell r="E7" t="str">
            <v>남</v>
          </cell>
          <cell r="F7" t="str">
            <v>출장</v>
          </cell>
          <cell r="G7">
            <v>1000000</v>
          </cell>
          <cell r="H7" t="str">
            <v>C1</v>
          </cell>
          <cell r="I7">
            <v>791000</v>
          </cell>
          <cell r="J7">
            <v>209000</v>
          </cell>
          <cell r="K7">
            <v>0</v>
          </cell>
          <cell r="L7">
            <v>0</v>
          </cell>
          <cell r="M7">
            <v>0</v>
          </cell>
          <cell r="N7">
            <v>1000000</v>
          </cell>
        </row>
        <row r="8">
          <cell r="A8">
            <v>7</v>
          </cell>
          <cell r="B8" t="str">
            <v>장동건</v>
          </cell>
          <cell r="C8" t="str">
            <v>2002.02.01</v>
          </cell>
          <cell r="D8">
            <v>630115</v>
          </cell>
          <cell r="E8" t="str">
            <v>남</v>
          </cell>
          <cell r="F8" t="str">
            <v>출장</v>
          </cell>
          <cell r="G8">
            <v>950000</v>
          </cell>
          <cell r="H8" t="str">
            <v>B6</v>
          </cell>
          <cell r="I8">
            <v>791000</v>
          </cell>
          <cell r="J8">
            <v>159000</v>
          </cell>
          <cell r="K8">
            <v>0</v>
          </cell>
          <cell r="L8">
            <v>0</v>
          </cell>
          <cell r="M8">
            <v>0</v>
          </cell>
          <cell r="N8">
            <v>950000</v>
          </cell>
        </row>
        <row r="9">
          <cell r="A9">
            <v>8</v>
          </cell>
          <cell r="B9" t="str">
            <v>최수종</v>
          </cell>
          <cell r="C9" t="str">
            <v>2002.02.01</v>
          </cell>
          <cell r="D9">
            <v>610925</v>
          </cell>
          <cell r="E9" t="str">
            <v>남</v>
          </cell>
          <cell r="F9" t="str">
            <v>출장</v>
          </cell>
          <cell r="G9">
            <v>900000</v>
          </cell>
          <cell r="H9" t="str">
            <v>B1</v>
          </cell>
          <cell r="I9">
            <v>791000</v>
          </cell>
          <cell r="J9">
            <v>109000</v>
          </cell>
          <cell r="K9">
            <v>0</v>
          </cell>
          <cell r="L9">
            <v>0</v>
          </cell>
          <cell r="M9">
            <v>0</v>
          </cell>
          <cell r="N9">
            <v>900000</v>
          </cell>
        </row>
        <row r="10">
          <cell r="A10">
            <v>9</v>
          </cell>
          <cell r="B10" t="str">
            <v>송일국</v>
          </cell>
          <cell r="C10">
            <v>2002.0201</v>
          </cell>
          <cell r="D10">
            <v>671119</v>
          </cell>
          <cell r="E10" t="str">
            <v>남</v>
          </cell>
          <cell r="F10" t="str">
            <v>출장</v>
          </cell>
          <cell r="G10">
            <v>800000</v>
          </cell>
          <cell r="H10" t="str">
            <v>A1</v>
          </cell>
          <cell r="I10">
            <v>791000</v>
          </cell>
          <cell r="J10">
            <v>9000</v>
          </cell>
          <cell r="K10">
            <v>0</v>
          </cell>
          <cell r="L10">
            <v>0</v>
          </cell>
          <cell r="M10">
            <v>0</v>
          </cell>
          <cell r="N10">
            <v>800000</v>
          </cell>
        </row>
        <row r="11">
          <cell r="A11">
            <v>10</v>
          </cell>
          <cell r="B11" t="str">
            <v>유동근</v>
          </cell>
          <cell r="C11" t="str">
            <v>2002.06.19</v>
          </cell>
          <cell r="D11">
            <v>650208</v>
          </cell>
          <cell r="E11" t="str">
            <v>남</v>
          </cell>
          <cell r="F11" t="str">
            <v>출장</v>
          </cell>
          <cell r="G11">
            <v>1000000</v>
          </cell>
          <cell r="H11" t="str">
            <v>C1</v>
          </cell>
          <cell r="I11">
            <v>791000</v>
          </cell>
          <cell r="J11">
            <v>209000</v>
          </cell>
          <cell r="K11">
            <v>0</v>
          </cell>
          <cell r="L11">
            <v>0</v>
          </cell>
          <cell r="M11">
            <v>0</v>
          </cell>
          <cell r="N11">
            <v>1000000</v>
          </cell>
        </row>
        <row r="12">
          <cell r="A12">
            <v>11</v>
          </cell>
          <cell r="H12" t="str">
            <v/>
          </cell>
          <cell r="I12" t="str">
            <v/>
          </cell>
          <cell r="J12" t="str">
            <v/>
          </cell>
          <cell r="K12" t="str">
            <v/>
          </cell>
          <cell r="L12" t="str">
            <v/>
          </cell>
          <cell r="M12" t="str">
            <v/>
          </cell>
          <cell r="N12">
            <v>0</v>
          </cell>
        </row>
        <row r="13">
          <cell r="A13">
            <v>12</v>
          </cell>
          <cell r="H13" t="str">
            <v/>
          </cell>
          <cell r="I13" t="str">
            <v/>
          </cell>
          <cell r="J13" t="str">
            <v/>
          </cell>
          <cell r="K13" t="str">
            <v/>
          </cell>
          <cell r="L13" t="str">
            <v/>
          </cell>
          <cell r="M13" t="str">
            <v/>
          </cell>
          <cell r="N13">
            <v>0</v>
          </cell>
        </row>
        <row r="14">
          <cell r="A14">
            <v>13</v>
          </cell>
          <cell r="H14" t="str">
            <v/>
          </cell>
          <cell r="I14" t="str">
            <v/>
          </cell>
          <cell r="J14" t="str">
            <v/>
          </cell>
          <cell r="K14" t="str">
            <v/>
          </cell>
          <cell r="L14" t="str">
            <v/>
          </cell>
          <cell r="M14" t="str">
            <v/>
          </cell>
          <cell r="N14">
            <v>0</v>
          </cell>
        </row>
        <row r="15">
          <cell r="A15">
            <v>14</v>
          </cell>
          <cell r="H15" t="str">
            <v/>
          </cell>
          <cell r="I15" t="str">
            <v/>
          </cell>
          <cell r="J15" t="str">
            <v/>
          </cell>
          <cell r="K15" t="str">
            <v/>
          </cell>
          <cell r="L15" t="str">
            <v/>
          </cell>
          <cell r="M15" t="str">
            <v/>
          </cell>
          <cell r="N15">
            <v>0</v>
          </cell>
        </row>
        <row r="16">
          <cell r="A16">
            <v>15</v>
          </cell>
          <cell r="H16" t="str">
            <v/>
          </cell>
          <cell r="I16" t="str">
            <v/>
          </cell>
          <cell r="J16" t="str">
            <v/>
          </cell>
          <cell r="K16" t="str">
            <v/>
          </cell>
          <cell r="L16" t="str">
            <v/>
          </cell>
          <cell r="M16" t="str">
            <v/>
          </cell>
          <cell r="N16">
            <v>0</v>
          </cell>
        </row>
        <row r="17">
          <cell r="A17">
            <v>16</v>
          </cell>
          <cell r="H17" t="str">
            <v/>
          </cell>
          <cell r="I17" t="str">
            <v/>
          </cell>
          <cell r="J17" t="str">
            <v/>
          </cell>
          <cell r="K17" t="str">
            <v/>
          </cell>
          <cell r="L17" t="str">
            <v/>
          </cell>
          <cell r="M17" t="str">
            <v/>
          </cell>
          <cell r="N17">
            <v>0</v>
          </cell>
        </row>
        <row r="18">
          <cell r="A18">
            <v>17</v>
          </cell>
          <cell r="H18" t="str">
            <v/>
          </cell>
          <cell r="I18" t="str">
            <v/>
          </cell>
          <cell r="J18" t="str">
            <v/>
          </cell>
          <cell r="K18" t="str">
            <v/>
          </cell>
          <cell r="L18" t="str">
            <v/>
          </cell>
          <cell r="M18" t="str">
            <v/>
          </cell>
          <cell r="N18">
            <v>0</v>
          </cell>
        </row>
        <row r="19">
          <cell r="A19">
            <v>18</v>
          </cell>
          <cell r="H19" t="str">
            <v/>
          </cell>
          <cell r="I19" t="str">
            <v/>
          </cell>
          <cell r="J19" t="str">
            <v/>
          </cell>
          <cell r="K19" t="str">
            <v/>
          </cell>
          <cell r="L19" t="str">
            <v/>
          </cell>
          <cell r="M19" t="str">
            <v/>
          </cell>
          <cell r="N19">
            <v>0</v>
          </cell>
        </row>
        <row r="20">
          <cell r="A20">
            <v>19</v>
          </cell>
          <cell r="H20" t="str">
            <v/>
          </cell>
          <cell r="I20" t="str">
            <v/>
          </cell>
          <cell r="J20" t="str">
            <v/>
          </cell>
          <cell r="K20" t="str">
            <v/>
          </cell>
          <cell r="L20" t="str">
            <v/>
          </cell>
          <cell r="M20" t="str">
            <v/>
          </cell>
          <cell r="N20">
            <v>0</v>
          </cell>
        </row>
        <row r="21">
          <cell r="A21">
            <v>20</v>
          </cell>
          <cell r="H21" t="str">
            <v/>
          </cell>
          <cell r="I21" t="str">
            <v/>
          </cell>
          <cell r="J21" t="str">
            <v/>
          </cell>
          <cell r="K21" t="str">
            <v/>
          </cell>
          <cell r="L21" t="str">
            <v/>
          </cell>
          <cell r="M21" t="str">
            <v/>
          </cell>
          <cell r="N21">
            <v>0</v>
          </cell>
        </row>
        <row r="22">
          <cell r="A22">
            <v>21</v>
          </cell>
          <cell r="H22" t="str">
            <v/>
          </cell>
          <cell r="I22" t="str">
            <v/>
          </cell>
          <cell r="J22" t="str">
            <v/>
          </cell>
          <cell r="K22" t="str">
            <v/>
          </cell>
          <cell r="L22" t="str">
            <v/>
          </cell>
          <cell r="M22" t="str">
            <v/>
          </cell>
          <cell r="N22">
            <v>0</v>
          </cell>
        </row>
        <row r="23">
          <cell r="A23">
            <v>22</v>
          </cell>
          <cell r="H23" t="str">
            <v/>
          </cell>
          <cell r="I23" t="str">
            <v/>
          </cell>
          <cell r="J23" t="str">
            <v/>
          </cell>
          <cell r="K23" t="str">
            <v/>
          </cell>
          <cell r="L23" t="str">
            <v/>
          </cell>
          <cell r="M23" t="str">
            <v/>
          </cell>
          <cell r="N23">
            <v>0</v>
          </cell>
        </row>
        <row r="24">
          <cell r="A24">
            <v>23</v>
          </cell>
          <cell r="H24" t="str">
            <v/>
          </cell>
          <cell r="I24" t="str">
            <v/>
          </cell>
          <cell r="J24" t="str">
            <v/>
          </cell>
          <cell r="K24" t="str">
            <v/>
          </cell>
          <cell r="L24" t="str">
            <v/>
          </cell>
          <cell r="M24" t="str">
            <v/>
          </cell>
          <cell r="N24">
            <v>0</v>
          </cell>
        </row>
        <row r="25">
          <cell r="A25">
            <v>24</v>
          </cell>
          <cell r="H25" t="str">
            <v/>
          </cell>
          <cell r="I25" t="str">
            <v/>
          </cell>
          <cell r="J25" t="str">
            <v/>
          </cell>
          <cell r="K25" t="str">
            <v/>
          </cell>
          <cell r="L25" t="str">
            <v/>
          </cell>
          <cell r="M25" t="str">
            <v/>
          </cell>
          <cell r="N25">
            <v>0</v>
          </cell>
        </row>
        <row r="26">
          <cell r="A26">
            <v>25</v>
          </cell>
          <cell r="H26" t="str">
            <v/>
          </cell>
          <cell r="I26" t="str">
            <v/>
          </cell>
          <cell r="J26" t="str">
            <v/>
          </cell>
          <cell r="K26" t="str">
            <v/>
          </cell>
          <cell r="L26" t="str">
            <v/>
          </cell>
          <cell r="M26" t="str">
            <v/>
          </cell>
          <cell r="N26">
            <v>0</v>
          </cell>
        </row>
        <row r="27">
          <cell r="A27">
            <v>26</v>
          </cell>
          <cell r="H27" t="str">
            <v/>
          </cell>
          <cell r="I27" t="str">
            <v/>
          </cell>
          <cell r="J27" t="str">
            <v/>
          </cell>
          <cell r="K27" t="str">
            <v/>
          </cell>
          <cell r="L27" t="str">
            <v/>
          </cell>
          <cell r="M27" t="str">
            <v/>
          </cell>
          <cell r="N27">
            <v>0</v>
          </cell>
        </row>
        <row r="28">
          <cell r="A28">
            <v>27</v>
          </cell>
          <cell r="H28" t="str">
            <v/>
          </cell>
          <cell r="I28" t="str">
            <v/>
          </cell>
          <cell r="J28" t="str">
            <v/>
          </cell>
          <cell r="K28" t="str">
            <v/>
          </cell>
          <cell r="L28" t="str">
            <v/>
          </cell>
          <cell r="M28" t="str">
            <v/>
          </cell>
          <cell r="N28">
            <v>0</v>
          </cell>
        </row>
        <row r="29">
          <cell r="A29">
            <v>28</v>
          </cell>
          <cell r="H29" t="str">
            <v/>
          </cell>
          <cell r="I29" t="str">
            <v/>
          </cell>
          <cell r="J29" t="str">
            <v/>
          </cell>
          <cell r="K29" t="str">
            <v/>
          </cell>
          <cell r="L29" t="str">
            <v/>
          </cell>
          <cell r="M29" t="str">
            <v/>
          </cell>
          <cell r="N29">
            <v>0</v>
          </cell>
        </row>
        <row r="30">
          <cell r="A30">
            <v>29</v>
          </cell>
          <cell r="H30" t="str">
            <v/>
          </cell>
          <cell r="I30" t="str">
            <v/>
          </cell>
          <cell r="J30" t="str">
            <v/>
          </cell>
          <cell r="K30" t="str">
            <v/>
          </cell>
          <cell r="L30" t="str">
            <v/>
          </cell>
          <cell r="M30" t="str">
            <v/>
          </cell>
          <cell r="N30">
            <v>0</v>
          </cell>
        </row>
        <row r="31">
          <cell r="A31">
            <v>30</v>
          </cell>
          <cell r="H31" t="str">
            <v/>
          </cell>
          <cell r="I31" t="str">
            <v/>
          </cell>
          <cell r="J31" t="str">
            <v/>
          </cell>
          <cell r="K31" t="str">
            <v/>
          </cell>
          <cell r="L31" t="str">
            <v/>
          </cell>
          <cell r="M31" t="str">
            <v/>
          </cell>
          <cell r="N31">
            <v>0</v>
          </cell>
        </row>
        <row r="32">
          <cell r="A32">
            <v>31</v>
          </cell>
          <cell r="H32" t="str">
            <v/>
          </cell>
          <cell r="I32" t="str">
            <v/>
          </cell>
          <cell r="J32" t="str">
            <v/>
          </cell>
          <cell r="K32" t="str">
            <v/>
          </cell>
          <cell r="L32" t="str">
            <v/>
          </cell>
          <cell r="M32" t="str">
            <v/>
          </cell>
          <cell r="N32">
            <v>0</v>
          </cell>
        </row>
        <row r="33">
          <cell r="A33">
            <v>32</v>
          </cell>
          <cell r="H33" t="str">
            <v/>
          </cell>
          <cell r="I33" t="str">
            <v/>
          </cell>
          <cell r="J33" t="str">
            <v/>
          </cell>
          <cell r="K33" t="str">
            <v/>
          </cell>
          <cell r="L33" t="str">
            <v/>
          </cell>
          <cell r="M33" t="str">
            <v/>
          </cell>
          <cell r="N33">
            <v>0</v>
          </cell>
        </row>
        <row r="34">
          <cell r="A34">
            <v>33</v>
          </cell>
          <cell r="H34" t="str">
            <v/>
          </cell>
          <cell r="I34" t="str">
            <v/>
          </cell>
          <cell r="J34" t="str">
            <v/>
          </cell>
          <cell r="K34" t="str">
            <v/>
          </cell>
          <cell r="L34" t="str">
            <v/>
          </cell>
          <cell r="M34" t="str">
            <v/>
          </cell>
          <cell r="N34">
            <v>0</v>
          </cell>
        </row>
        <row r="35">
          <cell r="A35">
            <v>34</v>
          </cell>
          <cell r="H35" t="str">
            <v/>
          </cell>
          <cell r="I35" t="str">
            <v/>
          </cell>
          <cell r="J35" t="str">
            <v/>
          </cell>
          <cell r="K35" t="str">
            <v/>
          </cell>
          <cell r="L35" t="str">
            <v/>
          </cell>
          <cell r="M35" t="str">
            <v/>
          </cell>
          <cell r="N35">
            <v>0</v>
          </cell>
        </row>
        <row r="36">
          <cell r="A36">
            <v>35</v>
          </cell>
          <cell r="H36" t="str">
            <v/>
          </cell>
          <cell r="I36" t="str">
            <v/>
          </cell>
          <cell r="J36" t="str">
            <v/>
          </cell>
          <cell r="K36" t="str">
            <v/>
          </cell>
          <cell r="L36" t="str">
            <v/>
          </cell>
          <cell r="M36" t="str">
            <v/>
          </cell>
          <cell r="N36">
            <v>0</v>
          </cell>
        </row>
        <row r="37">
          <cell r="A37">
            <v>36</v>
          </cell>
          <cell r="H37" t="str">
            <v/>
          </cell>
          <cell r="I37" t="str">
            <v/>
          </cell>
          <cell r="J37" t="str">
            <v/>
          </cell>
          <cell r="K37" t="str">
            <v/>
          </cell>
          <cell r="L37" t="str">
            <v/>
          </cell>
          <cell r="M37" t="str">
            <v/>
          </cell>
          <cell r="N37">
            <v>0</v>
          </cell>
        </row>
        <row r="38">
          <cell r="A38">
            <v>37</v>
          </cell>
          <cell r="H38" t="str">
            <v/>
          </cell>
          <cell r="I38" t="str">
            <v/>
          </cell>
          <cell r="J38" t="str">
            <v/>
          </cell>
          <cell r="K38" t="str">
            <v/>
          </cell>
          <cell r="L38" t="str">
            <v/>
          </cell>
          <cell r="M38" t="str">
            <v/>
          </cell>
          <cell r="N38">
            <v>0</v>
          </cell>
        </row>
        <row r="39">
          <cell r="A39">
            <v>38</v>
          </cell>
          <cell r="H39" t="str">
            <v/>
          </cell>
          <cell r="I39" t="str">
            <v/>
          </cell>
          <cell r="J39" t="str">
            <v/>
          </cell>
          <cell r="K39" t="str">
            <v/>
          </cell>
          <cell r="L39" t="str">
            <v/>
          </cell>
          <cell r="M39" t="str">
            <v/>
          </cell>
          <cell r="N39">
            <v>0</v>
          </cell>
        </row>
        <row r="40">
          <cell r="A40">
            <v>39</v>
          </cell>
          <cell r="H40" t="str">
            <v/>
          </cell>
          <cell r="I40" t="str">
            <v/>
          </cell>
          <cell r="J40" t="str">
            <v/>
          </cell>
          <cell r="K40" t="str">
            <v/>
          </cell>
          <cell r="L40" t="str">
            <v/>
          </cell>
          <cell r="M40" t="str">
            <v/>
          </cell>
          <cell r="N40">
            <v>0</v>
          </cell>
        </row>
        <row r="41">
          <cell r="A41">
            <v>40</v>
          </cell>
          <cell r="H41" t="str">
            <v/>
          </cell>
          <cell r="I41" t="str">
            <v/>
          </cell>
          <cell r="J41" t="str">
            <v/>
          </cell>
          <cell r="K41" t="str">
            <v/>
          </cell>
          <cell r="L41" t="str">
            <v/>
          </cell>
          <cell r="M41" t="str">
            <v/>
          </cell>
          <cell r="N41">
            <v>0</v>
          </cell>
        </row>
        <row r="42">
          <cell r="A42">
            <v>41</v>
          </cell>
          <cell r="H42" t="str">
            <v/>
          </cell>
          <cell r="I42" t="str">
            <v/>
          </cell>
          <cell r="J42" t="str">
            <v/>
          </cell>
          <cell r="K42" t="str">
            <v/>
          </cell>
          <cell r="L42" t="str">
            <v/>
          </cell>
          <cell r="M42" t="str">
            <v/>
          </cell>
          <cell r="N42">
            <v>0</v>
          </cell>
        </row>
        <row r="43">
          <cell r="A43">
            <v>42</v>
          </cell>
          <cell r="H43" t="str">
            <v/>
          </cell>
          <cell r="I43" t="str">
            <v/>
          </cell>
          <cell r="J43" t="str">
            <v/>
          </cell>
          <cell r="K43" t="str">
            <v/>
          </cell>
          <cell r="L43" t="str">
            <v/>
          </cell>
          <cell r="M43" t="str">
            <v/>
          </cell>
          <cell r="N43">
            <v>0</v>
          </cell>
        </row>
        <row r="44">
          <cell r="A44">
            <v>43</v>
          </cell>
          <cell r="H44" t="str">
            <v/>
          </cell>
          <cell r="I44" t="str">
            <v/>
          </cell>
          <cell r="J44" t="str">
            <v/>
          </cell>
          <cell r="K44" t="str">
            <v/>
          </cell>
          <cell r="L44" t="str">
            <v/>
          </cell>
          <cell r="M44" t="str">
            <v/>
          </cell>
          <cell r="N44">
            <v>0</v>
          </cell>
        </row>
        <row r="45">
          <cell r="A45">
            <v>44</v>
          </cell>
          <cell r="H45" t="str">
            <v/>
          </cell>
          <cell r="I45" t="str">
            <v/>
          </cell>
          <cell r="J45" t="str">
            <v/>
          </cell>
          <cell r="K45" t="str">
            <v/>
          </cell>
          <cell r="L45" t="str">
            <v/>
          </cell>
          <cell r="M45" t="str">
            <v/>
          </cell>
          <cell r="N45">
            <v>0</v>
          </cell>
        </row>
        <row r="46">
          <cell r="A46">
            <v>45</v>
          </cell>
          <cell r="H46" t="str">
            <v/>
          </cell>
          <cell r="I46" t="str">
            <v/>
          </cell>
          <cell r="J46" t="str">
            <v/>
          </cell>
          <cell r="K46" t="str">
            <v/>
          </cell>
          <cell r="L46" t="str">
            <v/>
          </cell>
          <cell r="M46" t="str">
            <v/>
          </cell>
          <cell r="N46">
            <v>0</v>
          </cell>
        </row>
        <row r="47">
          <cell r="A47">
            <v>46</v>
          </cell>
          <cell r="H47" t="str">
            <v/>
          </cell>
          <cell r="I47" t="str">
            <v/>
          </cell>
          <cell r="J47" t="str">
            <v/>
          </cell>
          <cell r="K47" t="str">
            <v/>
          </cell>
          <cell r="L47" t="str">
            <v/>
          </cell>
          <cell r="M47" t="str">
            <v/>
          </cell>
          <cell r="N47">
            <v>0</v>
          </cell>
        </row>
        <row r="48">
          <cell r="A48">
            <v>47</v>
          </cell>
          <cell r="H48" t="str">
            <v/>
          </cell>
          <cell r="I48" t="str">
            <v/>
          </cell>
          <cell r="J48" t="str">
            <v/>
          </cell>
          <cell r="K48" t="str">
            <v/>
          </cell>
          <cell r="L48" t="str">
            <v/>
          </cell>
          <cell r="M48" t="str">
            <v/>
          </cell>
          <cell r="N48">
            <v>0</v>
          </cell>
        </row>
        <row r="49">
          <cell r="A49">
            <v>48</v>
          </cell>
          <cell r="H49" t="str">
            <v/>
          </cell>
          <cell r="I49" t="str">
            <v/>
          </cell>
          <cell r="J49" t="str">
            <v/>
          </cell>
          <cell r="K49" t="str">
            <v/>
          </cell>
          <cell r="L49" t="str">
            <v/>
          </cell>
          <cell r="M49" t="str">
            <v/>
          </cell>
          <cell r="N49">
            <v>0</v>
          </cell>
        </row>
        <row r="50">
          <cell r="A50">
            <v>49</v>
          </cell>
          <cell r="H50" t="str">
            <v/>
          </cell>
          <cell r="I50" t="str">
            <v/>
          </cell>
          <cell r="J50" t="str">
            <v/>
          </cell>
          <cell r="K50" t="str">
            <v/>
          </cell>
          <cell r="L50" t="str">
            <v/>
          </cell>
          <cell r="M50" t="str">
            <v/>
          </cell>
          <cell r="N50">
            <v>0</v>
          </cell>
        </row>
        <row r="51">
          <cell r="A51">
            <v>50</v>
          </cell>
          <cell r="H51" t="str">
            <v/>
          </cell>
          <cell r="I51" t="str">
            <v/>
          </cell>
          <cell r="J51" t="str">
            <v/>
          </cell>
          <cell r="K51" t="str">
            <v/>
          </cell>
          <cell r="L51" t="str">
            <v/>
          </cell>
          <cell r="M51" t="str">
            <v/>
          </cell>
          <cell r="N51">
            <v>0</v>
          </cell>
        </row>
        <row r="52">
          <cell r="A52">
            <v>51</v>
          </cell>
          <cell r="H52" t="str">
            <v/>
          </cell>
          <cell r="I52" t="str">
            <v/>
          </cell>
          <cell r="J52" t="str">
            <v/>
          </cell>
          <cell r="K52" t="str">
            <v/>
          </cell>
          <cell r="L52" t="str">
            <v/>
          </cell>
          <cell r="M52" t="str">
            <v/>
          </cell>
          <cell r="N52">
            <v>0</v>
          </cell>
        </row>
        <row r="53">
          <cell r="A53">
            <v>52</v>
          </cell>
          <cell r="H53" t="str">
            <v/>
          </cell>
          <cell r="I53" t="str">
            <v/>
          </cell>
          <cell r="J53" t="str">
            <v/>
          </cell>
          <cell r="K53" t="str">
            <v/>
          </cell>
          <cell r="L53" t="str">
            <v/>
          </cell>
          <cell r="M53" t="str">
            <v/>
          </cell>
          <cell r="N53">
            <v>0</v>
          </cell>
        </row>
        <row r="54">
          <cell r="A54">
            <v>53</v>
          </cell>
          <cell r="H54" t="str">
            <v/>
          </cell>
          <cell r="I54" t="str">
            <v/>
          </cell>
          <cell r="J54" t="str">
            <v/>
          </cell>
          <cell r="K54" t="str">
            <v/>
          </cell>
          <cell r="L54" t="str">
            <v/>
          </cell>
          <cell r="M54" t="str">
            <v/>
          </cell>
          <cell r="N54">
            <v>0</v>
          </cell>
        </row>
        <row r="55">
          <cell r="A55">
            <v>54</v>
          </cell>
          <cell r="H55" t="str">
            <v/>
          </cell>
          <cell r="I55" t="str">
            <v/>
          </cell>
          <cell r="J55" t="str">
            <v/>
          </cell>
          <cell r="K55" t="str">
            <v/>
          </cell>
          <cell r="L55" t="str">
            <v/>
          </cell>
          <cell r="M55" t="str">
            <v/>
          </cell>
          <cell r="N55">
            <v>0</v>
          </cell>
        </row>
        <row r="56">
          <cell r="A56">
            <v>55</v>
          </cell>
          <cell r="H56" t="str">
            <v/>
          </cell>
          <cell r="I56" t="str">
            <v/>
          </cell>
          <cell r="J56" t="str">
            <v/>
          </cell>
          <cell r="K56" t="str">
            <v/>
          </cell>
          <cell r="L56" t="str">
            <v/>
          </cell>
          <cell r="M56" t="str">
            <v/>
          </cell>
          <cell r="N56">
            <v>0</v>
          </cell>
        </row>
        <row r="57">
          <cell r="A57">
            <v>56</v>
          </cell>
          <cell r="H57" t="str">
            <v/>
          </cell>
          <cell r="I57" t="str">
            <v/>
          </cell>
          <cell r="J57" t="str">
            <v/>
          </cell>
          <cell r="K57" t="str">
            <v/>
          </cell>
          <cell r="L57" t="str">
            <v/>
          </cell>
          <cell r="M57" t="str">
            <v/>
          </cell>
          <cell r="N57">
            <v>0</v>
          </cell>
        </row>
        <row r="58">
          <cell r="A58">
            <v>57</v>
          </cell>
          <cell r="H58" t="str">
            <v/>
          </cell>
          <cell r="I58" t="str">
            <v/>
          </cell>
          <cell r="J58" t="str">
            <v/>
          </cell>
          <cell r="K58" t="str">
            <v/>
          </cell>
          <cell r="L58" t="str">
            <v/>
          </cell>
          <cell r="M58" t="str">
            <v/>
          </cell>
          <cell r="N58">
            <v>0</v>
          </cell>
        </row>
        <row r="59">
          <cell r="A59">
            <v>58</v>
          </cell>
          <cell r="H59" t="str">
            <v/>
          </cell>
          <cell r="I59" t="str">
            <v/>
          </cell>
          <cell r="J59" t="str">
            <v/>
          </cell>
          <cell r="K59" t="str">
            <v/>
          </cell>
          <cell r="L59" t="str">
            <v/>
          </cell>
          <cell r="M59" t="str">
            <v/>
          </cell>
          <cell r="N59">
            <v>0</v>
          </cell>
        </row>
        <row r="60">
          <cell r="A60">
            <v>59</v>
          </cell>
          <cell r="H60" t="str">
            <v/>
          </cell>
          <cell r="I60" t="str">
            <v/>
          </cell>
          <cell r="J60" t="str">
            <v/>
          </cell>
          <cell r="K60" t="str">
            <v/>
          </cell>
          <cell r="L60" t="str">
            <v/>
          </cell>
          <cell r="M60" t="str">
            <v/>
          </cell>
          <cell r="N60">
            <v>0</v>
          </cell>
        </row>
        <row r="61">
          <cell r="A61">
            <v>60</v>
          </cell>
          <cell r="H61" t="str">
            <v/>
          </cell>
          <cell r="I61" t="str">
            <v/>
          </cell>
          <cell r="J61" t="str">
            <v/>
          </cell>
          <cell r="K61" t="str">
            <v/>
          </cell>
          <cell r="L61" t="str">
            <v/>
          </cell>
          <cell r="M61" t="str">
            <v/>
          </cell>
          <cell r="N61">
            <v>0</v>
          </cell>
        </row>
        <row r="62">
          <cell r="A62">
            <v>61</v>
          </cell>
          <cell r="H62" t="str">
            <v/>
          </cell>
          <cell r="I62" t="str">
            <v/>
          </cell>
          <cell r="J62" t="str">
            <v/>
          </cell>
          <cell r="K62" t="str">
            <v/>
          </cell>
          <cell r="L62" t="str">
            <v/>
          </cell>
          <cell r="M62" t="str">
            <v/>
          </cell>
          <cell r="N62">
            <v>0</v>
          </cell>
        </row>
        <row r="63">
          <cell r="A63">
            <v>62</v>
          </cell>
          <cell r="H63" t="str">
            <v/>
          </cell>
          <cell r="I63" t="str">
            <v/>
          </cell>
          <cell r="J63" t="str">
            <v/>
          </cell>
          <cell r="K63" t="str">
            <v/>
          </cell>
          <cell r="L63" t="str">
            <v/>
          </cell>
          <cell r="M63" t="str">
            <v/>
          </cell>
          <cell r="N63">
            <v>0</v>
          </cell>
        </row>
        <row r="64">
          <cell r="A64">
            <v>63</v>
          </cell>
          <cell r="H64" t="str">
            <v/>
          </cell>
          <cell r="I64" t="str">
            <v/>
          </cell>
          <cell r="J64" t="str">
            <v/>
          </cell>
          <cell r="K64" t="str">
            <v/>
          </cell>
          <cell r="L64" t="str">
            <v/>
          </cell>
          <cell r="M64" t="str">
            <v/>
          </cell>
          <cell r="N64">
            <v>0</v>
          </cell>
        </row>
        <row r="65">
          <cell r="A65">
            <v>64</v>
          </cell>
          <cell r="H65" t="str">
            <v/>
          </cell>
          <cell r="I65" t="str">
            <v/>
          </cell>
          <cell r="J65" t="str">
            <v/>
          </cell>
          <cell r="K65" t="str">
            <v/>
          </cell>
          <cell r="L65" t="str">
            <v/>
          </cell>
          <cell r="M65" t="str">
            <v/>
          </cell>
          <cell r="N65">
            <v>0</v>
          </cell>
        </row>
        <row r="66">
          <cell r="A66">
            <v>65</v>
          </cell>
          <cell r="H66" t="str">
            <v/>
          </cell>
          <cell r="I66" t="str">
            <v/>
          </cell>
          <cell r="J66" t="str">
            <v/>
          </cell>
          <cell r="K66" t="str">
            <v/>
          </cell>
          <cell r="L66" t="str">
            <v/>
          </cell>
          <cell r="M66" t="str">
            <v/>
          </cell>
          <cell r="N66">
            <v>0</v>
          </cell>
        </row>
        <row r="67">
          <cell r="A67">
            <v>66</v>
          </cell>
          <cell r="H67" t="str">
            <v/>
          </cell>
          <cell r="I67" t="str">
            <v/>
          </cell>
          <cell r="J67" t="str">
            <v/>
          </cell>
          <cell r="K67" t="str">
            <v/>
          </cell>
          <cell r="L67" t="str">
            <v/>
          </cell>
          <cell r="M67" t="str">
            <v/>
          </cell>
          <cell r="N67">
            <v>0</v>
          </cell>
        </row>
        <row r="68">
          <cell r="A68">
            <v>67</v>
          </cell>
          <cell r="H68" t="str">
            <v/>
          </cell>
          <cell r="I68" t="str">
            <v/>
          </cell>
          <cell r="J68" t="str">
            <v/>
          </cell>
          <cell r="K68" t="str">
            <v/>
          </cell>
          <cell r="L68" t="str">
            <v/>
          </cell>
          <cell r="M68" t="str">
            <v/>
          </cell>
          <cell r="N68">
            <v>0</v>
          </cell>
        </row>
        <row r="69">
          <cell r="A69">
            <v>68</v>
          </cell>
          <cell r="H69" t="str">
            <v/>
          </cell>
          <cell r="I69" t="str">
            <v/>
          </cell>
          <cell r="J69" t="str">
            <v/>
          </cell>
          <cell r="K69" t="str">
            <v/>
          </cell>
          <cell r="L69" t="str">
            <v/>
          </cell>
          <cell r="M69" t="str">
            <v/>
          </cell>
          <cell r="N69">
            <v>0</v>
          </cell>
        </row>
        <row r="70">
          <cell r="A70">
            <v>69</v>
          </cell>
          <cell r="H70" t="str">
            <v/>
          </cell>
          <cell r="I70" t="str">
            <v/>
          </cell>
          <cell r="J70" t="str">
            <v/>
          </cell>
          <cell r="K70" t="str">
            <v/>
          </cell>
          <cell r="L70" t="str">
            <v/>
          </cell>
          <cell r="M70" t="str">
            <v/>
          </cell>
          <cell r="N70">
            <v>0</v>
          </cell>
        </row>
        <row r="71">
          <cell r="A71">
            <v>70</v>
          </cell>
          <cell r="H71" t="str">
            <v/>
          </cell>
          <cell r="I71" t="str">
            <v/>
          </cell>
          <cell r="J71" t="str">
            <v/>
          </cell>
          <cell r="K71" t="str">
            <v/>
          </cell>
          <cell r="L71" t="str">
            <v/>
          </cell>
          <cell r="M71" t="str">
            <v/>
          </cell>
          <cell r="N71">
            <v>0</v>
          </cell>
        </row>
        <row r="72">
          <cell r="A72">
            <v>71</v>
          </cell>
          <cell r="H72" t="str">
            <v/>
          </cell>
          <cell r="I72" t="str">
            <v/>
          </cell>
          <cell r="J72" t="str">
            <v/>
          </cell>
          <cell r="K72" t="str">
            <v/>
          </cell>
          <cell r="L72" t="str">
            <v/>
          </cell>
          <cell r="M72" t="str">
            <v/>
          </cell>
          <cell r="N72">
            <v>0</v>
          </cell>
        </row>
        <row r="73">
          <cell r="A73">
            <v>72</v>
          </cell>
          <cell r="H73" t="str">
            <v/>
          </cell>
          <cell r="I73" t="str">
            <v/>
          </cell>
          <cell r="J73" t="str">
            <v/>
          </cell>
          <cell r="K73" t="str">
            <v/>
          </cell>
          <cell r="L73" t="str">
            <v/>
          </cell>
          <cell r="M73" t="str">
            <v/>
          </cell>
          <cell r="N73">
            <v>0</v>
          </cell>
        </row>
        <row r="74">
          <cell r="A74">
            <v>73</v>
          </cell>
          <cell r="H74" t="str">
            <v/>
          </cell>
          <cell r="I74" t="str">
            <v/>
          </cell>
          <cell r="J74" t="str">
            <v/>
          </cell>
          <cell r="K74" t="str">
            <v/>
          </cell>
          <cell r="L74" t="str">
            <v/>
          </cell>
          <cell r="M74" t="str">
            <v/>
          </cell>
          <cell r="N74">
            <v>0</v>
          </cell>
        </row>
        <row r="75">
          <cell r="A75">
            <v>74</v>
          </cell>
          <cell r="H75" t="str">
            <v/>
          </cell>
          <cell r="I75" t="str">
            <v/>
          </cell>
          <cell r="J75" t="str">
            <v/>
          </cell>
          <cell r="K75" t="str">
            <v/>
          </cell>
          <cell r="L75" t="str">
            <v/>
          </cell>
          <cell r="M75" t="str">
            <v/>
          </cell>
          <cell r="N75">
            <v>0</v>
          </cell>
        </row>
        <row r="76">
          <cell r="A76">
            <v>75</v>
          </cell>
          <cell r="H76" t="str">
            <v/>
          </cell>
          <cell r="I76" t="str">
            <v/>
          </cell>
          <cell r="J76" t="str">
            <v/>
          </cell>
          <cell r="K76" t="str">
            <v/>
          </cell>
          <cell r="L76" t="str">
            <v/>
          </cell>
          <cell r="M76" t="str">
            <v/>
          </cell>
          <cell r="N76">
            <v>0</v>
          </cell>
        </row>
        <row r="77">
          <cell r="A77">
            <v>76</v>
          </cell>
          <cell r="H77" t="str">
            <v/>
          </cell>
          <cell r="I77" t="str">
            <v/>
          </cell>
          <cell r="J77" t="str">
            <v/>
          </cell>
          <cell r="K77" t="str">
            <v/>
          </cell>
          <cell r="L77" t="str">
            <v/>
          </cell>
          <cell r="M77" t="str">
            <v/>
          </cell>
          <cell r="N77">
            <v>0</v>
          </cell>
        </row>
        <row r="78">
          <cell r="A78">
            <v>77</v>
          </cell>
          <cell r="H78" t="str">
            <v/>
          </cell>
          <cell r="I78" t="str">
            <v/>
          </cell>
          <cell r="J78" t="str">
            <v/>
          </cell>
          <cell r="K78" t="str">
            <v/>
          </cell>
          <cell r="L78" t="str">
            <v/>
          </cell>
          <cell r="M78" t="str">
            <v/>
          </cell>
          <cell r="N78">
            <v>0</v>
          </cell>
        </row>
        <row r="79">
          <cell r="A79">
            <v>78</v>
          </cell>
          <cell r="H79" t="str">
            <v/>
          </cell>
          <cell r="I79" t="str">
            <v/>
          </cell>
          <cell r="J79" t="str">
            <v/>
          </cell>
          <cell r="K79" t="str">
            <v/>
          </cell>
          <cell r="L79" t="str">
            <v/>
          </cell>
          <cell r="M79" t="str">
            <v/>
          </cell>
          <cell r="N79">
            <v>0</v>
          </cell>
        </row>
        <row r="80">
          <cell r="A80">
            <v>79</v>
          </cell>
          <cell r="H80" t="str">
            <v/>
          </cell>
          <cell r="I80" t="str">
            <v/>
          </cell>
          <cell r="J80" t="str">
            <v/>
          </cell>
          <cell r="K80" t="str">
            <v/>
          </cell>
          <cell r="L80" t="str">
            <v/>
          </cell>
          <cell r="M80" t="str">
            <v/>
          </cell>
          <cell r="N80">
            <v>0</v>
          </cell>
        </row>
        <row r="81">
          <cell r="A81">
            <v>80</v>
          </cell>
          <cell r="H81" t="str">
            <v/>
          </cell>
          <cell r="I81" t="str">
            <v/>
          </cell>
          <cell r="J81" t="str">
            <v/>
          </cell>
          <cell r="K81" t="str">
            <v/>
          </cell>
          <cell r="L81" t="str">
            <v/>
          </cell>
          <cell r="M81" t="str">
            <v/>
          </cell>
          <cell r="N81">
            <v>0</v>
          </cell>
        </row>
        <row r="82">
          <cell r="A82">
            <v>81</v>
          </cell>
          <cell r="H82" t="str">
            <v/>
          </cell>
          <cell r="I82" t="str">
            <v/>
          </cell>
          <cell r="J82" t="str">
            <v/>
          </cell>
          <cell r="K82" t="str">
            <v/>
          </cell>
          <cell r="L82" t="str">
            <v/>
          </cell>
          <cell r="M82" t="str">
            <v/>
          </cell>
          <cell r="N82">
            <v>0</v>
          </cell>
        </row>
        <row r="83">
          <cell r="A83">
            <v>82</v>
          </cell>
          <cell r="H83" t="str">
            <v/>
          </cell>
          <cell r="I83" t="str">
            <v/>
          </cell>
          <cell r="J83" t="str">
            <v/>
          </cell>
          <cell r="K83" t="str">
            <v/>
          </cell>
          <cell r="L83" t="str">
            <v/>
          </cell>
          <cell r="M83" t="str">
            <v/>
          </cell>
          <cell r="N83">
            <v>0</v>
          </cell>
        </row>
        <row r="84">
          <cell r="A84">
            <v>83</v>
          </cell>
          <cell r="H84" t="str">
            <v/>
          </cell>
          <cell r="I84" t="str">
            <v/>
          </cell>
          <cell r="J84" t="str">
            <v/>
          </cell>
          <cell r="K84" t="str">
            <v/>
          </cell>
          <cell r="L84" t="str">
            <v/>
          </cell>
          <cell r="M84" t="str">
            <v/>
          </cell>
          <cell r="N84">
            <v>0</v>
          </cell>
        </row>
        <row r="85">
          <cell r="A85">
            <v>84</v>
          </cell>
          <cell r="H85" t="str">
            <v/>
          </cell>
          <cell r="I85" t="str">
            <v/>
          </cell>
          <cell r="J85" t="str">
            <v/>
          </cell>
          <cell r="K85" t="str">
            <v/>
          </cell>
          <cell r="L85" t="str">
            <v/>
          </cell>
          <cell r="M85" t="str">
            <v/>
          </cell>
          <cell r="N85">
            <v>0</v>
          </cell>
        </row>
        <row r="86">
          <cell r="A86">
            <v>85</v>
          </cell>
          <cell r="H86" t="str">
            <v/>
          </cell>
          <cell r="I86" t="str">
            <v/>
          </cell>
          <cell r="J86" t="str">
            <v/>
          </cell>
          <cell r="K86" t="str">
            <v/>
          </cell>
          <cell r="L86" t="str">
            <v/>
          </cell>
          <cell r="M86" t="str">
            <v/>
          </cell>
          <cell r="N86">
            <v>0</v>
          </cell>
        </row>
        <row r="87">
          <cell r="A87">
            <v>86</v>
          </cell>
          <cell r="H87" t="str">
            <v/>
          </cell>
          <cell r="I87" t="str">
            <v/>
          </cell>
          <cell r="J87" t="str">
            <v/>
          </cell>
          <cell r="K87" t="str">
            <v/>
          </cell>
          <cell r="L87" t="str">
            <v/>
          </cell>
          <cell r="M87" t="str">
            <v/>
          </cell>
          <cell r="N87">
            <v>0</v>
          </cell>
        </row>
        <row r="88">
          <cell r="A88">
            <v>87</v>
          </cell>
          <cell r="H88" t="str">
            <v/>
          </cell>
          <cell r="I88" t="str">
            <v/>
          </cell>
          <cell r="J88" t="str">
            <v/>
          </cell>
          <cell r="K88" t="str">
            <v/>
          </cell>
          <cell r="L88" t="str">
            <v/>
          </cell>
          <cell r="M88" t="str">
            <v/>
          </cell>
          <cell r="N88">
            <v>0</v>
          </cell>
        </row>
        <row r="89">
          <cell r="A89">
            <v>88</v>
          </cell>
          <cell r="H89" t="str">
            <v/>
          </cell>
          <cell r="I89" t="str">
            <v/>
          </cell>
          <cell r="J89" t="str">
            <v/>
          </cell>
          <cell r="K89" t="str">
            <v/>
          </cell>
          <cell r="L89" t="str">
            <v/>
          </cell>
          <cell r="M89" t="str">
            <v/>
          </cell>
          <cell r="N89">
            <v>0</v>
          </cell>
        </row>
        <row r="90">
          <cell r="A90">
            <v>89</v>
          </cell>
          <cell r="H90" t="str">
            <v/>
          </cell>
          <cell r="I90" t="str">
            <v/>
          </cell>
          <cell r="J90" t="str">
            <v/>
          </cell>
          <cell r="K90" t="str">
            <v/>
          </cell>
          <cell r="L90" t="str">
            <v/>
          </cell>
          <cell r="M90" t="str">
            <v/>
          </cell>
          <cell r="N90">
            <v>0</v>
          </cell>
        </row>
        <row r="91">
          <cell r="A91">
            <v>90</v>
          </cell>
          <cell r="H91" t="str">
            <v/>
          </cell>
          <cell r="I91" t="str">
            <v/>
          </cell>
          <cell r="J91" t="str">
            <v/>
          </cell>
          <cell r="K91" t="str">
            <v/>
          </cell>
          <cell r="L91" t="str">
            <v/>
          </cell>
          <cell r="M91" t="str">
            <v/>
          </cell>
          <cell r="N91">
            <v>0</v>
          </cell>
        </row>
        <row r="92">
          <cell r="A92">
            <v>91</v>
          </cell>
          <cell r="H92" t="str">
            <v/>
          </cell>
          <cell r="I92" t="str">
            <v/>
          </cell>
          <cell r="J92" t="str">
            <v/>
          </cell>
          <cell r="K92" t="str">
            <v/>
          </cell>
          <cell r="L92" t="str">
            <v/>
          </cell>
          <cell r="M92" t="str">
            <v/>
          </cell>
          <cell r="N92">
            <v>0</v>
          </cell>
        </row>
        <row r="93">
          <cell r="A93">
            <v>92</v>
          </cell>
          <cell r="H93" t="str">
            <v/>
          </cell>
          <cell r="I93" t="str">
            <v/>
          </cell>
          <cell r="J93" t="str">
            <v/>
          </cell>
          <cell r="K93" t="str">
            <v/>
          </cell>
          <cell r="L93" t="str">
            <v/>
          </cell>
          <cell r="M93" t="str">
            <v/>
          </cell>
          <cell r="N93">
            <v>0</v>
          </cell>
        </row>
        <row r="94">
          <cell r="A94">
            <v>93</v>
          </cell>
          <cell r="H94" t="str">
            <v/>
          </cell>
          <cell r="I94" t="str">
            <v/>
          </cell>
          <cell r="J94" t="str">
            <v/>
          </cell>
          <cell r="K94" t="str">
            <v/>
          </cell>
          <cell r="L94" t="str">
            <v/>
          </cell>
          <cell r="M94" t="str">
            <v/>
          </cell>
          <cell r="N94">
            <v>0</v>
          </cell>
        </row>
        <row r="95">
          <cell r="A95">
            <v>94</v>
          </cell>
          <cell r="H95" t="str">
            <v/>
          </cell>
          <cell r="I95" t="str">
            <v/>
          </cell>
          <cell r="J95" t="str">
            <v/>
          </cell>
          <cell r="K95" t="str">
            <v/>
          </cell>
          <cell r="L95" t="str">
            <v/>
          </cell>
          <cell r="M95" t="str">
            <v/>
          </cell>
          <cell r="N95">
            <v>0</v>
          </cell>
        </row>
        <row r="96">
          <cell r="A96">
            <v>95</v>
          </cell>
          <cell r="H96" t="str">
            <v/>
          </cell>
          <cell r="I96" t="str">
            <v/>
          </cell>
          <cell r="J96" t="str">
            <v/>
          </cell>
          <cell r="K96" t="str">
            <v/>
          </cell>
          <cell r="L96" t="str">
            <v/>
          </cell>
          <cell r="M96" t="str">
            <v/>
          </cell>
          <cell r="N96">
            <v>0</v>
          </cell>
        </row>
        <row r="97">
          <cell r="A97">
            <v>96</v>
          </cell>
          <cell r="H97" t="str">
            <v/>
          </cell>
          <cell r="I97" t="str">
            <v/>
          </cell>
          <cell r="J97" t="str">
            <v/>
          </cell>
          <cell r="K97" t="str">
            <v/>
          </cell>
          <cell r="L97" t="str">
            <v/>
          </cell>
          <cell r="M97" t="str">
            <v/>
          </cell>
          <cell r="N97">
            <v>0</v>
          </cell>
        </row>
        <row r="98">
          <cell r="A98">
            <v>97</v>
          </cell>
          <cell r="H98" t="str">
            <v/>
          </cell>
          <cell r="I98" t="str">
            <v/>
          </cell>
          <cell r="J98" t="str">
            <v/>
          </cell>
          <cell r="K98" t="str">
            <v/>
          </cell>
          <cell r="L98" t="str">
            <v/>
          </cell>
          <cell r="M98" t="str">
            <v/>
          </cell>
          <cell r="N98">
            <v>0</v>
          </cell>
        </row>
        <row r="99">
          <cell r="A99">
            <v>98</v>
          </cell>
          <cell r="H99" t="str">
            <v/>
          </cell>
          <cell r="I99" t="str">
            <v/>
          </cell>
          <cell r="J99" t="str">
            <v/>
          </cell>
          <cell r="K99" t="str">
            <v/>
          </cell>
          <cell r="L99" t="str">
            <v/>
          </cell>
          <cell r="M99" t="str">
            <v/>
          </cell>
          <cell r="N99">
            <v>0</v>
          </cell>
        </row>
        <row r="100">
          <cell r="A100">
            <v>99</v>
          </cell>
          <cell r="H100" t="str">
            <v/>
          </cell>
          <cell r="I100" t="str">
            <v/>
          </cell>
          <cell r="J100" t="str">
            <v/>
          </cell>
          <cell r="K100" t="str">
            <v/>
          </cell>
          <cell r="L100" t="str">
            <v/>
          </cell>
          <cell r="M100" t="str">
            <v/>
          </cell>
          <cell r="N100">
            <v>0</v>
          </cell>
        </row>
        <row r="101">
          <cell r="A101">
            <v>100</v>
          </cell>
          <cell r="H101" t="str">
            <v/>
          </cell>
          <cell r="I101" t="str">
            <v/>
          </cell>
          <cell r="J101" t="str">
            <v/>
          </cell>
          <cell r="K101" t="str">
            <v/>
          </cell>
          <cell r="L101" t="str">
            <v/>
          </cell>
          <cell r="M101" t="str">
            <v/>
          </cell>
          <cell r="N101">
            <v>0</v>
          </cell>
        </row>
      </sheetData>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 직영"/>
      <sheetName val="할석"/>
      <sheetName val="한성인력"/>
      <sheetName val="남부인력"/>
      <sheetName val="철근"/>
      <sheetName val="김종필"/>
      <sheetName val="묘제"/>
      <sheetName val="조영호형틀"/>
      <sheetName val="정현섭"/>
      <sheetName val="기초데이타"/>
      <sheetName val="차상민"/>
      <sheetName val="류한식"/>
      <sheetName val="박현주"/>
      <sheetName val="시쓰템"/>
      <sheetName val="정리"/>
      <sheetName val="해체"/>
      <sheetName val="콘크리트"/>
      <sheetName val="비계"/>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조인수</v>
          </cell>
        </row>
        <row r="3">
          <cell r="A3" t="str">
            <v>이명구</v>
          </cell>
        </row>
        <row r="4">
          <cell r="A4" t="str">
            <v>최갑식</v>
          </cell>
        </row>
        <row r="5">
          <cell r="A5" t="str">
            <v>이순옥</v>
          </cell>
        </row>
        <row r="6">
          <cell r="A6" t="str">
            <v>박경수</v>
          </cell>
        </row>
        <row r="7">
          <cell r="A7" t="str">
            <v>김광열</v>
          </cell>
        </row>
        <row r="8">
          <cell r="A8" t="str">
            <v>유민종</v>
          </cell>
        </row>
        <row r="9">
          <cell r="A9" t="str">
            <v>최찬용(실업급여중)</v>
          </cell>
        </row>
        <row r="10">
          <cell r="A10" t="str">
            <v>김세영</v>
          </cell>
        </row>
        <row r="11">
          <cell r="A11" t="str">
            <v>손준호</v>
          </cell>
        </row>
        <row r="12">
          <cell r="A12" t="str">
            <v>홍승관</v>
          </cell>
        </row>
        <row r="13">
          <cell r="A13" t="str">
            <v>허경환</v>
          </cell>
        </row>
        <row r="14">
          <cell r="A14" t="str">
            <v>김승화</v>
          </cell>
        </row>
        <row r="15">
          <cell r="A15" t="str">
            <v>김주철</v>
          </cell>
        </row>
        <row r="16">
          <cell r="A16" t="str">
            <v>김춘옥</v>
          </cell>
        </row>
        <row r="17">
          <cell r="A17" t="str">
            <v>강인중</v>
          </cell>
        </row>
        <row r="18">
          <cell r="A18" t="str">
            <v>최락문</v>
          </cell>
        </row>
        <row r="19">
          <cell r="A19" t="str">
            <v>김호상</v>
          </cell>
        </row>
        <row r="20">
          <cell r="A20" t="str">
            <v>박원석</v>
          </cell>
        </row>
        <row r="21">
          <cell r="A21" t="str">
            <v>최광일</v>
          </cell>
        </row>
        <row r="22">
          <cell r="A22" t="str">
            <v>황기백</v>
          </cell>
        </row>
        <row r="23">
          <cell r="A23" t="str">
            <v>이명수(LI MINGSHU)</v>
          </cell>
        </row>
        <row r="24">
          <cell r="A24" t="str">
            <v>한영(HAN YING)</v>
          </cell>
        </row>
        <row r="25">
          <cell r="A25" t="str">
            <v>김종수(JIN ZHONGZHU)</v>
          </cell>
        </row>
        <row r="26">
          <cell r="A26" t="str">
            <v>김영일(JIN YONGRI)</v>
          </cell>
        </row>
        <row r="27">
          <cell r="A27" t="str">
            <v>이승진</v>
          </cell>
        </row>
        <row r="28">
          <cell r="A28" t="str">
            <v>김양규</v>
          </cell>
        </row>
        <row r="29">
          <cell r="A29" t="str">
            <v>김창용</v>
          </cell>
        </row>
        <row r="30">
          <cell r="A30" t="str">
            <v>박명애(PIAO MINGAI)</v>
          </cell>
        </row>
        <row r="31">
          <cell r="A31" t="str">
            <v>김명숙</v>
          </cell>
        </row>
        <row r="32">
          <cell r="A32" t="str">
            <v>박윤수</v>
          </cell>
        </row>
        <row r="33">
          <cell r="A33" t="str">
            <v>박한수</v>
          </cell>
        </row>
        <row r="34">
          <cell r="A34" t="str">
            <v>안종대</v>
          </cell>
        </row>
        <row r="35">
          <cell r="A35" t="str">
            <v>조범식</v>
          </cell>
        </row>
        <row r="36">
          <cell r="A36" t="str">
            <v>황문현</v>
          </cell>
        </row>
        <row r="37">
          <cell r="A37" t="str">
            <v>임택권</v>
          </cell>
        </row>
        <row r="38">
          <cell r="A38" t="str">
            <v>김광일(JIN GUANGRI)</v>
          </cell>
        </row>
        <row r="39">
          <cell r="A39" t="str">
            <v>차진석(CHE ZHENSHI)</v>
          </cell>
        </row>
        <row r="40">
          <cell r="A40" t="str">
            <v>정수선</v>
          </cell>
        </row>
        <row r="41">
          <cell r="A41" t="str">
            <v>문을권</v>
          </cell>
        </row>
        <row r="42">
          <cell r="A42" t="str">
            <v>정병수</v>
          </cell>
        </row>
        <row r="43">
          <cell r="A43" t="str">
            <v>임채생</v>
          </cell>
        </row>
        <row r="44">
          <cell r="A44" t="str">
            <v>문종희</v>
          </cell>
        </row>
        <row r="45">
          <cell r="A45" t="str">
            <v>정현섭</v>
          </cell>
        </row>
        <row r="46">
          <cell r="A46" t="str">
            <v>정인정</v>
          </cell>
        </row>
        <row r="47">
          <cell r="A47" t="str">
            <v>유철호</v>
          </cell>
        </row>
        <row r="48">
          <cell r="A48" t="str">
            <v>유지봉</v>
          </cell>
        </row>
        <row r="49">
          <cell r="A49" t="str">
            <v>주한식</v>
          </cell>
        </row>
        <row r="50">
          <cell r="A50" t="str">
            <v>박종수(PIAO ZHONGZHU)</v>
          </cell>
        </row>
        <row r="51">
          <cell r="A51" t="str">
            <v>이광명</v>
          </cell>
        </row>
        <row r="52">
          <cell r="A52" t="str">
            <v>장문로(ZHANG WENLU)</v>
          </cell>
        </row>
        <row r="53">
          <cell r="A53" t="str">
            <v>이룡삼(LI LONGSAN)</v>
          </cell>
        </row>
        <row r="54">
          <cell r="A54" t="str">
            <v>김석(JIN SHI)</v>
          </cell>
        </row>
        <row r="55">
          <cell r="A55" t="str">
            <v>이춘복(LI CHUNFU)</v>
          </cell>
        </row>
        <row r="56">
          <cell r="A56" t="str">
            <v>계용책(GUI LONGCAI)</v>
          </cell>
        </row>
        <row r="57">
          <cell r="A57" t="str">
            <v>권기화(QUAN JIHUA)</v>
          </cell>
        </row>
        <row r="58">
          <cell r="A58" t="str">
            <v>조철길(ZHAO ZHEJI)</v>
          </cell>
        </row>
        <row r="59">
          <cell r="A59" t="str">
            <v>염영준(LIAN YONGJUN)</v>
          </cell>
        </row>
        <row r="60">
          <cell r="A60" t="str">
            <v>황학송(HUANG HESONG)</v>
          </cell>
        </row>
        <row r="62">
          <cell r="A62" t="str">
            <v>김국경 JIN GUOQING</v>
          </cell>
        </row>
        <row r="63">
          <cell r="A63" t="str">
            <v>강희갑 QUAN CHENGRI</v>
          </cell>
        </row>
        <row r="64">
          <cell r="A64" t="str">
            <v>권성열 JIANG XIJIA</v>
          </cell>
        </row>
        <row r="65">
          <cell r="A65" t="str">
            <v>전수현 QUAN XIUXIAN</v>
          </cell>
        </row>
        <row r="66">
          <cell r="A66" t="str">
            <v>안완석</v>
          </cell>
        </row>
        <row r="67">
          <cell r="A67" t="str">
            <v>한상만</v>
          </cell>
        </row>
        <row r="68">
          <cell r="A68" t="str">
            <v>박종진</v>
          </cell>
        </row>
        <row r="69">
          <cell r="A69" t="str">
            <v>김영현</v>
          </cell>
        </row>
        <row r="70">
          <cell r="A70" t="str">
            <v>방규석</v>
          </cell>
        </row>
        <row r="71">
          <cell r="A71" t="str">
            <v>김형국</v>
          </cell>
        </row>
        <row r="72">
          <cell r="A72" t="str">
            <v>서봉섭</v>
          </cell>
        </row>
        <row r="73">
          <cell r="A73" t="str">
            <v>오은섭</v>
          </cell>
        </row>
        <row r="74">
          <cell r="A74" t="str">
            <v>김경선</v>
          </cell>
        </row>
        <row r="75">
          <cell r="A75" t="str">
            <v>김종운</v>
          </cell>
        </row>
        <row r="76">
          <cell r="A76" t="str">
            <v>신철근(SHEN ZHEQUAN)</v>
          </cell>
        </row>
        <row r="77">
          <cell r="A77" t="str">
            <v>이진</v>
          </cell>
        </row>
        <row r="78">
          <cell r="A78" t="str">
            <v>박사만</v>
          </cell>
        </row>
        <row r="79">
          <cell r="A79" t="str">
            <v>김수현</v>
          </cell>
        </row>
        <row r="80">
          <cell r="A80" t="str">
            <v>신길호</v>
          </cell>
        </row>
        <row r="81">
          <cell r="A81" t="str">
            <v>박근철</v>
          </cell>
        </row>
        <row r="82">
          <cell r="A82" t="str">
            <v>전성환</v>
          </cell>
        </row>
        <row r="83">
          <cell r="A83" t="str">
            <v>이용석</v>
          </cell>
        </row>
        <row r="84">
          <cell r="A84" t="str">
            <v>구본훈</v>
          </cell>
        </row>
        <row r="85">
          <cell r="A85" t="str">
            <v>장복상</v>
          </cell>
        </row>
        <row r="86">
          <cell r="A86" t="str">
            <v>최기봉</v>
          </cell>
        </row>
        <row r="87">
          <cell r="A87" t="str">
            <v>천보배</v>
          </cell>
        </row>
        <row r="88">
          <cell r="A88" t="str">
            <v>권오석</v>
          </cell>
        </row>
        <row r="89">
          <cell r="A89" t="str">
            <v>김근수</v>
          </cell>
        </row>
        <row r="90">
          <cell r="A90" t="str">
            <v>조성범</v>
          </cell>
        </row>
        <row r="91">
          <cell r="A91" t="str">
            <v>최상철</v>
          </cell>
        </row>
        <row r="92">
          <cell r="A92" t="str">
            <v>고송배(GAO SONGPEI)</v>
          </cell>
        </row>
        <row r="93">
          <cell r="A93" t="str">
            <v>구강모</v>
          </cell>
        </row>
        <row r="94">
          <cell r="A94" t="str">
            <v>구자본</v>
          </cell>
        </row>
        <row r="95">
          <cell r="A95" t="str">
            <v>김건덕</v>
          </cell>
        </row>
        <row r="96">
          <cell r="A96" t="str">
            <v>김건호</v>
          </cell>
        </row>
        <row r="97">
          <cell r="A97" t="str">
            <v>김대환</v>
          </cell>
        </row>
        <row r="98">
          <cell r="A98" t="str">
            <v>김덕광(JIN DEGUANG)</v>
          </cell>
        </row>
        <row r="99">
          <cell r="A99" t="str">
            <v>김문규</v>
          </cell>
        </row>
        <row r="100">
          <cell r="A100" t="str">
            <v>김병관</v>
          </cell>
        </row>
        <row r="101">
          <cell r="A101" t="str">
            <v>김상열</v>
          </cell>
        </row>
        <row r="102">
          <cell r="A102" t="str">
            <v>김용호</v>
          </cell>
        </row>
        <row r="103">
          <cell r="A103" t="str">
            <v>김용환</v>
          </cell>
        </row>
        <row r="104">
          <cell r="A104" t="str">
            <v>김우일</v>
          </cell>
        </row>
        <row r="105">
          <cell r="A105" t="str">
            <v>김운철(JIN YUNZHE)</v>
          </cell>
        </row>
        <row r="106">
          <cell r="A106" t="str">
            <v>김재갑</v>
          </cell>
        </row>
        <row r="107">
          <cell r="A107" t="str">
            <v>김정윤</v>
          </cell>
        </row>
        <row r="108">
          <cell r="A108" t="str">
            <v>김창용(JIN CHANGYONG)</v>
          </cell>
        </row>
        <row r="109">
          <cell r="A109" t="str">
            <v>김창화(JIN CHANGHUA)</v>
          </cell>
        </row>
        <row r="110">
          <cell r="A110" t="str">
            <v>김태선</v>
          </cell>
        </row>
        <row r="111">
          <cell r="A111" t="str">
            <v>김태호</v>
          </cell>
        </row>
        <row r="112">
          <cell r="A112" t="str">
            <v>김해원</v>
          </cell>
        </row>
        <row r="113">
          <cell r="A113" t="str">
            <v>김홍철</v>
          </cell>
        </row>
        <row r="114">
          <cell r="A114" t="str">
            <v>라수균</v>
          </cell>
        </row>
        <row r="115">
          <cell r="A115" t="str">
            <v>박근철</v>
          </cell>
        </row>
        <row r="116">
          <cell r="A116" t="str">
            <v>박영신</v>
          </cell>
        </row>
        <row r="117">
          <cell r="A117" t="str">
            <v>박재민</v>
          </cell>
        </row>
        <row r="118">
          <cell r="A118" t="str">
            <v>박태진</v>
          </cell>
        </row>
        <row r="119">
          <cell r="A119" t="str">
            <v>박환성</v>
          </cell>
        </row>
        <row r="120">
          <cell r="A120" t="str">
            <v>배성원</v>
          </cell>
        </row>
        <row r="121">
          <cell r="A121" t="str">
            <v>백남국(CUI GUANGCHUN)</v>
          </cell>
        </row>
        <row r="122">
          <cell r="A122" t="str">
            <v>변양균</v>
          </cell>
        </row>
        <row r="123">
          <cell r="A123" t="str">
            <v>서달석</v>
          </cell>
        </row>
        <row r="124">
          <cell r="A124" t="str">
            <v>서정윤</v>
          </cell>
        </row>
        <row r="125">
          <cell r="A125" t="str">
            <v>손기수</v>
          </cell>
        </row>
        <row r="126">
          <cell r="A126" t="str">
            <v>안복근</v>
          </cell>
        </row>
        <row r="127">
          <cell r="A127" t="str">
            <v>양동우</v>
          </cell>
        </row>
        <row r="128">
          <cell r="A128" t="str">
            <v>양병선</v>
          </cell>
        </row>
        <row r="129">
          <cell r="A129" t="str">
            <v>양진철</v>
          </cell>
        </row>
        <row r="130">
          <cell r="A130" t="str">
            <v>양태만(LIANG TAIWAN)</v>
          </cell>
        </row>
        <row r="131">
          <cell r="A131" t="str">
            <v>오영수</v>
          </cell>
        </row>
        <row r="132">
          <cell r="A132" t="str">
            <v>오은규</v>
          </cell>
        </row>
        <row r="133">
          <cell r="A133" t="str">
            <v>오현수</v>
          </cell>
        </row>
        <row r="134">
          <cell r="A134" t="str">
            <v>윤강찬(YIN JIANGZAN)</v>
          </cell>
        </row>
        <row r="135">
          <cell r="A135" t="str">
            <v>윤경국</v>
          </cell>
        </row>
        <row r="136">
          <cell r="A136" t="str">
            <v>윤원상</v>
          </cell>
        </row>
        <row r="137">
          <cell r="A137" t="str">
            <v>윤철현</v>
          </cell>
        </row>
        <row r="138">
          <cell r="A138" t="str">
            <v>이관행</v>
          </cell>
        </row>
        <row r="139">
          <cell r="A139" t="str">
            <v>이규남</v>
          </cell>
        </row>
        <row r="140">
          <cell r="A140" t="str">
            <v>이근수(LI GENXIU)</v>
          </cell>
        </row>
        <row r="141">
          <cell r="A141" t="str">
            <v>이남훈</v>
          </cell>
        </row>
        <row r="142">
          <cell r="A142" t="str">
            <v>이대홍</v>
          </cell>
        </row>
        <row r="143">
          <cell r="A143" t="str">
            <v>이석호</v>
          </cell>
        </row>
        <row r="144">
          <cell r="A144" t="str">
            <v>이승완</v>
          </cell>
        </row>
        <row r="145">
          <cell r="A145" t="str">
            <v>이영일</v>
          </cell>
        </row>
        <row r="146">
          <cell r="A146" t="str">
            <v>이용환</v>
          </cell>
        </row>
        <row r="147">
          <cell r="A147" t="str">
            <v>이재찬</v>
          </cell>
        </row>
        <row r="148">
          <cell r="A148" t="str">
            <v>이철웅(LI ZHEXIONG)</v>
          </cell>
        </row>
        <row r="149">
          <cell r="A149" t="str">
            <v>이충권</v>
          </cell>
        </row>
        <row r="150">
          <cell r="A150" t="str">
            <v>이해균</v>
          </cell>
        </row>
        <row r="151">
          <cell r="A151" t="str">
            <v>전운엽</v>
          </cell>
        </row>
        <row r="152">
          <cell r="A152" t="str">
            <v>정기섭</v>
          </cell>
        </row>
        <row r="153">
          <cell r="A153" t="str">
            <v>정명진(ZHENG MINGZHEN)</v>
          </cell>
        </row>
        <row r="154">
          <cell r="A154" t="str">
            <v>조기태</v>
          </cell>
        </row>
        <row r="155">
          <cell r="A155" t="str">
            <v>조성범</v>
          </cell>
        </row>
        <row r="156">
          <cell r="A156" t="str">
            <v>조춘경</v>
          </cell>
        </row>
        <row r="157">
          <cell r="A157" t="str">
            <v>천보배</v>
          </cell>
        </row>
        <row r="158">
          <cell r="A158" t="str">
            <v>최영용</v>
          </cell>
        </row>
        <row r="159">
          <cell r="A159" t="str">
            <v>최용만(CUI LONGWAN)</v>
          </cell>
        </row>
        <row r="160">
          <cell r="A160" t="str">
            <v>홍병열</v>
          </cell>
        </row>
        <row r="161">
          <cell r="A161" t="str">
            <v>황준호</v>
          </cell>
        </row>
        <row r="162">
          <cell r="A162" t="str">
            <v>이규환</v>
          </cell>
        </row>
        <row r="163">
          <cell r="A163" t="str">
            <v>이길우</v>
          </cell>
        </row>
        <row r="164">
          <cell r="A164" t="str">
            <v>김금용</v>
          </cell>
        </row>
        <row r="165">
          <cell r="A165" t="str">
            <v>강준철</v>
          </cell>
        </row>
        <row r="166">
          <cell r="A166" t="str">
            <v>권오석</v>
          </cell>
        </row>
        <row r="167">
          <cell r="A167" t="str">
            <v>이희규</v>
          </cell>
        </row>
        <row r="168">
          <cell r="A168" t="str">
            <v>강인호</v>
          </cell>
        </row>
        <row r="169">
          <cell r="A169" t="str">
            <v>고종윤</v>
          </cell>
        </row>
        <row r="170">
          <cell r="A170" t="str">
            <v>구자현</v>
          </cell>
        </row>
        <row r="171">
          <cell r="A171" t="str">
            <v>권영복</v>
          </cell>
        </row>
        <row r="172">
          <cell r="A172" t="str">
            <v>김경철(JIN JINGZHE)</v>
          </cell>
        </row>
        <row r="173">
          <cell r="A173" t="str">
            <v>김남진</v>
          </cell>
        </row>
        <row r="174">
          <cell r="A174" t="str">
            <v>김병수</v>
          </cell>
        </row>
        <row r="175">
          <cell r="A175" t="str">
            <v>김병수2</v>
          </cell>
        </row>
        <row r="176">
          <cell r="A176" t="str">
            <v>김성출</v>
          </cell>
        </row>
        <row r="177">
          <cell r="A177" t="str">
            <v>김영철</v>
          </cell>
        </row>
        <row r="178">
          <cell r="A178" t="str">
            <v>김용운</v>
          </cell>
        </row>
        <row r="179">
          <cell r="A179" t="str">
            <v>김유남</v>
          </cell>
        </row>
        <row r="180">
          <cell r="A180" t="str">
            <v>김재신</v>
          </cell>
        </row>
        <row r="181">
          <cell r="A181" t="str">
            <v>나성수</v>
          </cell>
        </row>
        <row r="182">
          <cell r="A182" t="str">
            <v>노경호</v>
          </cell>
        </row>
        <row r="183">
          <cell r="A183" t="str">
            <v>박수득</v>
          </cell>
        </row>
        <row r="184">
          <cell r="A184" t="str">
            <v>박영숙</v>
          </cell>
        </row>
        <row r="185">
          <cell r="A185" t="str">
            <v>박영창</v>
          </cell>
        </row>
        <row r="186">
          <cell r="A186" t="str">
            <v>박형배</v>
          </cell>
        </row>
        <row r="187">
          <cell r="A187" t="str">
            <v>서남진</v>
          </cell>
        </row>
        <row r="188">
          <cell r="A188" t="str">
            <v>손진영</v>
          </cell>
        </row>
        <row r="189">
          <cell r="A189" t="str">
            <v>송경섭2</v>
          </cell>
        </row>
        <row r="190">
          <cell r="A190" t="str">
            <v>송영인</v>
          </cell>
        </row>
        <row r="191">
          <cell r="A191" t="str">
            <v>신준철</v>
          </cell>
        </row>
        <row r="192">
          <cell r="A192" t="str">
            <v>옥성민</v>
          </cell>
        </row>
        <row r="193">
          <cell r="A193" t="str">
            <v>이강웅</v>
          </cell>
        </row>
        <row r="194">
          <cell r="A194" t="str">
            <v>이범준</v>
          </cell>
        </row>
        <row r="195">
          <cell r="A195" t="str">
            <v>이용내</v>
          </cell>
        </row>
        <row r="196">
          <cell r="A196" t="str">
            <v>장성빈</v>
          </cell>
        </row>
        <row r="197">
          <cell r="A197" t="str">
            <v>장양수</v>
          </cell>
        </row>
        <row r="198">
          <cell r="A198" t="str">
            <v>장운성(ZHANG YUNSONG)</v>
          </cell>
        </row>
        <row r="199">
          <cell r="A199" t="str">
            <v>전종세</v>
          </cell>
        </row>
        <row r="200">
          <cell r="A200" t="str">
            <v>조성필</v>
          </cell>
        </row>
        <row r="201">
          <cell r="A201" t="str">
            <v>지종구</v>
          </cell>
        </row>
        <row r="202">
          <cell r="A202" t="str">
            <v>진우</v>
          </cell>
        </row>
        <row r="203">
          <cell r="A203" t="str">
            <v>채동은</v>
          </cell>
        </row>
        <row r="204">
          <cell r="A204" t="str">
            <v>채사무엘</v>
          </cell>
        </row>
        <row r="205">
          <cell r="A205" t="str">
            <v>최돈승</v>
          </cell>
        </row>
        <row r="206">
          <cell r="A206" t="str">
            <v>최동석</v>
          </cell>
        </row>
        <row r="207">
          <cell r="A207" t="str">
            <v>최림(CUI LIN)</v>
          </cell>
        </row>
        <row r="208">
          <cell r="A208" t="str">
            <v>하병우</v>
          </cell>
        </row>
        <row r="209">
          <cell r="A209" t="str">
            <v>허혁</v>
          </cell>
        </row>
        <row r="210">
          <cell r="A210" t="str">
            <v>김태선</v>
          </cell>
        </row>
        <row r="211">
          <cell r="A211" t="str">
            <v>윤정만</v>
          </cell>
        </row>
        <row r="212">
          <cell r="A212" t="str">
            <v>김종필</v>
          </cell>
        </row>
        <row r="213">
          <cell r="A213" t="str">
            <v>요병주</v>
          </cell>
        </row>
        <row r="214">
          <cell r="A214" t="str">
            <v>마홍양</v>
          </cell>
        </row>
        <row r="215">
          <cell r="A215" t="str">
            <v>문형선</v>
          </cell>
        </row>
        <row r="216">
          <cell r="A216" t="str">
            <v>김성건</v>
          </cell>
        </row>
        <row r="217">
          <cell r="A217" t="str">
            <v>이동호</v>
          </cell>
        </row>
        <row r="218">
          <cell r="A218" t="str">
            <v>황대연</v>
          </cell>
        </row>
        <row r="219">
          <cell r="A219" t="str">
            <v>임종화</v>
          </cell>
        </row>
        <row r="220">
          <cell r="A220" t="str">
            <v>이상수</v>
          </cell>
        </row>
        <row r="221">
          <cell r="A221" t="str">
            <v>신재경</v>
          </cell>
        </row>
        <row r="222">
          <cell r="A222" t="str">
            <v>전요셉</v>
          </cell>
        </row>
        <row r="223">
          <cell r="A223" t="str">
            <v>정성구</v>
          </cell>
        </row>
        <row r="224">
          <cell r="A224" t="str">
            <v>양정훈</v>
          </cell>
        </row>
        <row r="225">
          <cell r="A225" t="str">
            <v>함정수</v>
          </cell>
        </row>
        <row r="226">
          <cell r="A226" t="str">
            <v>허현일</v>
          </cell>
        </row>
        <row r="227">
          <cell r="A227" t="str">
            <v>최호운(CUI GAOYUN)</v>
          </cell>
        </row>
        <row r="228">
          <cell r="A228" t="str">
            <v>서광섭(XU GUANGBIAN)</v>
          </cell>
        </row>
        <row r="229">
          <cell r="A229" t="str">
            <v>서광섭(XU GUANGBIAN)</v>
          </cell>
        </row>
        <row r="230">
          <cell r="A230" t="str">
            <v>조민수(실업급여중)</v>
          </cell>
        </row>
        <row r="231">
          <cell r="A231" t="str">
            <v>장기우</v>
          </cell>
        </row>
        <row r="232">
          <cell r="A232" t="str">
            <v>이위현</v>
          </cell>
        </row>
        <row r="233">
          <cell r="A233" t="str">
            <v>김춘일(JIN CHUNRI)</v>
          </cell>
        </row>
        <row r="234">
          <cell r="A234" t="str">
            <v>최종복</v>
          </cell>
        </row>
        <row r="235">
          <cell r="A235" t="str">
            <v>안재덕</v>
          </cell>
        </row>
        <row r="236">
          <cell r="A236" t="str">
            <v>안재영</v>
          </cell>
        </row>
        <row r="237">
          <cell r="A237" t="str">
            <v>최종복</v>
          </cell>
        </row>
        <row r="238">
          <cell r="A238" t="str">
            <v>김필주</v>
          </cell>
        </row>
        <row r="239">
          <cell r="A239" t="str">
            <v>이문표</v>
          </cell>
        </row>
        <row r="240">
          <cell r="A240" t="str">
            <v>최근수</v>
          </cell>
        </row>
        <row r="241">
          <cell r="A241" t="str">
            <v>송인원</v>
          </cell>
        </row>
        <row r="242">
          <cell r="A242" t="str">
            <v>김경호</v>
          </cell>
        </row>
        <row r="243">
          <cell r="A243" t="str">
            <v>이상혁</v>
          </cell>
        </row>
        <row r="244">
          <cell r="A244" t="str">
            <v>전성남</v>
          </cell>
        </row>
        <row r="245">
          <cell r="A245" t="str">
            <v>이수필</v>
          </cell>
        </row>
        <row r="246">
          <cell r="A246" t="str">
            <v>김재현</v>
          </cell>
        </row>
        <row r="247">
          <cell r="A247" t="str">
            <v>김봉근</v>
          </cell>
        </row>
        <row r="248">
          <cell r="A248" t="str">
            <v>서점대</v>
          </cell>
        </row>
        <row r="249">
          <cell r="A249" t="str">
            <v>김정호</v>
          </cell>
        </row>
        <row r="250">
          <cell r="A250" t="str">
            <v>지창열</v>
          </cell>
        </row>
        <row r="251">
          <cell r="A251" t="str">
            <v>전욱준</v>
          </cell>
        </row>
        <row r="252">
          <cell r="A252" t="str">
            <v>조남국</v>
          </cell>
        </row>
        <row r="253">
          <cell r="A253" t="str">
            <v>고승재</v>
          </cell>
        </row>
        <row r="254">
          <cell r="A254" t="str">
            <v>김상진</v>
          </cell>
        </row>
        <row r="255">
          <cell r="A255" t="str">
            <v>김성환</v>
          </cell>
        </row>
        <row r="256">
          <cell r="A256" t="str">
            <v>임상철</v>
          </cell>
        </row>
        <row r="257">
          <cell r="A257" t="str">
            <v>김현덕</v>
          </cell>
        </row>
        <row r="258">
          <cell r="A258" t="str">
            <v>위열환</v>
          </cell>
        </row>
        <row r="259">
          <cell r="A259" t="str">
            <v>박광용</v>
          </cell>
        </row>
        <row r="260">
          <cell r="A260" t="str">
            <v>고영기</v>
          </cell>
        </row>
        <row r="261">
          <cell r="A261" t="str">
            <v>구자필</v>
          </cell>
        </row>
        <row r="262">
          <cell r="A262" t="str">
            <v>서홍원</v>
          </cell>
        </row>
        <row r="263">
          <cell r="A263" t="str">
            <v>김기재</v>
          </cell>
        </row>
        <row r="264">
          <cell r="A264" t="str">
            <v>송명섭</v>
          </cell>
        </row>
        <row r="265">
          <cell r="A265" t="str">
            <v>이은창</v>
          </cell>
        </row>
        <row r="266">
          <cell r="A266" t="str">
            <v>마림춘(MA LINCHUN)</v>
          </cell>
        </row>
        <row r="267">
          <cell r="A267" t="str">
            <v>김동길(JIN DONGJI)</v>
          </cell>
        </row>
        <row r="268">
          <cell r="A268" t="str">
            <v>이태명(LI TAIMING)</v>
          </cell>
        </row>
        <row r="269">
          <cell r="A269" t="str">
            <v>고윤성</v>
          </cell>
        </row>
        <row r="270">
          <cell r="A270" t="str">
            <v>김춘석</v>
          </cell>
        </row>
        <row r="271">
          <cell r="A271" t="str">
            <v>이일수(LI RISHOU)</v>
          </cell>
        </row>
        <row r="272">
          <cell r="A272" t="str">
            <v>김영석</v>
          </cell>
        </row>
        <row r="273">
          <cell r="A273" t="str">
            <v>서문성환</v>
          </cell>
        </row>
        <row r="274">
          <cell r="A274" t="str">
            <v>최영술</v>
          </cell>
        </row>
        <row r="275">
          <cell r="A275" t="str">
            <v>이상규</v>
          </cell>
        </row>
        <row r="276">
          <cell r="A276" t="str">
            <v>조재응</v>
          </cell>
        </row>
        <row r="277">
          <cell r="A277" t="str">
            <v>이승식</v>
          </cell>
        </row>
        <row r="278">
          <cell r="A278" t="str">
            <v>문학해</v>
          </cell>
        </row>
        <row r="279">
          <cell r="A279" t="str">
            <v>김창규</v>
          </cell>
        </row>
        <row r="280">
          <cell r="A280" t="str">
            <v>김경수</v>
          </cell>
        </row>
        <row r="281">
          <cell r="A281" t="str">
            <v>김대문</v>
          </cell>
        </row>
        <row r="282">
          <cell r="A282" t="str">
            <v>이재선</v>
          </cell>
        </row>
        <row r="283">
          <cell r="A283" t="str">
            <v>윤순종</v>
          </cell>
        </row>
        <row r="284">
          <cell r="A284" t="str">
            <v>최성민</v>
          </cell>
        </row>
        <row r="285">
          <cell r="A285" t="str">
            <v>이병도</v>
          </cell>
        </row>
        <row r="286">
          <cell r="A286" t="str">
            <v>박명현</v>
          </cell>
        </row>
        <row r="287">
          <cell r="A287" t="str">
            <v>최광금</v>
          </cell>
        </row>
        <row r="288">
          <cell r="A288" t="str">
            <v>신남섭</v>
          </cell>
        </row>
        <row r="289">
          <cell r="A289" t="str">
            <v>신진석</v>
          </cell>
        </row>
        <row r="290">
          <cell r="A290" t="str">
            <v>강인용</v>
          </cell>
        </row>
        <row r="291">
          <cell r="A291" t="str">
            <v>김경수</v>
          </cell>
        </row>
        <row r="292">
          <cell r="A292" t="str">
            <v>김경열(JIN JINGLIE)</v>
          </cell>
        </row>
        <row r="293">
          <cell r="A293" t="str">
            <v>김관범</v>
          </cell>
        </row>
        <row r="294">
          <cell r="A294" t="str">
            <v>김대환</v>
          </cell>
        </row>
        <row r="295">
          <cell r="A295" t="str">
            <v>김명화(JIN MINGHUA)</v>
          </cell>
        </row>
        <row r="296">
          <cell r="A296" t="str">
            <v>김부영</v>
          </cell>
        </row>
        <row r="297">
          <cell r="A297" t="str">
            <v>김수한</v>
          </cell>
        </row>
        <row r="298">
          <cell r="A298" t="str">
            <v>김영신</v>
          </cell>
        </row>
        <row r="299">
          <cell r="A299" t="str">
            <v>김영의(JIN YONGYI)</v>
          </cell>
        </row>
        <row r="300">
          <cell r="A300" t="str">
            <v>김용근</v>
          </cell>
        </row>
        <row r="301">
          <cell r="A301" t="str">
            <v>김용비(JIN LONGBI)</v>
          </cell>
        </row>
        <row r="302">
          <cell r="A302" t="str">
            <v>김일관(JIN RIGUAN)</v>
          </cell>
        </row>
        <row r="303">
          <cell r="A303" t="str">
            <v>김정구 JIN ZHENGQIU</v>
          </cell>
        </row>
        <row r="304">
          <cell r="A304" t="str">
            <v>김택수</v>
          </cell>
        </row>
        <row r="305">
          <cell r="A305" t="str">
            <v>김형식</v>
          </cell>
        </row>
        <row r="306">
          <cell r="A306" t="str">
            <v>김호구</v>
          </cell>
        </row>
        <row r="307">
          <cell r="A307" t="str">
            <v>김호연(JIN HUYE)</v>
          </cell>
        </row>
        <row r="308">
          <cell r="A308" t="str">
            <v>김휘우</v>
          </cell>
        </row>
        <row r="309">
          <cell r="A309" t="str">
            <v>나창균</v>
          </cell>
        </row>
        <row r="310">
          <cell r="A310" t="str">
            <v>노위(YU QUANZHE)</v>
          </cell>
        </row>
        <row r="311">
          <cell r="A311" t="str">
            <v>문충경</v>
          </cell>
        </row>
        <row r="312">
          <cell r="A312" t="str">
            <v>박남규</v>
          </cell>
        </row>
        <row r="313">
          <cell r="A313" t="str">
            <v>박동환</v>
          </cell>
        </row>
        <row r="314">
          <cell r="A314" t="str">
            <v>박명철</v>
          </cell>
        </row>
        <row r="315">
          <cell r="A315" t="str">
            <v>박성인</v>
          </cell>
        </row>
        <row r="316">
          <cell r="A316" t="str">
            <v>박성철(PIAO SONGZHE)</v>
          </cell>
        </row>
        <row r="317">
          <cell r="A317" t="str">
            <v>박영수(PIAO YONGZHU)</v>
          </cell>
        </row>
        <row r="318">
          <cell r="A318" t="str">
            <v>박용호</v>
          </cell>
        </row>
        <row r="319">
          <cell r="A319" t="str">
            <v>박정민</v>
          </cell>
        </row>
        <row r="320">
          <cell r="A320" t="str">
            <v>박종실</v>
          </cell>
        </row>
        <row r="321">
          <cell r="A321" t="str">
            <v>박종준</v>
          </cell>
        </row>
        <row r="322">
          <cell r="A322" t="str">
            <v>박진석</v>
          </cell>
        </row>
        <row r="323">
          <cell r="A323" t="str">
            <v>박춘수(PIAO CHUNZHU)</v>
          </cell>
        </row>
        <row r="324">
          <cell r="A324" t="str">
            <v>박호일</v>
          </cell>
        </row>
        <row r="325">
          <cell r="A325" t="str">
            <v>박호일</v>
          </cell>
        </row>
        <row r="326">
          <cell r="A326" t="str">
            <v>반슬기</v>
          </cell>
        </row>
        <row r="327">
          <cell r="A327" t="str">
            <v>백길현</v>
          </cell>
        </row>
        <row r="328">
          <cell r="A328" t="str">
            <v>빙종섭(BING ZONGXIE)</v>
          </cell>
        </row>
        <row r="329">
          <cell r="A329" t="str">
            <v>서종원</v>
          </cell>
        </row>
        <row r="330">
          <cell r="A330" t="str">
            <v>신대식(SHEN DASHI)</v>
          </cell>
        </row>
        <row r="331">
          <cell r="A331" t="str">
            <v>신면은(SHEN MINGYUN)</v>
          </cell>
        </row>
        <row r="332">
          <cell r="A332" t="str">
            <v>양귀봉</v>
          </cell>
        </row>
        <row r="333">
          <cell r="A333" t="str">
            <v>엄상용</v>
          </cell>
        </row>
        <row r="334">
          <cell r="A334" t="str">
            <v>염상현</v>
          </cell>
        </row>
        <row r="335">
          <cell r="A335" t="str">
            <v>위재훈</v>
          </cell>
        </row>
        <row r="336">
          <cell r="A336" t="str">
            <v>유경종</v>
          </cell>
        </row>
        <row r="337">
          <cell r="A337" t="str">
            <v>유춘호</v>
          </cell>
        </row>
        <row r="338">
          <cell r="A338" t="str">
            <v>유한영</v>
          </cell>
        </row>
        <row r="339">
          <cell r="A339" t="str">
            <v>윤승종</v>
          </cell>
        </row>
        <row r="340">
          <cell r="A340" t="str">
            <v>윤창기</v>
          </cell>
        </row>
        <row r="341">
          <cell r="A341" t="str">
            <v>이규휘</v>
          </cell>
        </row>
        <row r="342">
          <cell r="A342" t="str">
            <v>이덕성</v>
          </cell>
        </row>
        <row r="343">
          <cell r="A343" t="str">
            <v>이덕수</v>
          </cell>
        </row>
        <row r="344">
          <cell r="A344" t="str">
            <v>이동일</v>
          </cell>
        </row>
        <row r="345">
          <cell r="A345" t="str">
            <v>이문학(LI YUNHE)</v>
          </cell>
        </row>
        <row r="346">
          <cell r="A346" t="str">
            <v>이봉하(LI FENGHE)</v>
          </cell>
        </row>
        <row r="347">
          <cell r="A347" t="str">
            <v>이승열</v>
          </cell>
        </row>
        <row r="348">
          <cell r="A348" t="str">
            <v>이운룡 LI YUNLONG</v>
          </cell>
        </row>
        <row r="349">
          <cell r="A349" t="str">
            <v>이이재</v>
          </cell>
        </row>
        <row r="350">
          <cell r="A350" t="str">
            <v>이재열</v>
          </cell>
        </row>
        <row r="351">
          <cell r="A351" t="str">
            <v>이정진</v>
          </cell>
        </row>
        <row r="352">
          <cell r="A352" t="str">
            <v>이철수 LI ZHEZHU</v>
          </cell>
        </row>
        <row r="353">
          <cell r="A353" t="str">
            <v>이춘희</v>
          </cell>
        </row>
        <row r="354">
          <cell r="A354" t="str">
            <v>임정호</v>
          </cell>
        </row>
        <row r="355">
          <cell r="A355" t="str">
            <v>장찬호 ZHANG ZHANHU</v>
          </cell>
        </row>
        <row r="356">
          <cell r="A356" t="str">
            <v>전병식</v>
          </cell>
        </row>
        <row r="357">
          <cell r="A357" t="str">
            <v>전성일(QUAN CHENGRI)</v>
          </cell>
        </row>
        <row r="358">
          <cell r="A358" t="str">
            <v>전철남(QUAN ZHENAN)</v>
          </cell>
        </row>
        <row r="359">
          <cell r="A359" t="str">
            <v>정재홍</v>
          </cell>
        </row>
        <row r="360">
          <cell r="A360" t="str">
            <v>정진욱</v>
          </cell>
        </row>
        <row r="361">
          <cell r="A361" t="str">
            <v>정흥식</v>
          </cell>
        </row>
        <row r="362">
          <cell r="A362" t="str">
            <v>조영덕</v>
          </cell>
        </row>
        <row r="363">
          <cell r="A363" t="str">
            <v>진흥우(JIN HONGWU)</v>
          </cell>
        </row>
        <row r="364">
          <cell r="A364" t="str">
            <v>차용주</v>
          </cell>
        </row>
        <row r="365">
          <cell r="A365" t="str">
            <v>채문(CAI WEN)</v>
          </cell>
        </row>
        <row r="366">
          <cell r="A366" t="str">
            <v>최강용</v>
          </cell>
        </row>
        <row r="367">
          <cell r="A367" t="str">
            <v>최동철(CUI DONGZHE)</v>
          </cell>
        </row>
        <row r="368">
          <cell r="A368" t="str">
            <v>최영철 CUI YONGZHHE</v>
          </cell>
        </row>
        <row r="369">
          <cell r="A369" t="str">
            <v>최영환</v>
          </cell>
        </row>
        <row r="370">
          <cell r="A370" t="str">
            <v>최주원</v>
          </cell>
        </row>
        <row r="371">
          <cell r="A371" t="str">
            <v>최홍철</v>
          </cell>
        </row>
        <row r="372">
          <cell r="A372" t="str">
            <v>함종갑</v>
          </cell>
        </row>
        <row r="373">
          <cell r="A373" t="str">
            <v>함종완</v>
          </cell>
        </row>
        <row r="374">
          <cell r="A374" t="str">
            <v>허영문</v>
          </cell>
        </row>
        <row r="375">
          <cell r="A375" t="str">
            <v>허영철(CUI YONGZHE)</v>
          </cell>
        </row>
        <row r="376">
          <cell r="A376" t="str">
            <v>현창섭</v>
          </cell>
        </row>
        <row r="377">
          <cell r="A377" t="str">
            <v>장영식</v>
          </cell>
        </row>
        <row r="378">
          <cell r="A378" t="str">
            <v>김인권(JIN REQUAN)</v>
          </cell>
        </row>
        <row r="379">
          <cell r="A379" t="str">
            <v>정진석</v>
          </cell>
        </row>
        <row r="380">
          <cell r="A380" t="str">
            <v>김명열(JIN MINGZHE)</v>
          </cell>
        </row>
        <row r="381">
          <cell r="A381" t="str">
            <v>김성건(JIN SHENGJUN)</v>
          </cell>
        </row>
        <row r="382">
          <cell r="A382" t="str">
            <v>김석보(JIN XIBAO)</v>
          </cell>
        </row>
        <row r="383">
          <cell r="A383" t="str">
            <v>송인태</v>
          </cell>
        </row>
        <row r="384">
          <cell r="A384" t="str">
            <v>서광진(XU GUANZHEN)</v>
          </cell>
        </row>
        <row r="385">
          <cell r="A385" t="str">
            <v>최송봉(CUI SONGFENG)</v>
          </cell>
        </row>
        <row r="386">
          <cell r="A386" t="str">
            <v>손태철</v>
          </cell>
        </row>
        <row r="387">
          <cell r="A387" t="str">
            <v>정태진</v>
          </cell>
        </row>
        <row r="388">
          <cell r="A388" t="str">
            <v>김성수</v>
          </cell>
        </row>
        <row r="389">
          <cell r="A389" t="str">
            <v>이해영</v>
          </cell>
        </row>
        <row r="390">
          <cell r="A390" t="str">
            <v>이종윤</v>
          </cell>
        </row>
        <row r="391">
          <cell r="A391" t="str">
            <v>김만복(JIN WANFU)</v>
          </cell>
        </row>
        <row r="392">
          <cell r="A392" t="str">
            <v>백종희</v>
          </cell>
        </row>
        <row r="393">
          <cell r="A393" t="str">
            <v>박호철(PIAO BAIQIU)</v>
          </cell>
        </row>
        <row r="394">
          <cell r="A394" t="str">
            <v>전윤일(QUAN RUNRI)</v>
          </cell>
        </row>
        <row r="395">
          <cell r="A395" t="str">
            <v>김원기</v>
          </cell>
        </row>
        <row r="396">
          <cell r="A396" t="str">
            <v>김봉수</v>
          </cell>
        </row>
        <row r="397">
          <cell r="A397" t="str">
            <v>방금철</v>
          </cell>
        </row>
        <row r="398">
          <cell r="A398" t="str">
            <v>최이진</v>
          </cell>
        </row>
        <row r="399">
          <cell r="A399" t="str">
            <v>이철승</v>
          </cell>
        </row>
        <row r="400">
          <cell r="A400" t="str">
            <v>이요셉</v>
          </cell>
        </row>
        <row r="401">
          <cell r="A401" t="str">
            <v>김영길</v>
          </cell>
        </row>
        <row r="402">
          <cell r="A402" t="str">
            <v>김부영2</v>
          </cell>
        </row>
        <row r="403">
          <cell r="A403" t="str">
            <v>손장수</v>
          </cell>
        </row>
        <row r="404">
          <cell r="A404" t="str">
            <v>한승철</v>
          </cell>
        </row>
        <row r="405">
          <cell r="A405" t="str">
            <v>이용락</v>
          </cell>
        </row>
        <row r="406">
          <cell r="A406" t="str">
            <v>함용선</v>
          </cell>
        </row>
        <row r="407">
          <cell r="A407" t="str">
            <v>이춘일(LI CHUNYI)</v>
          </cell>
        </row>
        <row r="408">
          <cell r="A408" t="str">
            <v>서정복(XU CHENGFU)</v>
          </cell>
        </row>
        <row r="409">
          <cell r="A409" t="str">
            <v>이종실</v>
          </cell>
        </row>
        <row r="410">
          <cell r="A410" t="str">
            <v>이재우</v>
          </cell>
        </row>
        <row r="411">
          <cell r="A411" t="str">
            <v>안경모</v>
          </cell>
        </row>
        <row r="412">
          <cell r="A412" t="str">
            <v>추덕남</v>
          </cell>
        </row>
        <row r="413">
          <cell r="A413" t="str">
            <v>장영만</v>
          </cell>
        </row>
        <row r="414">
          <cell r="A414" t="str">
            <v>김정봉</v>
          </cell>
        </row>
        <row r="415">
          <cell r="A415" t="str">
            <v>서두성(XU DOUSSHENG)</v>
          </cell>
        </row>
        <row r="416">
          <cell r="A416" t="str">
            <v>백용길(BAI LONGJI)</v>
          </cell>
        </row>
        <row r="417">
          <cell r="A417" t="str">
            <v>장육채</v>
          </cell>
        </row>
        <row r="418">
          <cell r="A418" t="str">
            <v>홍광현</v>
          </cell>
        </row>
        <row r="419">
          <cell r="A419" t="str">
            <v>김항진</v>
          </cell>
        </row>
        <row r="420">
          <cell r="A420" t="str">
            <v>김대성</v>
          </cell>
        </row>
        <row r="421">
          <cell r="A421" t="str">
            <v>봉주진</v>
          </cell>
        </row>
        <row r="422">
          <cell r="A422" t="str">
            <v>유춘실</v>
          </cell>
        </row>
        <row r="423">
          <cell r="A423" t="str">
            <v>김오배</v>
          </cell>
        </row>
        <row r="424">
          <cell r="A424" t="str">
            <v>조상기</v>
          </cell>
        </row>
        <row r="425">
          <cell r="A425" t="str">
            <v>윤순종</v>
          </cell>
        </row>
        <row r="426">
          <cell r="A426" t="str">
            <v>진유섭</v>
          </cell>
        </row>
        <row r="427">
          <cell r="A427" t="str">
            <v>이일영</v>
          </cell>
        </row>
        <row r="428">
          <cell r="A428" t="str">
            <v>김성국(JIN ZHENCQIU)</v>
          </cell>
        </row>
        <row r="429">
          <cell r="A429" t="str">
            <v>오창협(WU CHANGXIE)</v>
          </cell>
        </row>
        <row r="430">
          <cell r="A430" t="str">
            <v>이상만</v>
          </cell>
        </row>
        <row r="431">
          <cell r="A431" t="str">
            <v>김동교</v>
          </cell>
        </row>
        <row r="432">
          <cell r="A432" t="str">
            <v>조중희</v>
          </cell>
        </row>
        <row r="433">
          <cell r="A433" t="str">
            <v>홍순환</v>
          </cell>
        </row>
        <row r="434">
          <cell r="A434" t="str">
            <v>방민규</v>
          </cell>
        </row>
        <row r="435">
          <cell r="A435" t="str">
            <v>전기한</v>
          </cell>
        </row>
        <row r="436">
          <cell r="A436" t="str">
            <v>박수용</v>
          </cell>
        </row>
        <row r="437">
          <cell r="A437" t="str">
            <v>허성복 XU CHENGFU</v>
          </cell>
        </row>
        <row r="438">
          <cell r="A438" t="str">
            <v>홍기준</v>
          </cell>
        </row>
        <row r="439">
          <cell r="A439" t="str">
            <v>홍재현</v>
          </cell>
        </row>
        <row r="440">
          <cell r="A440" t="str">
            <v>송문섭</v>
          </cell>
        </row>
        <row r="441">
          <cell r="A441" t="str">
            <v>송경섭</v>
          </cell>
        </row>
        <row r="442">
          <cell r="A442" t="str">
            <v>김곤</v>
          </cell>
        </row>
        <row r="443">
          <cell r="A443" t="str">
            <v>김길수</v>
          </cell>
        </row>
        <row r="444">
          <cell r="A444" t="str">
            <v>김중완</v>
          </cell>
        </row>
        <row r="445">
          <cell r="A445" t="str">
            <v>차금옥</v>
          </cell>
        </row>
        <row r="446">
          <cell r="A446" t="str">
            <v>김영철</v>
          </cell>
        </row>
        <row r="447">
          <cell r="A447" t="str">
            <v>김기수</v>
          </cell>
        </row>
        <row r="448">
          <cell r="A448" t="str">
            <v>이보성</v>
          </cell>
        </row>
        <row r="449">
          <cell r="A449" t="str">
            <v>이철수</v>
          </cell>
        </row>
        <row r="450">
          <cell r="A450" t="str">
            <v>차문선</v>
          </cell>
        </row>
        <row r="451">
          <cell r="A451" t="str">
            <v>여준호</v>
          </cell>
        </row>
        <row r="452">
          <cell r="A452" t="str">
            <v>안돈희</v>
          </cell>
        </row>
        <row r="453">
          <cell r="A453" t="str">
            <v>정재헌</v>
          </cell>
        </row>
        <row r="454">
          <cell r="A454" t="str">
            <v>최영주</v>
          </cell>
        </row>
        <row r="455">
          <cell r="A455" t="str">
            <v>주선호</v>
          </cell>
        </row>
        <row r="456">
          <cell r="A456" t="str">
            <v>김명연</v>
          </cell>
        </row>
        <row r="457">
          <cell r="A457" t="str">
            <v>박창복</v>
          </cell>
        </row>
        <row r="458">
          <cell r="A458" t="str">
            <v>백영용</v>
          </cell>
        </row>
        <row r="459">
          <cell r="A459" t="str">
            <v>양영호</v>
          </cell>
        </row>
        <row r="460">
          <cell r="A460" t="str">
            <v>박춘배</v>
          </cell>
        </row>
        <row r="461">
          <cell r="A461" t="str">
            <v>송해승</v>
          </cell>
        </row>
        <row r="462">
          <cell r="A462" t="str">
            <v>박기용</v>
          </cell>
        </row>
        <row r="463">
          <cell r="A463" t="str">
            <v>김기원</v>
          </cell>
        </row>
        <row r="464">
          <cell r="A464" t="str">
            <v>임희암</v>
          </cell>
        </row>
        <row r="465">
          <cell r="A465" t="str">
            <v>최창수</v>
          </cell>
        </row>
        <row r="466">
          <cell r="A466" t="str">
            <v>임용택</v>
          </cell>
        </row>
        <row r="467">
          <cell r="A467" t="str">
            <v>안희춘</v>
          </cell>
        </row>
        <row r="468">
          <cell r="A468" t="str">
            <v>김홍선</v>
          </cell>
        </row>
        <row r="470">
          <cell r="A470" t="str">
            <v>이광신</v>
          </cell>
        </row>
        <row r="471">
          <cell r="A471" t="str">
            <v>정선수</v>
          </cell>
        </row>
        <row r="472">
          <cell r="A472" t="str">
            <v>임창모</v>
          </cell>
        </row>
        <row r="473">
          <cell r="A473" t="str">
            <v>권윤상</v>
          </cell>
        </row>
        <row r="474">
          <cell r="A474" t="str">
            <v>박행동</v>
          </cell>
        </row>
        <row r="475">
          <cell r="A475" t="str">
            <v>정재헌</v>
          </cell>
        </row>
        <row r="476">
          <cell r="A476" t="str">
            <v>최종열</v>
          </cell>
        </row>
        <row r="477">
          <cell r="A477" t="str">
            <v>안무근</v>
          </cell>
        </row>
        <row r="478">
          <cell r="A478" t="str">
            <v>이영수</v>
          </cell>
        </row>
        <row r="479">
          <cell r="A479" t="str">
            <v>안순환</v>
          </cell>
        </row>
        <row r="480">
          <cell r="A480" t="str">
            <v>최만수</v>
          </cell>
        </row>
        <row r="481">
          <cell r="A481" t="str">
            <v>박정우</v>
          </cell>
        </row>
        <row r="482">
          <cell r="A482" t="str">
            <v>유삼선</v>
          </cell>
        </row>
        <row r="483">
          <cell r="A483" t="str">
            <v>한상희</v>
          </cell>
        </row>
        <row r="484">
          <cell r="A484" t="str">
            <v>이석용</v>
          </cell>
        </row>
        <row r="485">
          <cell r="A485" t="str">
            <v>정병덕</v>
          </cell>
        </row>
        <row r="487">
          <cell r="A487" t="str">
            <v>김원석</v>
          </cell>
        </row>
        <row r="488">
          <cell r="A488" t="str">
            <v>정병진</v>
          </cell>
        </row>
        <row r="489">
          <cell r="A489" t="str">
            <v>최명수</v>
          </cell>
        </row>
        <row r="490">
          <cell r="A490" t="str">
            <v>박형신</v>
          </cell>
        </row>
        <row r="491">
          <cell r="A491" t="str">
            <v>엄중현</v>
          </cell>
        </row>
        <row r="492">
          <cell r="A492" t="str">
            <v>권영웅</v>
          </cell>
        </row>
        <row r="493">
          <cell r="A493" t="str">
            <v>전동식</v>
          </cell>
        </row>
        <row r="497">
          <cell r="A497" t="str">
            <v>윤진석</v>
          </cell>
        </row>
        <row r="498">
          <cell r="A498" t="str">
            <v>김순홍</v>
          </cell>
        </row>
        <row r="499">
          <cell r="A499" t="str">
            <v>김용길</v>
          </cell>
        </row>
        <row r="500">
          <cell r="A500" t="str">
            <v>정병희</v>
          </cell>
        </row>
        <row r="501">
          <cell r="A501" t="str">
            <v>남경우</v>
          </cell>
        </row>
        <row r="502">
          <cell r="A502" t="str">
            <v>김형원</v>
          </cell>
        </row>
        <row r="503">
          <cell r="A503" t="str">
            <v>하태완</v>
          </cell>
        </row>
        <row r="504">
          <cell r="A504" t="str">
            <v>이영길</v>
          </cell>
        </row>
        <row r="505">
          <cell r="A505" t="str">
            <v>김일현</v>
          </cell>
        </row>
        <row r="506">
          <cell r="A506" t="str">
            <v>한영무</v>
          </cell>
        </row>
        <row r="507">
          <cell r="A507" t="str">
            <v>김현진</v>
          </cell>
        </row>
        <row r="508">
          <cell r="A508" t="str">
            <v>김영식</v>
          </cell>
        </row>
        <row r="509">
          <cell r="A509" t="str">
            <v>이규창</v>
          </cell>
        </row>
        <row r="511">
          <cell r="A511" t="str">
            <v>윤영섭</v>
          </cell>
        </row>
        <row r="512">
          <cell r="A512" t="str">
            <v>김민규</v>
          </cell>
        </row>
        <row r="513">
          <cell r="A513" t="str">
            <v>임승엽</v>
          </cell>
        </row>
        <row r="514">
          <cell r="A514" t="str">
            <v>서만철</v>
          </cell>
        </row>
        <row r="515">
          <cell r="A515" t="str">
            <v>엄명섭</v>
          </cell>
        </row>
        <row r="516">
          <cell r="A516" t="str">
            <v>고광일</v>
          </cell>
        </row>
        <row r="517">
          <cell r="A517" t="str">
            <v>박명수</v>
          </cell>
        </row>
        <row r="518">
          <cell r="A518" t="str">
            <v>한기준</v>
          </cell>
        </row>
        <row r="519">
          <cell r="A519" t="str">
            <v>박상철</v>
          </cell>
        </row>
        <row r="520">
          <cell r="A520" t="str">
            <v>김흥식</v>
          </cell>
        </row>
        <row r="521">
          <cell r="A521" t="str">
            <v>김인서</v>
          </cell>
        </row>
        <row r="522">
          <cell r="A522" t="str">
            <v>김윤기</v>
          </cell>
        </row>
        <row r="523">
          <cell r="A523" t="str">
            <v>김주일(JIN ZHOUYI)</v>
          </cell>
        </row>
        <row r="524">
          <cell r="A524" t="str">
            <v>이창한(LI CHENGNAN)</v>
          </cell>
        </row>
        <row r="525">
          <cell r="A525" t="str">
            <v>유득근</v>
          </cell>
        </row>
        <row r="526">
          <cell r="A526" t="str">
            <v>김창수(JIN CHENGXUE)</v>
          </cell>
        </row>
        <row r="527">
          <cell r="A527" t="str">
            <v>맹희배</v>
          </cell>
        </row>
        <row r="528">
          <cell r="A528" t="str">
            <v>조기남</v>
          </cell>
        </row>
        <row r="529">
          <cell r="A529" t="str">
            <v>이영도</v>
          </cell>
        </row>
        <row r="530">
          <cell r="A530" t="str">
            <v>김창리(JIN CHANGRI)</v>
          </cell>
        </row>
        <row r="531">
          <cell r="A531" t="str">
            <v>김시복</v>
          </cell>
        </row>
        <row r="532">
          <cell r="A532" t="str">
            <v>최경철</v>
          </cell>
        </row>
        <row r="533">
          <cell r="A533" t="str">
            <v>김성옥</v>
          </cell>
        </row>
        <row r="534">
          <cell r="A534" t="str">
            <v>이종현</v>
          </cell>
        </row>
        <row r="535">
          <cell r="A535" t="str">
            <v>정태두</v>
          </cell>
        </row>
        <row r="536">
          <cell r="A536" t="str">
            <v>조이호</v>
          </cell>
        </row>
        <row r="537">
          <cell r="A537" t="str">
            <v>최대한</v>
          </cell>
        </row>
        <row r="538">
          <cell r="A538" t="str">
            <v>현교선</v>
          </cell>
        </row>
        <row r="539">
          <cell r="A539" t="str">
            <v>김진경</v>
          </cell>
        </row>
        <row r="540">
          <cell r="A540" t="str">
            <v>김호철</v>
          </cell>
        </row>
        <row r="541">
          <cell r="A541" t="str">
            <v>박양규</v>
          </cell>
        </row>
        <row r="542">
          <cell r="A542" t="str">
            <v>김광중</v>
          </cell>
        </row>
        <row r="543">
          <cell r="A543" t="str">
            <v>서한태</v>
          </cell>
        </row>
        <row r="544">
          <cell r="A544" t="str">
            <v>문상철</v>
          </cell>
        </row>
        <row r="545">
          <cell r="A545" t="str">
            <v>정달훈</v>
          </cell>
        </row>
        <row r="546">
          <cell r="A546" t="str">
            <v>김해룡(JIN HAILONG)</v>
          </cell>
        </row>
        <row r="548">
          <cell r="A548" t="str">
            <v>정해룡</v>
          </cell>
        </row>
        <row r="549">
          <cell r="A549" t="str">
            <v>김관웅(JIN GUANXIONG)</v>
          </cell>
        </row>
        <row r="550">
          <cell r="A550" t="str">
            <v>임종환</v>
          </cell>
        </row>
        <row r="551">
          <cell r="A551" t="str">
            <v>이성호(LI CHENGHAO)</v>
          </cell>
        </row>
        <row r="552">
          <cell r="A552" t="str">
            <v>박기춘(PIAO JICHUN)</v>
          </cell>
        </row>
        <row r="553">
          <cell r="A553" t="str">
            <v>김진국(JIN ZHENGUO)</v>
          </cell>
        </row>
        <row r="554">
          <cell r="A554" t="str">
            <v>김춘혜(JIN CHUNHAI)</v>
          </cell>
        </row>
        <row r="555">
          <cell r="A555" t="str">
            <v>김만복(JIN WANFU)</v>
          </cell>
        </row>
        <row r="556">
          <cell r="A556" t="str">
            <v>김용준(JIN YONGJUN)</v>
          </cell>
        </row>
        <row r="557">
          <cell r="A557" t="str">
            <v>최권(XIAO KUN)</v>
          </cell>
        </row>
        <row r="558">
          <cell r="A558" t="str">
            <v>허순범</v>
          </cell>
        </row>
        <row r="559">
          <cell r="A559" t="str">
            <v>이춘식(LI CHUNZHI)</v>
          </cell>
        </row>
        <row r="560">
          <cell r="A560" t="str">
            <v>함옥만(XIAN YUWAN)</v>
          </cell>
        </row>
        <row r="561">
          <cell r="A561" t="str">
            <v>국창일(JU CHANGRI)</v>
          </cell>
        </row>
        <row r="562">
          <cell r="A562" t="str">
            <v>국창림(JU CHANGLIN)</v>
          </cell>
        </row>
        <row r="563">
          <cell r="A563" t="str">
            <v>황해산(HUANG HAISHAN)</v>
          </cell>
        </row>
        <row r="564">
          <cell r="A564" t="str">
            <v>이명열(LI MINGLIE)</v>
          </cell>
        </row>
        <row r="565">
          <cell r="A565" t="str">
            <v>전일선(TIAN RISHAN)</v>
          </cell>
        </row>
        <row r="566">
          <cell r="A566" t="str">
            <v>최광춘(CUI GUANGCHUN)</v>
          </cell>
        </row>
        <row r="567">
          <cell r="A567" t="str">
            <v>김영수</v>
          </cell>
        </row>
        <row r="568">
          <cell r="A568" t="str">
            <v>강철용(JIANG ZHELONG)</v>
          </cell>
        </row>
        <row r="574">
          <cell r="A574" t="str">
            <v>김경진</v>
          </cell>
        </row>
        <row r="575">
          <cell r="A575" t="str">
            <v>엄재형</v>
          </cell>
        </row>
        <row r="576">
          <cell r="A576" t="str">
            <v>이용우</v>
          </cell>
        </row>
        <row r="577">
          <cell r="A577" t="str">
            <v>이철이</v>
          </cell>
        </row>
        <row r="578">
          <cell r="A578" t="str">
            <v>최남수</v>
          </cell>
        </row>
        <row r="579">
          <cell r="A579" t="str">
            <v>송강진</v>
          </cell>
        </row>
        <row r="580">
          <cell r="A580" t="str">
            <v>김기학(JIN JIXUE)</v>
          </cell>
        </row>
        <row r="581">
          <cell r="A581" t="str">
            <v>김기수(JIN JIZHU)</v>
          </cell>
        </row>
        <row r="582">
          <cell r="A582" t="str">
            <v>조장연</v>
          </cell>
        </row>
        <row r="583">
          <cell r="A583" t="str">
            <v>박기철(PIAO JIZHE)</v>
          </cell>
        </row>
        <row r="584">
          <cell r="A584" t="str">
            <v>한상권</v>
          </cell>
        </row>
        <row r="585">
          <cell r="A585" t="str">
            <v>김시종</v>
          </cell>
        </row>
        <row r="586">
          <cell r="A586" t="str">
            <v>김정호(JIN ZHENGHAO)</v>
          </cell>
        </row>
        <row r="587">
          <cell r="A587" t="str">
            <v>이재윤</v>
          </cell>
        </row>
        <row r="588">
          <cell r="A588" t="str">
            <v>이장현</v>
          </cell>
        </row>
        <row r="589">
          <cell r="A589" t="str">
            <v>이승범(LI SHENGFAN)</v>
          </cell>
        </row>
        <row r="590">
          <cell r="A590" t="str">
            <v>이성용(LI CHENGLONG)</v>
          </cell>
        </row>
        <row r="591">
          <cell r="A591" t="str">
            <v>허원춘(XU YUANCHUN)</v>
          </cell>
        </row>
        <row r="592">
          <cell r="A592" t="str">
            <v>전창일(QUAN CHANGYI)</v>
          </cell>
        </row>
        <row r="593">
          <cell r="A593" t="str">
            <v>한충열(HAN ZHONGLIE)</v>
          </cell>
        </row>
        <row r="594">
          <cell r="A594" t="str">
            <v>고성호(GAO CHENGHAO)</v>
          </cell>
        </row>
        <row r="595">
          <cell r="A595" t="str">
            <v>김창식(JIN CHANGZHI)</v>
          </cell>
        </row>
        <row r="596">
          <cell r="A596" t="str">
            <v>강영봉(KANG YONGFENG)</v>
          </cell>
        </row>
        <row r="597">
          <cell r="A597" t="str">
            <v>이태용(LI TAILONG)</v>
          </cell>
        </row>
        <row r="598">
          <cell r="A598" t="str">
            <v>유동천(YU DONGTIAN)</v>
          </cell>
        </row>
        <row r="599">
          <cell r="A599" t="str">
            <v>이명열(LI MINGLIE)</v>
          </cell>
        </row>
        <row r="600">
          <cell r="A600" t="str">
            <v>정범(ZHENG FAN)</v>
          </cell>
        </row>
        <row r="601">
          <cell r="A601" t="str">
            <v>박만호(PIAO WANHAO)</v>
          </cell>
        </row>
        <row r="602">
          <cell r="A602" t="str">
            <v>박운학</v>
          </cell>
        </row>
        <row r="603">
          <cell r="A603" t="str">
            <v>문상철</v>
          </cell>
        </row>
        <row r="604">
          <cell r="A604" t="str">
            <v>손태철</v>
          </cell>
        </row>
        <row r="605">
          <cell r="A605" t="str">
            <v>허옥두</v>
          </cell>
        </row>
        <row r="606">
          <cell r="A606" t="str">
            <v>한상익</v>
          </cell>
        </row>
        <row r="607">
          <cell r="A607" t="str">
            <v>김명찬(JIN MINGCAN)</v>
          </cell>
        </row>
        <row r="608">
          <cell r="A608" t="str">
            <v>정춘선(ZHENG CHUNSHAN)</v>
          </cell>
        </row>
        <row r="609">
          <cell r="A609" t="str">
            <v>지만호</v>
          </cell>
        </row>
        <row r="638">
          <cell r="A638" t="str">
            <v>이배형</v>
          </cell>
        </row>
        <row r="639">
          <cell r="A639" t="str">
            <v>최형남(실업급여중)</v>
          </cell>
        </row>
        <row r="640">
          <cell r="A640" t="str">
            <v>정일기</v>
          </cell>
        </row>
        <row r="641">
          <cell r="A641" t="str">
            <v>최형환</v>
          </cell>
        </row>
        <row r="642">
          <cell r="A642" t="str">
            <v>최병섭</v>
          </cell>
        </row>
        <row r="643">
          <cell r="A643" t="str">
            <v>윤호성</v>
          </cell>
        </row>
        <row r="644">
          <cell r="A644" t="str">
            <v>반관호</v>
          </cell>
        </row>
        <row r="645">
          <cell r="A645" t="str">
            <v>강대중</v>
          </cell>
        </row>
        <row r="646">
          <cell r="A646" t="str">
            <v>이도찬</v>
          </cell>
        </row>
        <row r="647">
          <cell r="A647" t="str">
            <v>엄석현</v>
          </cell>
        </row>
        <row r="648">
          <cell r="A648" t="str">
            <v>한상섭</v>
          </cell>
        </row>
        <row r="649">
          <cell r="A649" t="str">
            <v>김성열</v>
          </cell>
        </row>
        <row r="650">
          <cell r="A650" t="str">
            <v>석광현</v>
          </cell>
        </row>
        <row r="651">
          <cell r="A651" t="str">
            <v>정경호</v>
          </cell>
        </row>
        <row r="652">
          <cell r="A652" t="str">
            <v>김승원</v>
          </cell>
        </row>
        <row r="653">
          <cell r="A653" t="str">
            <v>서진수</v>
          </cell>
        </row>
        <row r="654">
          <cell r="A654" t="str">
            <v>김광호</v>
          </cell>
        </row>
        <row r="655">
          <cell r="A655" t="str">
            <v>이복노</v>
          </cell>
        </row>
        <row r="656">
          <cell r="A656" t="str">
            <v>박종열</v>
          </cell>
        </row>
        <row r="657">
          <cell r="A657" t="str">
            <v>신용노</v>
          </cell>
        </row>
        <row r="658">
          <cell r="A658" t="str">
            <v>박윤희</v>
          </cell>
        </row>
        <row r="659">
          <cell r="A659" t="str">
            <v>이인영</v>
          </cell>
        </row>
        <row r="660">
          <cell r="A660" t="str">
            <v>홍순호</v>
          </cell>
        </row>
        <row r="661">
          <cell r="A661" t="str">
            <v>윤종희</v>
          </cell>
        </row>
        <row r="662">
          <cell r="A662" t="str">
            <v>전천수</v>
          </cell>
        </row>
        <row r="663">
          <cell r="A663" t="str">
            <v>이수현</v>
          </cell>
        </row>
        <row r="664">
          <cell r="A664" t="str">
            <v>나종현</v>
          </cell>
        </row>
        <row r="665">
          <cell r="A665" t="str">
            <v>최민주</v>
          </cell>
        </row>
        <row r="666">
          <cell r="A666" t="str">
            <v>김위겸</v>
          </cell>
        </row>
        <row r="667">
          <cell r="A667" t="str">
            <v>이대우</v>
          </cell>
        </row>
        <row r="668">
          <cell r="A668" t="str">
            <v>정세균</v>
          </cell>
        </row>
        <row r="669">
          <cell r="A669" t="str">
            <v>최인태</v>
          </cell>
        </row>
        <row r="670">
          <cell r="A670" t="str">
            <v>양영칠</v>
          </cell>
        </row>
        <row r="671">
          <cell r="A671" t="str">
            <v>이병완</v>
          </cell>
        </row>
        <row r="672">
          <cell r="A672" t="str">
            <v>이재현</v>
          </cell>
        </row>
        <row r="673">
          <cell r="A673" t="str">
            <v>김진수</v>
          </cell>
        </row>
        <row r="674">
          <cell r="A674" t="str">
            <v>이갑연</v>
          </cell>
        </row>
        <row r="675">
          <cell r="A675" t="str">
            <v>유홍균</v>
          </cell>
        </row>
        <row r="676">
          <cell r="A676" t="str">
            <v>김종진</v>
          </cell>
        </row>
        <row r="677">
          <cell r="A677" t="str">
            <v>강창균</v>
          </cell>
        </row>
        <row r="678">
          <cell r="A678" t="str">
            <v>김규종</v>
          </cell>
        </row>
        <row r="679">
          <cell r="A679" t="str">
            <v>박경영</v>
          </cell>
        </row>
        <row r="680">
          <cell r="A680" t="str">
            <v>황상동</v>
          </cell>
        </row>
        <row r="681">
          <cell r="A681" t="str">
            <v>이노신</v>
          </cell>
        </row>
        <row r="682">
          <cell r="A682" t="str">
            <v>이우수</v>
          </cell>
        </row>
        <row r="683">
          <cell r="A683" t="str">
            <v>권영상</v>
          </cell>
        </row>
        <row r="684">
          <cell r="A684" t="str">
            <v>이병효</v>
          </cell>
        </row>
        <row r="685">
          <cell r="A685" t="str">
            <v>정삼룡(ZHENG SANLONG)</v>
          </cell>
        </row>
        <row r="686">
          <cell r="A686" t="str">
            <v>정국(ZHENG GUO)</v>
          </cell>
        </row>
        <row r="687">
          <cell r="A687" t="str">
            <v>박태영</v>
          </cell>
        </row>
        <row r="688">
          <cell r="A688" t="str">
            <v>황광건</v>
          </cell>
        </row>
        <row r="689">
          <cell r="A689" t="str">
            <v>김덕봉(JIN DEFENG)</v>
          </cell>
        </row>
        <row r="690">
          <cell r="A690" t="str">
            <v>이광수(LI GUANGSHOU)</v>
          </cell>
        </row>
        <row r="691">
          <cell r="A691" t="str">
            <v>마홍수(MA HONGZHU)</v>
          </cell>
        </row>
        <row r="692">
          <cell r="A692" t="str">
            <v>전세복(TIAN SHIFU)</v>
          </cell>
        </row>
        <row r="693">
          <cell r="A693" t="str">
            <v>김일광(JIN RIGUANG)</v>
          </cell>
        </row>
        <row r="694">
          <cell r="A694" t="str">
            <v>김우국</v>
          </cell>
        </row>
        <row r="695">
          <cell r="A695" t="str">
            <v>조용호(ZHAO LONGHE)</v>
          </cell>
        </row>
        <row r="696">
          <cell r="A696" t="str">
            <v>원철수(QUAN ZHEZHU)</v>
          </cell>
        </row>
        <row r="697">
          <cell r="A697" t="str">
            <v>박창남(PIAO CHANGNAN)</v>
          </cell>
        </row>
        <row r="698">
          <cell r="A698" t="str">
            <v>팡찌룽</v>
          </cell>
        </row>
        <row r="699">
          <cell r="A699" t="str">
            <v>김길홍</v>
          </cell>
        </row>
        <row r="700">
          <cell r="A700" t="str">
            <v>김영필</v>
          </cell>
        </row>
        <row r="701">
          <cell r="A701" t="str">
            <v>손영환(SUN YONGHUAN)</v>
          </cell>
        </row>
        <row r="702">
          <cell r="A702" t="str">
            <v>조길성(ZHAO JIXI)</v>
          </cell>
        </row>
        <row r="703">
          <cell r="A703" t="str">
            <v>박춘산(PIAO CHUNSHAN)</v>
          </cell>
        </row>
        <row r="704">
          <cell r="A704" t="str">
            <v>정경춘</v>
          </cell>
        </row>
        <row r="705">
          <cell r="A705" t="str">
            <v>박택상(PIAO ZEXIANG)</v>
          </cell>
        </row>
        <row r="706">
          <cell r="A706" t="str">
            <v>이홍배(LI HONGPEI)</v>
          </cell>
        </row>
        <row r="707">
          <cell r="A707" t="str">
            <v>윤철운(YIN ZHEYUN)</v>
          </cell>
        </row>
        <row r="708">
          <cell r="A708" t="str">
            <v>김철호(JIN ZHEHAO)</v>
          </cell>
        </row>
        <row r="709">
          <cell r="A709" t="str">
            <v>김성철(JIN XINGTIAN)</v>
          </cell>
        </row>
        <row r="710">
          <cell r="A710" t="str">
            <v>이춘익(LI CHUNYI)</v>
          </cell>
        </row>
        <row r="711">
          <cell r="A711" t="str">
            <v>최국송(CAI GUOSONG)</v>
          </cell>
        </row>
        <row r="712">
          <cell r="A712" t="str">
            <v>남영철(NAN YONGZHE)</v>
          </cell>
        </row>
        <row r="713">
          <cell r="A713" t="str">
            <v>김영태(JIN YONGTAI)</v>
          </cell>
        </row>
        <row r="714">
          <cell r="A714" t="str">
            <v>장정일(ZHANG ZHENGRI)</v>
          </cell>
        </row>
        <row r="715">
          <cell r="A715" t="str">
            <v>김성준(JIN SHENGJUN)</v>
          </cell>
        </row>
        <row r="716">
          <cell r="A716" t="str">
            <v>허림춘(XU LINCHUN)</v>
          </cell>
        </row>
        <row r="717">
          <cell r="A717" t="str">
            <v>장문봉</v>
          </cell>
        </row>
        <row r="718">
          <cell r="A718" t="str">
            <v>김명국(JIN MINGGUO)</v>
          </cell>
        </row>
        <row r="719">
          <cell r="A719" t="str">
            <v>송문현(SONG WENXIAN)</v>
          </cell>
        </row>
        <row r="720">
          <cell r="A720" t="str">
            <v>장해룡(ZHANG HAILONG)</v>
          </cell>
        </row>
        <row r="721">
          <cell r="A721" t="str">
            <v>고봉일(GAO FENGRI)</v>
          </cell>
        </row>
        <row r="722">
          <cell r="A722" t="str">
            <v>신금철(SHEN JINZHE)</v>
          </cell>
        </row>
        <row r="723">
          <cell r="A723" t="str">
            <v>어홍천(YU HONGTIAN)</v>
          </cell>
        </row>
        <row r="724">
          <cell r="A724" t="str">
            <v>홍명철(HONG MINGZHE)</v>
          </cell>
        </row>
        <row r="725">
          <cell r="A725" t="str">
            <v>송용남</v>
          </cell>
        </row>
        <row r="726">
          <cell r="A726" t="str">
            <v>홍순구</v>
          </cell>
        </row>
        <row r="727">
          <cell r="A727" t="str">
            <v>김교석(JIN JIAOSHI)</v>
          </cell>
        </row>
        <row r="728">
          <cell r="A728" t="str">
            <v>신민심(SHEN MINXIN)</v>
          </cell>
        </row>
        <row r="729">
          <cell r="A729" t="str">
            <v>이지군(LI ZHIJUN)</v>
          </cell>
        </row>
        <row r="730">
          <cell r="A730" t="str">
            <v>강화(JIANG HE)</v>
          </cell>
        </row>
        <row r="731">
          <cell r="A731" t="str">
            <v>박문용</v>
          </cell>
        </row>
        <row r="732">
          <cell r="A732" t="str">
            <v>엄장식</v>
          </cell>
        </row>
        <row r="733">
          <cell r="A733" t="str">
            <v>윤철인</v>
          </cell>
        </row>
        <row r="734">
          <cell r="A734" t="str">
            <v>조종호</v>
          </cell>
        </row>
        <row r="735">
          <cell r="A735" t="str">
            <v>김명철(JIN FENGZHE)</v>
          </cell>
        </row>
        <row r="736">
          <cell r="A736" t="str">
            <v>조동화(ZHAO DONGHUA)</v>
          </cell>
        </row>
        <row r="737">
          <cell r="A737" t="str">
            <v>김한식</v>
          </cell>
        </row>
        <row r="738">
          <cell r="A738" t="str">
            <v>정영석(ZHENG YONGXIE)</v>
          </cell>
        </row>
        <row r="739">
          <cell r="A739" t="str">
            <v>김송철(JIN SONGZHE)</v>
          </cell>
        </row>
        <row r="740">
          <cell r="A740" t="str">
            <v>채용수(CAI LONGZHU)</v>
          </cell>
        </row>
        <row r="741">
          <cell r="A741" t="str">
            <v>김성호(JIN CHENGHAO)</v>
          </cell>
        </row>
        <row r="742">
          <cell r="A742" t="str">
            <v>최창호(CUI CHANGZHU)</v>
          </cell>
        </row>
        <row r="743">
          <cell r="A743" t="str">
            <v>이용철(LI LONGZHE)</v>
          </cell>
        </row>
        <row r="744">
          <cell r="A744" t="str">
            <v>김호용(JIN HUYONG)</v>
          </cell>
        </row>
        <row r="745">
          <cell r="A745" t="str">
            <v>박장순(PIAO CHANGCHUN)</v>
          </cell>
        </row>
        <row r="746">
          <cell r="A746" t="str">
            <v>김홍세(JIN XINGSHI)</v>
          </cell>
        </row>
        <row r="747">
          <cell r="A747" t="str">
            <v>김광영</v>
          </cell>
        </row>
        <row r="748">
          <cell r="A748" t="str">
            <v>이광춘(LI QINGCHUN)</v>
          </cell>
        </row>
        <row r="749">
          <cell r="A749" t="str">
            <v>안현걸(NAN XIANJIE)</v>
          </cell>
        </row>
        <row r="750">
          <cell r="A750" t="str">
            <v>김철수(JIN ZHESHI)</v>
          </cell>
        </row>
        <row r="751">
          <cell r="A751" t="str">
            <v>안금무(AN JINWU)</v>
          </cell>
        </row>
        <row r="752">
          <cell r="A752" t="str">
            <v>태수남(TAI SHOUNAN)</v>
          </cell>
        </row>
        <row r="753">
          <cell r="A753" t="str">
            <v>전원배</v>
          </cell>
        </row>
        <row r="754">
          <cell r="A754" t="str">
            <v>허진수</v>
          </cell>
        </row>
        <row r="755">
          <cell r="A755" t="str">
            <v>전경곤</v>
          </cell>
        </row>
        <row r="756">
          <cell r="A756" t="str">
            <v>정성현</v>
          </cell>
        </row>
        <row r="757">
          <cell r="A757" t="str">
            <v>김정훈</v>
          </cell>
        </row>
        <row r="758">
          <cell r="A758" t="str">
            <v>황윤재</v>
          </cell>
        </row>
        <row r="759">
          <cell r="A759" t="str">
            <v>이원구</v>
          </cell>
        </row>
        <row r="760">
          <cell r="A760" t="str">
            <v>김정현</v>
          </cell>
        </row>
        <row r="761">
          <cell r="A761" t="str">
            <v>김태동</v>
          </cell>
        </row>
        <row r="762">
          <cell r="A762" t="str">
            <v>전운룡</v>
          </cell>
        </row>
        <row r="763">
          <cell r="A763" t="str">
            <v>최봉일(CUI FENGRI)</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데이타"/>
      <sheetName val="관리"/>
      <sheetName val="관리-신고"/>
      <sheetName val="할석-신고"/>
      <sheetName val="할석"/>
      <sheetName val="철근-신고용"/>
      <sheetName val="김명용-형틀"/>
      <sheetName val="대은신고"/>
      <sheetName val="한화신고용"/>
      <sheetName val="한화용역"/>
      <sheetName val="두룡인력신고"/>
      <sheetName val="타설"/>
      <sheetName val="비계"/>
      <sheetName val="세금신고"/>
      <sheetName val="노임합계"/>
      <sheetName val="지급조서"/>
    </sheetNames>
    <sheetDataSet>
      <sheetData sheetId="0">
        <row r="175">
          <cell r="A175" t="str">
            <v>이용희</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근로시간분석(문가윤, 박영진, 신수연)"/>
      <sheetName val="근로시간분석(허지연)_수습종료후"/>
      <sheetName val="근로시간분석(김소영)"/>
      <sheetName val="입력폼"/>
      <sheetName val="근로계약서(김소영)"/>
      <sheetName val="개인정보수집동의서"/>
    </sheetNames>
    <sheetDataSet>
      <sheetData sheetId="0"/>
      <sheetData sheetId="1"/>
      <sheetData sheetId="2"/>
      <sheetData sheetId="3">
        <row r="1">
          <cell r="B1">
            <v>0</v>
          </cell>
        </row>
      </sheetData>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 직영"/>
      <sheetName val="할석"/>
      <sheetName val="한성인력"/>
      <sheetName val="남부인력"/>
      <sheetName val="철근"/>
      <sheetName val="김종필"/>
      <sheetName val="묘제"/>
      <sheetName val="조영호형틀"/>
      <sheetName val="정현섭"/>
      <sheetName val="기초데이타"/>
      <sheetName val="차상민"/>
      <sheetName val="류한식"/>
      <sheetName val="박현주"/>
      <sheetName val="시쓰템"/>
      <sheetName val="정리"/>
      <sheetName val="해체"/>
      <sheetName val="콘크리트"/>
      <sheetName val="비계"/>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조인수</v>
          </cell>
        </row>
        <row r="3">
          <cell r="A3" t="str">
            <v>이명구</v>
          </cell>
        </row>
        <row r="4">
          <cell r="A4" t="str">
            <v>최갑식</v>
          </cell>
        </row>
        <row r="5">
          <cell r="A5" t="str">
            <v>이순옥</v>
          </cell>
        </row>
        <row r="6">
          <cell r="A6" t="str">
            <v>박경수</v>
          </cell>
        </row>
        <row r="7">
          <cell r="A7" t="str">
            <v>김광열</v>
          </cell>
        </row>
        <row r="8">
          <cell r="A8" t="str">
            <v>유민종</v>
          </cell>
        </row>
        <row r="9">
          <cell r="A9" t="str">
            <v>최찬용(실업급여중)</v>
          </cell>
        </row>
        <row r="10">
          <cell r="A10" t="str">
            <v>김세영</v>
          </cell>
        </row>
        <row r="11">
          <cell r="A11" t="str">
            <v>손준호</v>
          </cell>
        </row>
        <row r="12">
          <cell r="A12" t="str">
            <v>홍승관</v>
          </cell>
        </row>
        <row r="13">
          <cell r="A13" t="str">
            <v>허경환</v>
          </cell>
        </row>
        <row r="14">
          <cell r="A14" t="str">
            <v>김승화</v>
          </cell>
        </row>
        <row r="15">
          <cell r="A15" t="str">
            <v>김주철</v>
          </cell>
        </row>
        <row r="16">
          <cell r="A16" t="str">
            <v>김춘옥</v>
          </cell>
        </row>
        <row r="17">
          <cell r="A17" t="str">
            <v>강인중</v>
          </cell>
        </row>
        <row r="18">
          <cell r="A18" t="str">
            <v>최락문</v>
          </cell>
        </row>
        <row r="19">
          <cell r="A19" t="str">
            <v>김호상</v>
          </cell>
        </row>
        <row r="20">
          <cell r="A20" t="str">
            <v>박원석</v>
          </cell>
        </row>
        <row r="21">
          <cell r="A21" t="str">
            <v>최광일</v>
          </cell>
        </row>
        <row r="22">
          <cell r="A22" t="str">
            <v>황기백</v>
          </cell>
        </row>
        <row r="23">
          <cell r="A23" t="str">
            <v>이명수(LI MINGSHU)</v>
          </cell>
        </row>
        <row r="24">
          <cell r="A24" t="str">
            <v>한영(HAN YING)</v>
          </cell>
        </row>
        <row r="25">
          <cell r="A25" t="str">
            <v>김종수(JIN ZHONGZHU)</v>
          </cell>
        </row>
        <row r="26">
          <cell r="A26" t="str">
            <v>김영일(JIN YONGRI)</v>
          </cell>
        </row>
        <row r="27">
          <cell r="A27" t="str">
            <v>이승진</v>
          </cell>
        </row>
        <row r="28">
          <cell r="A28" t="str">
            <v>김양규</v>
          </cell>
        </row>
        <row r="29">
          <cell r="A29" t="str">
            <v>김창용</v>
          </cell>
        </row>
        <row r="30">
          <cell r="A30" t="str">
            <v>박명애(PIAO MINGAI)</v>
          </cell>
        </row>
        <row r="31">
          <cell r="A31" t="str">
            <v>김명숙</v>
          </cell>
        </row>
        <row r="32">
          <cell r="A32" t="str">
            <v>박윤수</v>
          </cell>
        </row>
        <row r="33">
          <cell r="A33" t="str">
            <v>박한수</v>
          </cell>
        </row>
        <row r="34">
          <cell r="A34" t="str">
            <v>안종대</v>
          </cell>
        </row>
        <row r="35">
          <cell r="A35" t="str">
            <v>조범식</v>
          </cell>
        </row>
        <row r="36">
          <cell r="A36" t="str">
            <v>황문현</v>
          </cell>
        </row>
        <row r="37">
          <cell r="A37" t="str">
            <v>임택권</v>
          </cell>
        </row>
        <row r="38">
          <cell r="A38" t="str">
            <v>김광일(JIN GUANGRI)</v>
          </cell>
        </row>
        <row r="39">
          <cell r="A39" t="str">
            <v>차진석(CHE ZHENSHI)</v>
          </cell>
        </row>
        <row r="40">
          <cell r="A40" t="str">
            <v>정수선</v>
          </cell>
        </row>
        <row r="41">
          <cell r="A41" t="str">
            <v>문을권</v>
          </cell>
        </row>
        <row r="42">
          <cell r="A42" t="str">
            <v>정병수</v>
          </cell>
        </row>
        <row r="43">
          <cell r="A43" t="str">
            <v>임채생</v>
          </cell>
        </row>
        <row r="44">
          <cell r="A44" t="str">
            <v>문종희</v>
          </cell>
        </row>
        <row r="45">
          <cell r="A45" t="str">
            <v>정현섭</v>
          </cell>
        </row>
        <row r="46">
          <cell r="A46" t="str">
            <v>정인정</v>
          </cell>
        </row>
        <row r="47">
          <cell r="A47" t="str">
            <v>유철호</v>
          </cell>
        </row>
        <row r="48">
          <cell r="A48" t="str">
            <v>유지봉</v>
          </cell>
        </row>
        <row r="49">
          <cell r="A49" t="str">
            <v>주한식</v>
          </cell>
        </row>
        <row r="50">
          <cell r="A50" t="str">
            <v>박종수(PIAO ZHONGZHU)</v>
          </cell>
        </row>
        <row r="51">
          <cell r="A51" t="str">
            <v>이광명</v>
          </cell>
        </row>
        <row r="52">
          <cell r="A52" t="str">
            <v>장문로(ZHANG WENLU)</v>
          </cell>
        </row>
        <row r="53">
          <cell r="A53" t="str">
            <v>이룡삼(LI LONGSAN)</v>
          </cell>
        </row>
        <row r="54">
          <cell r="A54" t="str">
            <v>김석(JIN SHI)</v>
          </cell>
        </row>
        <row r="55">
          <cell r="A55" t="str">
            <v>이춘복(LI CHUNFU)</v>
          </cell>
        </row>
        <row r="56">
          <cell r="A56" t="str">
            <v>계용책(GUI LONGCAI)</v>
          </cell>
        </row>
        <row r="57">
          <cell r="A57" t="str">
            <v>권기화(QUAN JIHUA)</v>
          </cell>
        </row>
        <row r="58">
          <cell r="A58" t="str">
            <v>조철길(ZHAO ZHEJI)</v>
          </cell>
        </row>
        <row r="59">
          <cell r="A59" t="str">
            <v>염영준(LIAN YONGJUN)</v>
          </cell>
        </row>
        <row r="60">
          <cell r="A60" t="str">
            <v>황학송(HUANG HESONG)</v>
          </cell>
        </row>
        <row r="62">
          <cell r="A62" t="str">
            <v>김국경 JIN GUOQING</v>
          </cell>
        </row>
        <row r="63">
          <cell r="A63" t="str">
            <v>강희갑 QUAN CHENGRI</v>
          </cell>
        </row>
        <row r="64">
          <cell r="A64" t="str">
            <v>권성열 JIANG XIJIA</v>
          </cell>
        </row>
        <row r="65">
          <cell r="A65" t="str">
            <v>전수현 QUAN XIUXIAN</v>
          </cell>
        </row>
        <row r="66">
          <cell r="A66" t="str">
            <v>안완석</v>
          </cell>
        </row>
        <row r="67">
          <cell r="A67" t="str">
            <v>한상만</v>
          </cell>
        </row>
        <row r="68">
          <cell r="A68" t="str">
            <v>박종진</v>
          </cell>
        </row>
        <row r="69">
          <cell r="A69" t="str">
            <v>김영현</v>
          </cell>
        </row>
        <row r="70">
          <cell r="A70" t="str">
            <v>방규석</v>
          </cell>
        </row>
        <row r="71">
          <cell r="A71" t="str">
            <v>김형국</v>
          </cell>
        </row>
        <row r="72">
          <cell r="A72" t="str">
            <v>서봉섭</v>
          </cell>
        </row>
        <row r="73">
          <cell r="A73" t="str">
            <v>오은섭</v>
          </cell>
        </row>
        <row r="74">
          <cell r="A74" t="str">
            <v>김경선</v>
          </cell>
        </row>
        <row r="75">
          <cell r="A75" t="str">
            <v>김종운</v>
          </cell>
        </row>
        <row r="76">
          <cell r="A76" t="str">
            <v>신철근(SHEN ZHEQUAN)</v>
          </cell>
        </row>
        <row r="77">
          <cell r="A77" t="str">
            <v>이진</v>
          </cell>
        </row>
        <row r="78">
          <cell r="A78" t="str">
            <v>박사만</v>
          </cell>
        </row>
        <row r="79">
          <cell r="A79" t="str">
            <v>김수현</v>
          </cell>
        </row>
        <row r="80">
          <cell r="A80" t="str">
            <v>신길호</v>
          </cell>
        </row>
        <row r="81">
          <cell r="A81" t="str">
            <v>박근철</v>
          </cell>
        </row>
        <row r="82">
          <cell r="A82" t="str">
            <v>전성환</v>
          </cell>
        </row>
        <row r="83">
          <cell r="A83" t="str">
            <v>이용석</v>
          </cell>
        </row>
        <row r="84">
          <cell r="A84" t="str">
            <v>구본훈</v>
          </cell>
        </row>
        <row r="85">
          <cell r="A85" t="str">
            <v>장복상</v>
          </cell>
        </row>
        <row r="86">
          <cell r="A86" t="str">
            <v>최기봉</v>
          </cell>
        </row>
        <row r="87">
          <cell r="A87" t="str">
            <v>천보배</v>
          </cell>
        </row>
        <row r="88">
          <cell r="A88" t="str">
            <v>권오석</v>
          </cell>
        </row>
        <row r="89">
          <cell r="A89" t="str">
            <v>김근수</v>
          </cell>
        </row>
        <row r="90">
          <cell r="A90" t="str">
            <v>조성범</v>
          </cell>
        </row>
        <row r="91">
          <cell r="A91" t="str">
            <v>최상철</v>
          </cell>
        </row>
        <row r="92">
          <cell r="A92" t="str">
            <v>고송배(GAO SONGPEI)</v>
          </cell>
        </row>
        <row r="93">
          <cell r="A93" t="str">
            <v>구강모</v>
          </cell>
        </row>
        <row r="94">
          <cell r="A94" t="str">
            <v>구자본</v>
          </cell>
        </row>
        <row r="95">
          <cell r="A95" t="str">
            <v>김건덕</v>
          </cell>
        </row>
        <row r="96">
          <cell r="A96" t="str">
            <v>김건호</v>
          </cell>
        </row>
        <row r="97">
          <cell r="A97" t="str">
            <v>김대환</v>
          </cell>
        </row>
        <row r="98">
          <cell r="A98" t="str">
            <v>김덕광(JIN DEGUANG)</v>
          </cell>
        </row>
        <row r="99">
          <cell r="A99" t="str">
            <v>김문규</v>
          </cell>
        </row>
        <row r="100">
          <cell r="A100" t="str">
            <v>김병관</v>
          </cell>
        </row>
        <row r="101">
          <cell r="A101" t="str">
            <v>김상열</v>
          </cell>
        </row>
        <row r="102">
          <cell r="A102" t="str">
            <v>김용호</v>
          </cell>
        </row>
        <row r="103">
          <cell r="A103" t="str">
            <v>김용환</v>
          </cell>
        </row>
        <row r="104">
          <cell r="A104" t="str">
            <v>김우일</v>
          </cell>
        </row>
        <row r="105">
          <cell r="A105" t="str">
            <v>김운철(JIN YUNZHE)</v>
          </cell>
        </row>
        <row r="106">
          <cell r="A106" t="str">
            <v>김재갑</v>
          </cell>
        </row>
        <row r="107">
          <cell r="A107" t="str">
            <v>김정윤</v>
          </cell>
        </row>
        <row r="108">
          <cell r="A108" t="str">
            <v>김창용(JIN CHANGYONG)</v>
          </cell>
        </row>
        <row r="109">
          <cell r="A109" t="str">
            <v>김창화(JIN CHANGHUA)</v>
          </cell>
        </row>
        <row r="110">
          <cell r="A110" t="str">
            <v>김태선</v>
          </cell>
        </row>
        <row r="111">
          <cell r="A111" t="str">
            <v>김태호</v>
          </cell>
        </row>
        <row r="112">
          <cell r="A112" t="str">
            <v>김해원</v>
          </cell>
        </row>
        <row r="113">
          <cell r="A113" t="str">
            <v>김홍철</v>
          </cell>
        </row>
        <row r="114">
          <cell r="A114" t="str">
            <v>라수균</v>
          </cell>
        </row>
        <row r="115">
          <cell r="A115" t="str">
            <v>박근철</v>
          </cell>
        </row>
        <row r="116">
          <cell r="A116" t="str">
            <v>박영신</v>
          </cell>
        </row>
        <row r="117">
          <cell r="A117" t="str">
            <v>박재민</v>
          </cell>
        </row>
        <row r="118">
          <cell r="A118" t="str">
            <v>박태진</v>
          </cell>
        </row>
        <row r="119">
          <cell r="A119" t="str">
            <v>박환성</v>
          </cell>
        </row>
        <row r="120">
          <cell r="A120" t="str">
            <v>배성원</v>
          </cell>
        </row>
        <row r="121">
          <cell r="A121" t="str">
            <v>백남국(CUI GUANGCHUN)</v>
          </cell>
        </row>
        <row r="122">
          <cell r="A122" t="str">
            <v>변양균</v>
          </cell>
        </row>
        <row r="123">
          <cell r="A123" t="str">
            <v>서달석</v>
          </cell>
        </row>
        <row r="124">
          <cell r="A124" t="str">
            <v>서정윤</v>
          </cell>
        </row>
        <row r="125">
          <cell r="A125" t="str">
            <v>손기수</v>
          </cell>
        </row>
        <row r="126">
          <cell r="A126" t="str">
            <v>안복근</v>
          </cell>
        </row>
        <row r="127">
          <cell r="A127" t="str">
            <v>양동우</v>
          </cell>
        </row>
        <row r="128">
          <cell r="A128" t="str">
            <v>양병선</v>
          </cell>
        </row>
        <row r="129">
          <cell r="A129" t="str">
            <v>양진철</v>
          </cell>
        </row>
        <row r="130">
          <cell r="A130" t="str">
            <v>양태만(LIANG TAIWAN)</v>
          </cell>
        </row>
        <row r="131">
          <cell r="A131" t="str">
            <v>오영수</v>
          </cell>
        </row>
        <row r="132">
          <cell r="A132" t="str">
            <v>오은규</v>
          </cell>
        </row>
        <row r="133">
          <cell r="A133" t="str">
            <v>오현수</v>
          </cell>
        </row>
        <row r="134">
          <cell r="A134" t="str">
            <v>윤강찬(YIN JIANGZAN)</v>
          </cell>
        </row>
        <row r="135">
          <cell r="A135" t="str">
            <v>윤경국</v>
          </cell>
        </row>
        <row r="136">
          <cell r="A136" t="str">
            <v>윤원상</v>
          </cell>
        </row>
        <row r="137">
          <cell r="A137" t="str">
            <v>윤철현</v>
          </cell>
        </row>
        <row r="138">
          <cell r="A138" t="str">
            <v>이관행</v>
          </cell>
        </row>
        <row r="139">
          <cell r="A139" t="str">
            <v>이규남</v>
          </cell>
        </row>
        <row r="140">
          <cell r="A140" t="str">
            <v>이근수(LI GENXIU)</v>
          </cell>
        </row>
        <row r="141">
          <cell r="A141" t="str">
            <v>이남훈</v>
          </cell>
        </row>
        <row r="142">
          <cell r="A142" t="str">
            <v>이대홍</v>
          </cell>
        </row>
        <row r="143">
          <cell r="A143" t="str">
            <v>이석호</v>
          </cell>
        </row>
        <row r="144">
          <cell r="A144" t="str">
            <v>이승완</v>
          </cell>
        </row>
        <row r="145">
          <cell r="A145" t="str">
            <v>이영일</v>
          </cell>
        </row>
        <row r="146">
          <cell r="A146" t="str">
            <v>이용환</v>
          </cell>
        </row>
        <row r="147">
          <cell r="A147" t="str">
            <v>이재찬</v>
          </cell>
        </row>
        <row r="148">
          <cell r="A148" t="str">
            <v>이철웅(LI ZHEXIONG)</v>
          </cell>
        </row>
        <row r="149">
          <cell r="A149" t="str">
            <v>이충권</v>
          </cell>
        </row>
        <row r="150">
          <cell r="A150" t="str">
            <v>이해균</v>
          </cell>
        </row>
        <row r="151">
          <cell r="A151" t="str">
            <v>전운엽</v>
          </cell>
        </row>
        <row r="152">
          <cell r="A152" t="str">
            <v>정기섭</v>
          </cell>
        </row>
        <row r="153">
          <cell r="A153" t="str">
            <v>정명진(ZHENG MINGZHEN)</v>
          </cell>
        </row>
        <row r="154">
          <cell r="A154" t="str">
            <v>조기태</v>
          </cell>
        </row>
        <row r="155">
          <cell r="A155" t="str">
            <v>조성범</v>
          </cell>
        </row>
        <row r="156">
          <cell r="A156" t="str">
            <v>조춘경</v>
          </cell>
        </row>
        <row r="157">
          <cell r="A157" t="str">
            <v>천보배</v>
          </cell>
        </row>
        <row r="158">
          <cell r="A158" t="str">
            <v>최영용</v>
          </cell>
        </row>
        <row r="159">
          <cell r="A159" t="str">
            <v>최용만(CUI LONGWAN)</v>
          </cell>
        </row>
        <row r="160">
          <cell r="A160" t="str">
            <v>홍병열</v>
          </cell>
        </row>
        <row r="161">
          <cell r="A161" t="str">
            <v>황준호</v>
          </cell>
        </row>
        <row r="162">
          <cell r="A162" t="str">
            <v>이규환</v>
          </cell>
        </row>
        <row r="163">
          <cell r="A163" t="str">
            <v>이길우</v>
          </cell>
        </row>
        <row r="164">
          <cell r="A164" t="str">
            <v>김금용</v>
          </cell>
        </row>
        <row r="165">
          <cell r="A165" t="str">
            <v>강준철</v>
          </cell>
        </row>
        <row r="166">
          <cell r="A166" t="str">
            <v>권오석</v>
          </cell>
        </row>
        <row r="167">
          <cell r="A167" t="str">
            <v>이희규</v>
          </cell>
        </row>
        <row r="168">
          <cell r="A168" t="str">
            <v>강인호</v>
          </cell>
        </row>
        <row r="169">
          <cell r="A169" t="str">
            <v>고종윤</v>
          </cell>
        </row>
        <row r="170">
          <cell r="A170" t="str">
            <v>구자현</v>
          </cell>
        </row>
        <row r="171">
          <cell r="A171" t="str">
            <v>권영복</v>
          </cell>
        </row>
        <row r="172">
          <cell r="A172" t="str">
            <v>김경철(JIN JINGZHE)</v>
          </cell>
        </row>
        <row r="173">
          <cell r="A173" t="str">
            <v>김남진</v>
          </cell>
        </row>
        <row r="174">
          <cell r="A174" t="str">
            <v>김병수</v>
          </cell>
        </row>
        <row r="175">
          <cell r="A175" t="str">
            <v>김병수2</v>
          </cell>
        </row>
        <row r="176">
          <cell r="A176" t="str">
            <v>김성출</v>
          </cell>
        </row>
        <row r="177">
          <cell r="A177" t="str">
            <v>김영철</v>
          </cell>
        </row>
        <row r="178">
          <cell r="A178" t="str">
            <v>김용운</v>
          </cell>
        </row>
        <row r="179">
          <cell r="A179" t="str">
            <v>김유남</v>
          </cell>
        </row>
        <row r="180">
          <cell r="A180" t="str">
            <v>김재신</v>
          </cell>
        </row>
        <row r="181">
          <cell r="A181" t="str">
            <v>나성수</v>
          </cell>
        </row>
        <row r="182">
          <cell r="A182" t="str">
            <v>노경호</v>
          </cell>
        </row>
        <row r="183">
          <cell r="A183" t="str">
            <v>박수득</v>
          </cell>
        </row>
        <row r="184">
          <cell r="A184" t="str">
            <v>박영숙</v>
          </cell>
        </row>
        <row r="185">
          <cell r="A185" t="str">
            <v>박영창</v>
          </cell>
        </row>
        <row r="186">
          <cell r="A186" t="str">
            <v>박형배</v>
          </cell>
        </row>
        <row r="187">
          <cell r="A187" t="str">
            <v>서남진</v>
          </cell>
        </row>
        <row r="188">
          <cell r="A188" t="str">
            <v>손진영</v>
          </cell>
        </row>
        <row r="189">
          <cell r="A189" t="str">
            <v>송경섭2</v>
          </cell>
        </row>
        <row r="190">
          <cell r="A190" t="str">
            <v>송영인</v>
          </cell>
        </row>
        <row r="191">
          <cell r="A191" t="str">
            <v>신준철</v>
          </cell>
        </row>
        <row r="192">
          <cell r="A192" t="str">
            <v>옥성민</v>
          </cell>
        </row>
        <row r="193">
          <cell r="A193" t="str">
            <v>이강웅</v>
          </cell>
        </row>
        <row r="194">
          <cell r="A194" t="str">
            <v>이범준</v>
          </cell>
        </row>
        <row r="195">
          <cell r="A195" t="str">
            <v>이용내</v>
          </cell>
        </row>
        <row r="196">
          <cell r="A196" t="str">
            <v>장성빈</v>
          </cell>
        </row>
        <row r="197">
          <cell r="A197" t="str">
            <v>장양수</v>
          </cell>
        </row>
        <row r="198">
          <cell r="A198" t="str">
            <v>장운성(ZHANG YUNSONG)</v>
          </cell>
        </row>
        <row r="199">
          <cell r="A199" t="str">
            <v>전종세</v>
          </cell>
        </row>
        <row r="200">
          <cell r="A200" t="str">
            <v>조성필</v>
          </cell>
        </row>
        <row r="201">
          <cell r="A201" t="str">
            <v>지종구</v>
          </cell>
        </row>
        <row r="202">
          <cell r="A202" t="str">
            <v>진우</v>
          </cell>
        </row>
        <row r="203">
          <cell r="A203" t="str">
            <v>채동은</v>
          </cell>
        </row>
        <row r="204">
          <cell r="A204" t="str">
            <v>채사무엘</v>
          </cell>
        </row>
        <row r="205">
          <cell r="A205" t="str">
            <v>최돈승</v>
          </cell>
        </row>
        <row r="206">
          <cell r="A206" t="str">
            <v>최동석</v>
          </cell>
        </row>
        <row r="207">
          <cell r="A207" t="str">
            <v>최림(CUI LIN)</v>
          </cell>
        </row>
        <row r="208">
          <cell r="A208" t="str">
            <v>하병우</v>
          </cell>
        </row>
        <row r="209">
          <cell r="A209" t="str">
            <v>허혁</v>
          </cell>
        </row>
        <row r="210">
          <cell r="A210" t="str">
            <v>김태선</v>
          </cell>
        </row>
        <row r="211">
          <cell r="A211" t="str">
            <v>윤정만</v>
          </cell>
        </row>
        <row r="212">
          <cell r="A212" t="str">
            <v>김종필</v>
          </cell>
        </row>
        <row r="213">
          <cell r="A213" t="str">
            <v>요병주</v>
          </cell>
        </row>
        <row r="214">
          <cell r="A214" t="str">
            <v>마홍양</v>
          </cell>
        </row>
        <row r="215">
          <cell r="A215" t="str">
            <v>문형선</v>
          </cell>
        </row>
        <row r="216">
          <cell r="A216" t="str">
            <v>김성건</v>
          </cell>
        </row>
        <row r="217">
          <cell r="A217" t="str">
            <v>이동호</v>
          </cell>
        </row>
        <row r="218">
          <cell r="A218" t="str">
            <v>황대연</v>
          </cell>
        </row>
        <row r="219">
          <cell r="A219" t="str">
            <v>임종화</v>
          </cell>
        </row>
        <row r="220">
          <cell r="A220" t="str">
            <v>이상수</v>
          </cell>
        </row>
        <row r="221">
          <cell r="A221" t="str">
            <v>신재경</v>
          </cell>
        </row>
        <row r="222">
          <cell r="A222" t="str">
            <v>전요셉</v>
          </cell>
        </row>
        <row r="223">
          <cell r="A223" t="str">
            <v>정성구</v>
          </cell>
        </row>
        <row r="224">
          <cell r="A224" t="str">
            <v>양정훈</v>
          </cell>
        </row>
        <row r="225">
          <cell r="A225" t="str">
            <v>함정수</v>
          </cell>
        </row>
        <row r="226">
          <cell r="A226" t="str">
            <v>허현일</v>
          </cell>
        </row>
        <row r="227">
          <cell r="A227" t="str">
            <v>최호운(CUI GAOYUN)</v>
          </cell>
        </row>
        <row r="228">
          <cell r="A228" t="str">
            <v>서광섭(XU GUANGBIAN)</v>
          </cell>
        </row>
        <row r="229">
          <cell r="A229" t="str">
            <v>서광섭(XU GUANGBIAN)</v>
          </cell>
        </row>
        <row r="230">
          <cell r="A230" t="str">
            <v>조민수(실업급여중)</v>
          </cell>
        </row>
        <row r="231">
          <cell r="A231" t="str">
            <v>장기우</v>
          </cell>
        </row>
        <row r="232">
          <cell r="A232" t="str">
            <v>이위현</v>
          </cell>
        </row>
        <row r="233">
          <cell r="A233" t="str">
            <v>김춘일(JIN CHUNRI)</v>
          </cell>
        </row>
        <row r="234">
          <cell r="A234" t="str">
            <v>최종복</v>
          </cell>
        </row>
        <row r="235">
          <cell r="A235" t="str">
            <v>안재덕</v>
          </cell>
        </row>
        <row r="236">
          <cell r="A236" t="str">
            <v>안재영</v>
          </cell>
        </row>
        <row r="237">
          <cell r="A237" t="str">
            <v>최종복</v>
          </cell>
        </row>
        <row r="238">
          <cell r="A238" t="str">
            <v>김필주</v>
          </cell>
        </row>
        <row r="239">
          <cell r="A239" t="str">
            <v>이문표</v>
          </cell>
        </row>
        <row r="240">
          <cell r="A240" t="str">
            <v>최근수</v>
          </cell>
        </row>
        <row r="241">
          <cell r="A241" t="str">
            <v>송인원</v>
          </cell>
        </row>
        <row r="242">
          <cell r="A242" t="str">
            <v>김경호</v>
          </cell>
        </row>
        <row r="243">
          <cell r="A243" t="str">
            <v>이상혁</v>
          </cell>
        </row>
        <row r="244">
          <cell r="A244" t="str">
            <v>전성남</v>
          </cell>
        </row>
        <row r="245">
          <cell r="A245" t="str">
            <v>이수필</v>
          </cell>
        </row>
        <row r="246">
          <cell r="A246" t="str">
            <v>김재현</v>
          </cell>
        </row>
        <row r="247">
          <cell r="A247" t="str">
            <v>김봉근</v>
          </cell>
        </row>
        <row r="248">
          <cell r="A248" t="str">
            <v>서점대</v>
          </cell>
        </row>
        <row r="249">
          <cell r="A249" t="str">
            <v>김정호</v>
          </cell>
        </row>
        <row r="250">
          <cell r="A250" t="str">
            <v>지창열</v>
          </cell>
        </row>
        <row r="251">
          <cell r="A251" t="str">
            <v>전욱준</v>
          </cell>
        </row>
        <row r="252">
          <cell r="A252" t="str">
            <v>조남국</v>
          </cell>
        </row>
        <row r="253">
          <cell r="A253" t="str">
            <v>고승재</v>
          </cell>
        </row>
        <row r="254">
          <cell r="A254" t="str">
            <v>김상진</v>
          </cell>
        </row>
        <row r="255">
          <cell r="A255" t="str">
            <v>김성환</v>
          </cell>
        </row>
        <row r="256">
          <cell r="A256" t="str">
            <v>임상철</v>
          </cell>
        </row>
        <row r="257">
          <cell r="A257" t="str">
            <v>김현덕</v>
          </cell>
        </row>
        <row r="258">
          <cell r="A258" t="str">
            <v>위열환</v>
          </cell>
        </row>
        <row r="259">
          <cell r="A259" t="str">
            <v>박광용</v>
          </cell>
        </row>
        <row r="260">
          <cell r="A260" t="str">
            <v>고영기</v>
          </cell>
        </row>
        <row r="261">
          <cell r="A261" t="str">
            <v>구자필</v>
          </cell>
        </row>
        <row r="262">
          <cell r="A262" t="str">
            <v>서홍원</v>
          </cell>
        </row>
        <row r="263">
          <cell r="A263" t="str">
            <v>김기재</v>
          </cell>
        </row>
        <row r="264">
          <cell r="A264" t="str">
            <v>송명섭</v>
          </cell>
        </row>
        <row r="265">
          <cell r="A265" t="str">
            <v>이은창</v>
          </cell>
        </row>
        <row r="266">
          <cell r="A266" t="str">
            <v>마림춘(MA LINCHUN)</v>
          </cell>
        </row>
        <row r="267">
          <cell r="A267" t="str">
            <v>김동길(JIN DONGJI)</v>
          </cell>
        </row>
        <row r="268">
          <cell r="A268" t="str">
            <v>이태명(LI TAIMING)</v>
          </cell>
        </row>
        <row r="269">
          <cell r="A269" t="str">
            <v>고윤성</v>
          </cell>
        </row>
        <row r="270">
          <cell r="A270" t="str">
            <v>김춘석</v>
          </cell>
        </row>
        <row r="271">
          <cell r="A271" t="str">
            <v>이일수(LI RISHOU)</v>
          </cell>
        </row>
        <row r="272">
          <cell r="A272" t="str">
            <v>김영석</v>
          </cell>
        </row>
        <row r="273">
          <cell r="A273" t="str">
            <v>서문성환</v>
          </cell>
        </row>
        <row r="274">
          <cell r="A274" t="str">
            <v>최영술</v>
          </cell>
        </row>
        <row r="275">
          <cell r="A275" t="str">
            <v>이상규</v>
          </cell>
        </row>
        <row r="276">
          <cell r="A276" t="str">
            <v>조재응</v>
          </cell>
        </row>
        <row r="277">
          <cell r="A277" t="str">
            <v>이승식</v>
          </cell>
        </row>
        <row r="278">
          <cell r="A278" t="str">
            <v>문학해</v>
          </cell>
        </row>
        <row r="279">
          <cell r="A279" t="str">
            <v>김창규</v>
          </cell>
        </row>
        <row r="280">
          <cell r="A280" t="str">
            <v>김경수</v>
          </cell>
        </row>
        <row r="281">
          <cell r="A281" t="str">
            <v>김대문</v>
          </cell>
        </row>
        <row r="282">
          <cell r="A282" t="str">
            <v>이재선</v>
          </cell>
        </row>
        <row r="283">
          <cell r="A283" t="str">
            <v>윤순종</v>
          </cell>
        </row>
        <row r="284">
          <cell r="A284" t="str">
            <v>최성민</v>
          </cell>
        </row>
        <row r="285">
          <cell r="A285" t="str">
            <v>이병도</v>
          </cell>
        </row>
        <row r="286">
          <cell r="A286" t="str">
            <v>박명현</v>
          </cell>
        </row>
        <row r="287">
          <cell r="A287" t="str">
            <v>최광금</v>
          </cell>
        </row>
        <row r="288">
          <cell r="A288" t="str">
            <v>신남섭</v>
          </cell>
        </row>
        <row r="289">
          <cell r="A289" t="str">
            <v>신진석</v>
          </cell>
        </row>
        <row r="290">
          <cell r="A290" t="str">
            <v>강인용</v>
          </cell>
        </row>
        <row r="291">
          <cell r="A291" t="str">
            <v>김경수</v>
          </cell>
        </row>
        <row r="292">
          <cell r="A292" t="str">
            <v>김경열(JIN JINGLIE)</v>
          </cell>
        </row>
        <row r="293">
          <cell r="A293" t="str">
            <v>김관범</v>
          </cell>
        </row>
        <row r="294">
          <cell r="A294" t="str">
            <v>김대환</v>
          </cell>
        </row>
        <row r="295">
          <cell r="A295" t="str">
            <v>김명화(JIN MINGHUA)</v>
          </cell>
        </row>
        <row r="296">
          <cell r="A296" t="str">
            <v>김부영</v>
          </cell>
        </row>
        <row r="297">
          <cell r="A297" t="str">
            <v>김수한</v>
          </cell>
        </row>
        <row r="298">
          <cell r="A298" t="str">
            <v>김영신</v>
          </cell>
        </row>
        <row r="299">
          <cell r="A299" t="str">
            <v>김영의(JIN YONGYI)</v>
          </cell>
        </row>
        <row r="300">
          <cell r="A300" t="str">
            <v>김용근</v>
          </cell>
        </row>
        <row r="301">
          <cell r="A301" t="str">
            <v>김용비(JIN LONGBI)</v>
          </cell>
        </row>
        <row r="302">
          <cell r="A302" t="str">
            <v>김일관(JIN RIGUAN)</v>
          </cell>
        </row>
        <row r="303">
          <cell r="A303" t="str">
            <v>김정구 JIN ZHENGQIU</v>
          </cell>
        </row>
        <row r="304">
          <cell r="A304" t="str">
            <v>김택수</v>
          </cell>
        </row>
        <row r="305">
          <cell r="A305" t="str">
            <v>김형식</v>
          </cell>
        </row>
        <row r="306">
          <cell r="A306" t="str">
            <v>김호구</v>
          </cell>
        </row>
        <row r="307">
          <cell r="A307" t="str">
            <v>김호연(JIN HUYE)</v>
          </cell>
        </row>
        <row r="308">
          <cell r="A308" t="str">
            <v>김휘우</v>
          </cell>
        </row>
        <row r="309">
          <cell r="A309" t="str">
            <v>나창균</v>
          </cell>
        </row>
        <row r="310">
          <cell r="A310" t="str">
            <v>노위(YU QUANZHE)</v>
          </cell>
        </row>
        <row r="311">
          <cell r="A311" t="str">
            <v>문충경</v>
          </cell>
        </row>
        <row r="312">
          <cell r="A312" t="str">
            <v>박남규</v>
          </cell>
        </row>
        <row r="313">
          <cell r="A313" t="str">
            <v>박동환</v>
          </cell>
        </row>
        <row r="314">
          <cell r="A314" t="str">
            <v>박명철</v>
          </cell>
        </row>
        <row r="315">
          <cell r="A315" t="str">
            <v>박성인</v>
          </cell>
        </row>
        <row r="316">
          <cell r="A316" t="str">
            <v>박성철(PIAO SONGZHE)</v>
          </cell>
        </row>
        <row r="317">
          <cell r="A317" t="str">
            <v>박영수(PIAO YONGZHU)</v>
          </cell>
        </row>
        <row r="318">
          <cell r="A318" t="str">
            <v>박용호</v>
          </cell>
        </row>
        <row r="319">
          <cell r="A319" t="str">
            <v>박정민</v>
          </cell>
        </row>
        <row r="320">
          <cell r="A320" t="str">
            <v>박종실</v>
          </cell>
        </row>
        <row r="321">
          <cell r="A321" t="str">
            <v>박종준</v>
          </cell>
        </row>
        <row r="322">
          <cell r="A322" t="str">
            <v>박진석</v>
          </cell>
        </row>
        <row r="323">
          <cell r="A323" t="str">
            <v>박춘수(PIAO CHUNZHU)</v>
          </cell>
        </row>
        <row r="324">
          <cell r="A324" t="str">
            <v>박호일</v>
          </cell>
        </row>
        <row r="325">
          <cell r="A325" t="str">
            <v>박호일</v>
          </cell>
        </row>
        <row r="326">
          <cell r="A326" t="str">
            <v>반슬기</v>
          </cell>
        </row>
        <row r="327">
          <cell r="A327" t="str">
            <v>백길현</v>
          </cell>
        </row>
        <row r="328">
          <cell r="A328" t="str">
            <v>빙종섭(BING ZONGXIE)</v>
          </cell>
        </row>
        <row r="329">
          <cell r="A329" t="str">
            <v>서종원</v>
          </cell>
        </row>
        <row r="330">
          <cell r="A330" t="str">
            <v>신대식(SHEN DASHI)</v>
          </cell>
        </row>
        <row r="331">
          <cell r="A331" t="str">
            <v>신면은(SHEN MINGYUN)</v>
          </cell>
        </row>
        <row r="332">
          <cell r="A332" t="str">
            <v>양귀봉</v>
          </cell>
        </row>
        <row r="333">
          <cell r="A333" t="str">
            <v>엄상용</v>
          </cell>
        </row>
        <row r="334">
          <cell r="A334" t="str">
            <v>염상현</v>
          </cell>
        </row>
        <row r="335">
          <cell r="A335" t="str">
            <v>위재훈</v>
          </cell>
        </row>
        <row r="336">
          <cell r="A336" t="str">
            <v>유경종</v>
          </cell>
        </row>
        <row r="337">
          <cell r="A337" t="str">
            <v>유춘호</v>
          </cell>
        </row>
        <row r="338">
          <cell r="A338" t="str">
            <v>유한영</v>
          </cell>
        </row>
        <row r="339">
          <cell r="A339" t="str">
            <v>윤승종</v>
          </cell>
        </row>
        <row r="340">
          <cell r="A340" t="str">
            <v>윤창기</v>
          </cell>
        </row>
        <row r="341">
          <cell r="A341" t="str">
            <v>이규휘</v>
          </cell>
        </row>
        <row r="342">
          <cell r="A342" t="str">
            <v>이덕성</v>
          </cell>
        </row>
        <row r="343">
          <cell r="A343" t="str">
            <v>이덕수</v>
          </cell>
        </row>
        <row r="344">
          <cell r="A344" t="str">
            <v>이동일</v>
          </cell>
        </row>
        <row r="345">
          <cell r="A345" t="str">
            <v>이문학(LI YUNHE)</v>
          </cell>
        </row>
        <row r="346">
          <cell r="A346" t="str">
            <v>이봉하(LI FENGHE)</v>
          </cell>
        </row>
        <row r="347">
          <cell r="A347" t="str">
            <v>이승열</v>
          </cell>
        </row>
        <row r="348">
          <cell r="A348" t="str">
            <v>이운룡 LI YUNLONG</v>
          </cell>
        </row>
        <row r="349">
          <cell r="A349" t="str">
            <v>이이재</v>
          </cell>
        </row>
        <row r="350">
          <cell r="A350" t="str">
            <v>이재열</v>
          </cell>
        </row>
        <row r="351">
          <cell r="A351" t="str">
            <v>이정진</v>
          </cell>
        </row>
        <row r="352">
          <cell r="A352" t="str">
            <v>이철수 LI ZHEZHU</v>
          </cell>
        </row>
        <row r="353">
          <cell r="A353" t="str">
            <v>이춘희</v>
          </cell>
        </row>
        <row r="354">
          <cell r="A354" t="str">
            <v>임정호</v>
          </cell>
        </row>
        <row r="355">
          <cell r="A355" t="str">
            <v>장찬호 ZHANG ZHANHU</v>
          </cell>
        </row>
        <row r="356">
          <cell r="A356" t="str">
            <v>전병식</v>
          </cell>
        </row>
        <row r="357">
          <cell r="A357" t="str">
            <v>전성일(QUAN CHENGRI)</v>
          </cell>
        </row>
        <row r="358">
          <cell r="A358" t="str">
            <v>전철남(QUAN ZHENAN)</v>
          </cell>
        </row>
        <row r="359">
          <cell r="A359" t="str">
            <v>정재홍</v>
          </cell>
        </row>
        <row r="360">
          <cell r="A360" t="str">
            <v>정진욱</v>
          </cell>
        </row>
        <row r="361">
          <cell r="A361" t="str">
            <v>정흥식</v>
          </cell>
        </row>
        <row r="362">
          <cell r="A362" t="str">
            <v>조영덕</v>
          </cell>
        </row>
        <row r="363">
          <cell r="A363" t="str">
            <v>진흥우(JIN HONGWU)</v>
          </cell>
        </row>
        <row r="364">
          <cell r="A364" t="str">
            <v>차용주</v>
          </cell>
        </row>
        <row r="365">
          <cell r="A365" t="str">
            <v>채문(CAI WEN)</v>
          </cell>
        </row>
        <row r="366">
          <cell r="A366" t="str">
            <v>최강용</v>
          </cell>
        </row>
        <row r="367">
          <cell r="A367" t="str">
            <v>최동철(CUI DONGZHE)</v>
          </cell>
        </row>
        <row r="368">
          <cell r="A368" t="str">
            <v>최영철 CUI YONGZHHE</v>
          </cell>
        </row>
        <row r="369">
          <cell r="A369" t="str">
            <v>최영환</v>
          </cell>
        </row>
        <row r="370">
          <cell r="A370" t="str">
            <v>최주원</v>
          </cell>
        </row>
        <row r="371">
          <cell r="A371" t="str">
            <v>최홍철</v>
          </cell>
        </row>
        <row r="372">
          <cell r="A372" t="str">
            <v>함종갑</v>
          </cell>
        </row>
        <row r="373">
          <cell r="A373" t="str">
            <v>함종완</v>
          </cell>
        </row>
        <row r="374">
          <cell r="A374" t="str">
            <v>허영문</v>
          </cell>
        </row>
        <row r="375">
          <cell r="A375" t="str">
            <v>허영철(CUI YONGZHE)</v>
          </cell>
        </row>
        <row r="376">
          <cell r="A376" t="str">
            <v>현창섭</v>
          </cell>
        </row>
        <row r="377">
          <cell r="A377" t="str">
            <v>장영식</v>
          </cell>
        </row>
        <row r="378">
          <cell r="A378" t="str">
            <v>김인권(JIN REQUAN)</v>
          </cell>
        </row>
        <row r="379">
          <cell r="A379" t="str">
            <v>정진석</v>
          </cell>
        </row>
        <row r="380">
          <cell r="A380" t="str">
            <v>김명열(JIN MINGZHE)</v>
          </cell>
        </row>
        <row r="381">
          <cell r="A381" t="str">
            <v>김성건(JIN SHENGJUN)</v>
          </cell>
        </row>
        <row r="382">
          <cell r="A382" t="str">
            <v>김석보(JIN XIBAO)</v>
          </cell>
        </row>
        <row r="383">
          <cell r="A383" t="str">
            <v>송인태</v>
          </cell>
        </row>
        <row r="384">
          <cell r="A384" t="str">
            <v>서광진(XU GUANZHEN)</v>
          </cell>
        </row>
        <row r="385">
          <cell r="A385" t="str">
            <v>최송봉(CUI SONGFENG)</v>
          </cell>
        </row>
        <row r="386">
          <cell r="A386" t="str">
            <v>손태철</v>
          </cell>
        </row>
        <row r="387">
          <cell r="A387" t="str">
            <v>정태진</v>
          </cell>
        </row>
        <row r="388">
          <cell r="A388" t="str">
            <v>김성수</v>
          </cell>
        </row>
        <row r="389">
          <cell r="A389" t="str">
            <v>이해영</v>
          </cell>
        </row>
        <row r="390">
          <cell r="A390" t="str">
            <v>이종윤</v>
          </cell>
        </row>
        <row r="391">
          <cell r="A391" t="str">
            <v>김만복(JIN WANFU)</v>
          </cell>
        </row>
        <row r="392">
          <cell r="A392" t="str">
            <v>백종희</v>
          </cell>
        </row>
        <row r="393">
          <cell r="A393" t="str">
            <v>박호철(PIAO BAIQIU)</v>
          </cell>
        </row>
        <row r="394">
          <cell r="A394" t="str">
            <v>전윤일(QUAN RUNRI)</v>
          </cell>
        </row>
        <row r="395">
          <cell r="A395" t="str">
            <v>김원기</v>
          </cell>
        </row>
        <row r="396">
          <cell r="A396" t="str">
            <v>김봉수</v>
          </cell>
        </row>
        <row r="397">
          <cell r="A397" t="str">
            <v>방금철</v>
          </cell>
        </row>
        <row r="398">
          <cell r="A398" t="str">
            <v>최이진</v>
          </cell>
        </row>
        <row r="399">
          <cell r="A399" t="str">
            <v>이철승</v>
          </cell>
        </row>
        <row r="400">
          <cell r="A400" t="str">
            <v>이요셉</v>
          </cell>
        </row>
        <row r="401">
          <cell r="A401" t="str">
            <v>김영길</v>
          </cell>
        </row>
        <row r="402">
          <cell r="A402" t="str">
            <v>김부영2</v>
          </cell>
        </row>
        <row r="403">
          <cell r="A403" t="str">
            <v>손장수</v>
          </cell>
        </row>
        <row r="404">
          <cell r="A404" t="str">
            <v>한승철</v>
          </cell>
        </row>
        <row r="405">
          <cell r="A405" t="str">
            <v>이용락</v>
          </cell>
        </row>
        <row r="406">
          <cell r="A406" t="str">
            <v>함용선</v>
          </cell>
        </row>
        <row r="407">
          <cell r="A407" t="str">
            <v>이춘일(LI CHUNYI)</v>
          </cell>
        </row>
        <row r="408">
          <cell r="A408" t="str">
            <v>서정복(XU CHENGFU)</v>
          </cell>
        </row>
        <row r="409">
          <cell r="A409" t="str">
            <v>이종실</v>
          </cell>
        </row>
        <row r="410">
          <cell r="A410" t="str">
            <v>이재우</v>
          </cell>
        </row>
        <row r="411">
          <cell r="A411" t="str">
            <v>안경모</v>
          </cell>
        </row>
        <row r="412">
          <cell r="A412" t="str">
            <v>추덕남</v>
          </cell>
        </row>
        <row r="413">
          <cell r="A413" t="str">
            <v>장영만</v>
          </cell>
        </row>
        <row r="414">
          <cell r="A414" t="str">
            <v>김정봉</v>
          </cell>
        </row>
        <row r="415">
          <cell r="A415" t="str">
            <v>서두성(XU DOUSSHENG)</v>
          </cell>
        </row>
        <row r="416">
          <cell r="A416" t="str">
            <v>백용길(BAI LONGJI)</v>
          </cell>
        </row>
        <row r="417">
          <cell r="A417" t="str">
            <v>장육채</v>
          </cell>
        </row>
        <row r="418">
          <cell r="A418" t="str">
            <v>홍광현</v>
          </cell>
        </row>
        <row r="419">
          <cell r="A419" t="str">
            <v>김항진</v>
          </cell>
        </row>
        <row r="420">
          <cell r="A420" t="str">
            <v>김대성</v>
          </cell>
        </row>
        <row r="421">
          <cell r="A421" t="str">
            <v>봉주진</v>
          </cell>
        </row>
        <row r="422">
          <cell r="A422" t="str">
            <v>유춘실</v>
          </cell>
        </row>
        <row r="423">
          <cell r="A423" t="str">
            <v>김오배</v>
          </cell>
        </row>
        <row r="424">
          <cell r="A424" t="str">
            <v>조상기</v>
          </cell>
        </row>
        <row r="425">
          <cell r="A425" t="str">
            <v>윤순종</v>
          </cell>
        </row>
        <row r="426">
          <cell r="A426" t="str">
            <v>진유섭</v>
          </cell>
        </row>
        <row r="427">
          <cell r="A427" t="str">
            <v>이일영</v>
          </cell>
        </row>
        <row r="428">
          <cell r="A428" t="str">
            <v>김성국(JIN ZHENCQIU)</v>
          </cell>
        </row>
        <row r="429">
          <cell r="A429" t="str">
            <v>오창협(WU CHANGXIE)</v>
          </cell>
        </row>
        <row r="430">
          <cell r="A430" t="str">
            <v>이상만</v>
          </cell>
        </row>
        <row r="431">
          <cell r="A431" t="str">
            <v>김동교</v>
          </cell>
        </row>
        <row r="432">
          <cell r="A432" t="str">
            <v>조중희</v>
          </cell>
        </row>
        <row r="433">
          <cell r="A433" t="str">
            <v>홍순환</v>
          </cell>
        </row>
        <row r="434">
          <cell r="A434" t="str">
            <v>방민규</v>
          </cell>
        </row>
        <row r="435">
          <cell r="A435" t="str">
            <v>전기한</v>
          </cell>
        </row>
        <row r="436">
          <cell r="A436" t="str">
            <v>박수용</v>
          </cell>
        </row>
        <row r="437">
          <cell r="A437" t="str">
            <v>허성복 XU CHENGFU</v>
          </cell>
        </row>
        <row r="438">
          <cell r="A438" t="str">
            <v>홍기준</v>
          </cell>
        </row>
        <row r="439">
          <cell r="A439" t="str">
            <v>홍재현</v>
          </cell>
        </row>
        <row r="440">
          <cell r="A440" t="str">
            <v>송문섭</v>
          </cell>
        </row>
        <row r="441">
          <cell r="A441" t="str">
            <v>송경섭</v>
          </cell>
        </row>
        <row r="442">
          <cell r="A442" t="str">
            <v>김곤</v>
          </cell>
        </row>
        <row r="443">
          <cell r="A443" t="str">
            <v>김길수</v>
          </cell>
        </row>
        <row r="444">
          <cell r="A444" t="str">
            <v>김중완</v>
          </cell>
        </row>
        <row r="445">
          <cell r="A445" t="str">
            <v>차금옥</v>
          </cell>
        </row>
        <row r="446">
          <cell r="A446" t="str">
            <v>김영철</v>
          </cell>
        </row>
        <row r="447">
          <cell r="A447" t="str">
            <v>김기수</v>
          </cell>
        </row>
        <row r="448">
          <cell r="A448" t="str">
            <v>이보성</v>
          </cell>
        </row>
        <row r="449">
          <cell r="A449" t="str">
            <v>이철수</v>
          </cell>
        </row>
        <row r="450">
          <cell r="A450" t="str">
            <v>차문선</v>
          </cell>
        </row>
        <row r="451">
          <cell r="A451" t="str">
            <v>여준호</v>
          </cell>
        </row>
        <row r="452">
          <cell r="A452" t="str">
            <v>안돈희</v>
          </cell>
        </row>
        <row r="453">
          <cell r="A453" t="str">
            <v>정재헌</v>
          </cell>
        </row>
        <row r="454">
          <cell r="A454" t="str">
            <v>최영주</v>
          </cell>
        </row>
        <row r="455">
          <cell r="A455" t="str">
            <v>주선호</v>
          </cell>
        </row>
        <row r="456">
          <cell r="A456" t="str">
            <v>김명연</v>
          </cell>
        </row>
        <row r="457">
          <cell r="A457" t="str">
            <v>박창복</v>
          </cell>
        </row>
        <row r="458">
          <cell r="A458" t="str">
            <v>백영용</v>
          </cell>
        </row>
        <row r="459">
          <cell r="A459" t="str">
            <v>양영호</v>
          </cell>
        </row>
        <row r="460">
          <cell r="A460" t="str">
            <v>박춘배</v>
          </cell>
        </row>
        <row r="461">
          <cell r="A461" t="str">
            <v>송해승</v>
          </cell>
        </row>
        <row r="462">
          <cell r="A462" t="str">
            <v>박기용</v>
          </cell>
        </row>
        <row r="463">
          <cell r="A463" t="str">
            <v>김기원</v>
          </cell>
        </row>
        <row r="464">
          <cell r="A464" t="str">
            <v>임희암</v>
          </cell>
        </row>
        <row r="465">
          <cell r="A465" t="str">
            <v>최창수</v>
          </cell>
        </row>
        <row r="466">
          <cell r="A466" t="str">
            <v>임용택</v>
          </cell>
        </row>
        <row r="467">
          <cell r="A467" t="str">
            <v>안희춘</v>
          </cell>
        </row>
        <row r="468">
          <cell r="A468" t="str">
            <v>김홍선</v>
          </cell>
        </row>
        <row r="470">
          <cell r="A470" t="str">
            <v>이광신</v>
          </cell>
        </row>
        <row r="471">
          <cell r="A471" t="str">
            <v>정선수</v>
          </cell>
        </row>
        <row r="472">
          <cell r="A472" t="str">
            <v>임창모</v>
          </cell>
        </row>
        <row r="473">
          <cell r="A473" t="str">
            <v>권윤상</v>
          </cell>
        </row>
        <row r="474">
          <cell r="A474" t="str">
            <v>박행동</v>
          </cell>
        </row>
        <row r="475">
          <cell r="A475" t="str">
            <v>정재헌</v>
          </cell>
        </row>
        <row r="476">
          <cell r="A476" t="str">
            <v>최종열</v>
          </cell>
        </row>
        <row r="477">
          <cell r="A477" t="str">
            <v>안무근</v>
          </cell>
        </row>
        <row r="478">
          <cell r="A478" t="str">
            <v>이영수</v>
          </cell>
        </row>
        <row r="479">
          <cell r="A479" t="str">
            <v>안순환</v>
          </cell>
        </row>
        <row r="480">
          <cell r="A480" t="str">
            <v>최만수</v>
          </cell>
        </row>
        <row r="481">
          <cell r="A481" t="str">
            <v>박정우</v>
          </cell>
        </row>
        <row r="482">
          <cell r="A482" t="str">
            <v>유삼선</v>
          </cell>
        </row>
        <row r="483">
          <cell r="A483" t="str">
            <v>한상희</v>
          </cell>
        </row>
        <row r="484">
          <cell r="A484" t="str">
            <v>이석용</v>
          </cell>
        </row>
        <row r="485">
          <cell r="A485" t="str">
            <v>정병덕</v>
          </cell>
        </row>
        <row r="487">
          <cell r="A487" t="str">
            <v>김원석</v>
          </cell>
        </row>
        <row r="488">
          <cell r="A488" t="str">
            <v>정병진</v>
          </cell>
        </row>
        <row r="489">
          <cell r="A489" t="str">
            <v>최명수</v>
          </cell>
        </row>
        <row r="490">
          <cell r="A490" t="str">
            <v>박형신</v>
          </cell>
        </row>
        <row r="491">
          <cell r="A491" t="str">
            <v>엄중현</v>
          </cell>
        </row>
        <row r="492">
          <cell r="A492" t="str">
            <v>권영웅</v>
          </cell>
        </row>
        <row r="493">
          <cell r="A493" t="str">
            <v>전동식</v>
          </cell>
        </row>
        <row r="497">
          <cell r="A497" t="str">
            <v>윤진석</v>
          </cell>
        </row>
        <row r="498">
          <cell r="A498" t="str">
            <v>김순홍</v>
          </cell>
        </row>
        <row r="499">
          <cell r="A499" t="str">
            <v>김용길</v>
          </cell>
        </row>
        <row r="500">
          <cell r="A500" t="str">
            <v>정병희</v>
          </cell>
        </row>
        <row r="501">
          <cell r="A501" t="str">
            <v>남경우</v>
          </cell>
        </row>
        <row r="502">
          <cell r="A502" t="str">
            <v>김형원</v>
          </cell>
        </row>
        <row r="503">
          <cell r="A503" t="str">
            <v>하태완</v>
          </cell>
        </row>
        <row r="504">
          <cell r="A504" t="str">
            <v>이영길</v>
          </cell>
        </row>
        <row r="505">
          <cell r="A505" t="str">
            <v>김일현</v>
          </cell>
        </row>
        <row r="506">
          <cell r="A506" t="str">
            <v>한영무</v>
          </cell>
        </row>
        <row r="507">
          <cell r="A507" t="str">
            <v>김현진</v>
          </cell>
        </row>
        <row r="508">
          <cell r="A508" t="str">
            <v>김영식</v>
          </cell>
        </row>
        <row r="509">
          <cell r="A509" t="str">
            <v>이규창</v>
          </cell>
        </row>
        <row r="511">
          <cell r="A511" t="str">
            <v>윤영섭</v>
          </cell>
        </row>
        <row r="512">
          <cell r="A512" t="str">
            <v>김민규</v>
          </cell>
        </row>
        <row r="513">
          <cell r="A513" t="str">
            <v>임승엽</v>
          </cell>
        </row>
        <row r="514">
          <cell r="A514" t="str">
            <v>서만철</v>
          </cell>
        </row>
        <row r="515">
          <cell r="A515" t="str">
            <v>엄명섭</v>
          </cell>
        </row>
        <row r="516">
          <cell r="A516" t="str">
            <v>고광일</v>
          </cell>
        </row>
        <row r="517">
          <cell r="A517" t="str">
            <v>박명수</v>
          </cell>
        </row>
        <row r="518">
          <cell r="A518" t="str">
            <v>한기준</v>
          </cell>
        </row>
        <row r="519">
          <cell r="A519" t="str">
            <v>박상철</v>
          </cell>
        </row>
        <row r="520">
          <cell r="A520" t="str">
            <v>김흥식</v>
          </cell>
        </row>
        <row r="521">
          <cell r="A521" t="str">
            <v>김인서</v>
          </cell>
        </row>
        <row r="522">
          <cell r="A522" t="str">
            <v>김윤기</v>
          </cell>
        </row>
        <row r="523">
          <cell r="A523" t="str">
            <v>김주일(JIN ZHOUYI)</v>
          </cell>
        </row>
        <row r="524">
          <cell r="A524" t="str">
            <v>이창한(LI CHENGNAN)</v>
          </cell>
        </row>
        <row r="525">
          <cell r="A525" t="str">
            <v>유득근</v>
          </cell>
        </row>
        <row r="526">
          <cell r="A526" t="str">
            <v>김창수(JIN CHENGXUE)</v>
          </cell>
        </row>
        <row r="527">
          <cell r="A527" t="str">
            <v>맹희배</v>
          </cell>
        </row>
        <row r="528">
          <cell r="A528" t="str">
            <v>조기남</v>
          </cell>
        </row>
        <row r="529">
          <cell r="A529" t="str">
            <v>이영도</v>
          </cell>
        </row>
        <row r="530">
          <cell r="A530" t="str">
            <v>김창리(JIN CHANGRI)</v>
          </cell>
        </row>
        <row r="531">
          <cell r="A531" t="str">
            <v>김시복</v>
          </cell>
        </row>
        <row r="532">
          <cell r="A532" t="str">
            <v>최경철</v>
          </cell>
        </row>
        <row r="533">
          <cell r="A533" t="str">
            <v>김성옥</v>
          </cell>
        </row>
        <row r="534">
          <cell r="A534" t="str">
            <v>이종현</v>
          </cell>
        </row>
        <row r="535">
          <cell r="A535" t="str">
            <v>정태두</v>
          </cell>
        </row>
        <row r="536">
          <cell r="A536" t="str">
            <v>조이호</v>
          </cell>
        </row>
        <row r="537">
          <cell r="A537" t="str">
            <v>최대한</v>
          </cell>
        </row>
        <row r="538">
          <cell r="A538" t="str">
            <v>현교선</v>
          </cell>
        </row>
        <row r="539">
          <cell r="A539" t="str">
            <v>김진경</v>
          </cell>
        </row>
        <row r="540">
          <cell r="A540" t="str">
            <v>김호철</v>
          </cell>
        </row>
        <row r="541">
          <cell r="A541" t="str">
            <v>박양규</v>
          </cell>
        </row>
        <row r="542">
          <cell r="A542" t="str">
            <v>김광중</v>
          </cell>
        </row>
        <row r="543">
          <cell r="A543" t="str">
            <v>서한태</v>
          </cell>
        </row>
        <row r="544">
          <cell r="A544" t="str">
            <v>문상철</v>
          </cell>
        </row>
        <row r="545">
          <cell r="A545" t="str">
            <v>정달훈</v>
          </cell>
        </row>
        <row r="546">
          <cell r="A546" t="str">
            <v>김해룡(JIN HAILONG)</v>
          </cell>
        </row>
        <row r="548">
          <cell r="A548" t="str">
            <v>정해룡</v>
          </cell>
        </row>
        <row r="549">
          <cell r="A549" t="str">
            <v>김관웅(JIN GUANXIONG)</v>
          </cell>
        </row>
        <row r="550">
          <cell r="A550" t="str">
            <v>임종환</v>
          </cell>
        </row>
        <row r="551">
          <cell r="A551" t="str">
            <v>이성호(LI CHENGHAO)</v>
          </cell>
        </row>
        <row r="552">
          <cell r="A552" t="str">
            <v>박기춘(PIAO JICHUN)</v>
          </cell>
        </row>
        <row r="553">
          <cell r="A553" t="str">
            <v>김진국(JIN ZHENGUO)</v>
          </cell>
        </row>
        <row r="554">
          <cell r="A554" t="str">
            <v>김춘혜(JIN CHUNHAI)</v>
          </cell>
        </row>
        <row r="555">
          <cell r="A555" t="str">
            <v>김만복(JIN WANFU)</v>
          </cell>
        </row>
        <row r="556">
          <cell r="A556" t="str">
            <v>김용준(JIN YONGJUN)</v>
          </cell>
        </row>
        <row r="557">
          <cell r="A557" t="str">
            <v>최권(XIAO KUN)</v>
          </cell>
        </row>
        <row r="558">
          <cell r="A558" t="str">
            <v>허순범</v>
          </cell>
        </row>
        <row r="559">
          <cell r="A559" t="str">
            <v>이춘식(LI CHUNZHI)</v>
          </cell>
        </row>
        <row r="560">
          <cell r="A560" t="str">
            <v>함옥만(XIAN YUWAN)</v>
          </cell>
        </row>
        <row r="561">
          <cell r="A561" t="str">
            <v>국창일(JU CHANGRI)</v>
          </cell>
        </row>
        <row r="562">
          <cell r="A562" t="str">
            <v>국창림(JU CHANGLIN)</v>
          </cell>
        </row>
        <row r="563">
          <cell r="A563" t="str">
            <v>황해산(HUANG HAISHAN)</v>
          </cell>
        </row>
        <row r="564">
          <cell r="A564" t="str">
            <v>이명열(LI MINGLIE)</v>
          </cell>
        </row>
        <row r="565">
          <cell r="A565" t="str">
            <v>전일선(TIAN RISHAN)</v>
          </cell>
        </row>
        <row r="566">
          <cell r="A566" t="str">
            <v>최광춘(CUI GUANGCHUN)</v>
          </cell>
        </row>
        <row r="567">
          <cell r="A567" t="str">
            <v>김영수</v>
          </cell>
        </row>
        <row r="568">
          <cell r="A568" t="str">
            <v>강철용(JIANG ZHELONG)</v>
          </cell>
        </row>
        <row r="574">
          <cell r="A574" t="str">
            <v>김경진</v>
          </cell>
        </row>
        <row r="575">
          <cell r="A575" t="str">
            <v>엄재형</v>
          </cell>
        </row>
        <row r="576">
          <cell r="A576" t="str">
            <v>이용우</v>
          </cell>
        </row>
        <row r="577">
          <cell r="A577" t="str">
            <v>이철이</v>
          </cell>
        </row>
        <row r="578">
          <cell r="A578" t="str">
            <v>최남수</v>
          </cell>
        </row>
        <row r="579">
          <cell r="A579" t="str">
            <v>송강진</v>
          </cell>
        </row>
        <row r="580">
          <cell r="A580" t="str">
            <v>김기학(JIN JIXUE)</v>
          </cell>
        </row>
        <row r="581">
          <cell r="A581" t="str">
            <v>김기수(JIN JIZHU)</v>
          </cell>
        </row>
        <row r="582">
          <cell r="A582" t="str">
            <v>조장연</v>
          </cell>
        </row>
        <row r="583">
          <cell r="A583" t="str">
            <v>박기철(PIAO JIZHE)</v>
          </cell>
        </row>
        <row r="584">
          <cell r="A584" t="str">
            <v>한상권</v>
          </cell>
        </row>
        <row r="585">
          <cell r="A585" t="str">
            <v>김시종</v>
          </cell>
        </row>
        <row r="586">
          <cell r="A586" t="str">
            <v>김정호(JIN ZHENGHAO)</v>
          </cell>
        </row>
        <row r="587">
          <cell r="A587" t="str">
            <v>이재윤</v>
          </cell>
        </row>
        <row r="588">
          <cell r="A588" t="str">
            <v>이장현</v>
          </cell>
        </row>
        <row r="589">
          <cell r="A589" t="str">
            <v>이승범(LI SHENGFAN)</v>
          </cell>
        </row>
        <row r="590">
          <cell r="A590" t="str">
            <v>이성용(LI CHENGLONG)</v>
          </cell>
        </row>
        <row r="591">
          <cell r="A591" t="str">
            <v>허원춘(XU YUANCHUN)</v>
          </cell>
        </row>
        <row r="592">
          <cell r="A592" t="str">
            <v>전창일(QUAN CHANGYI)</v>
          </cell>
        </row>
        <row r="593">
          <cell r="A593" t="str">
            <v>한충열(HAN ZHONGLIE)</v>
          </cell>
        </row>
        <row r="594">
          <cell r="A594" t="str">
            <v>고성호(GAO CHENGHAO)</v>
          </cell>
        </row>
        <row r="595">
          <cell r="A595" t="str">
            <v>김창식(JIN CHANGZHI)</v>
          </cell>
        </row>
        <row r="596">
          <cell r="A596" t="str">
            <v>강영봉(KANG YONGFENG)</v>
          </cell>
        </row>
        <row r="597">
          <cell r="A597" t="str">
            <v>이태용(LI TAILONG)</v>
          </cell>
        </row>
        <row r="598">
          <cell r="A598" t="str">
            <v>유동천(YU DONGTIAN)</v>
          </cell>
        </row>
        <row r="599">
          <cell r="A599" t="str">
            <v>이명열(LI MINGLIE)</v>
          </cell>
        </row>
        <row r="600">
          <cell r="A600" t="str">
            <v>정범(ZHENG FAN)</v>
          </cell>
        </row>
        <row r="601">
          <cell r="A601" t="str">
            <v>박만호(PIAO WANHAO)</v>
          </cell>
        </row>
        <row r="602">
          <cell r="A602" t="str">
            <v>박운학</v>
          </cell>
        </row>
        <row r="603">
          <cell r="A603" t="str">
            <v>문상철</v>
          </cell>
        </row>
        <row r="604">
          <cell r="A604" t="str">
            <v>손태철</v>
          </cell>
        </row>
        <row r="605">
          <cell r="A605" t="str">
            <v>허옥두</v>
          </cell>
        </row>
        <row r="606">
          <cell r="A606" t="str">
            <v>한상익</v>
          </cell>
        </row>
        <row r="607">
          <cell r="A607" t="str">
            <v>김명찬(JIN MINGCAN)</v>
          </cell>
        </row>
        <row r="608">
          <cell r="A608" t="str">
            <v>정춘선(ZHENG CHUNSHAN)</v>
          </cell>
        </row>
        <row r="609">
          <cell r="A609" t="str">
            <v>지만호</v>
          </cell>
        </row>
        <row r="638">
          <cell r="A638" t="str">
            <v>이배형</v>
          </cell>
        </row>
        <row r="639">
          <cell r="A639" t="str">
            <v>최형남(실업급여중)</v>
          </cell>
        </row>
        <row r="640">
          <cell r="A640" t="str">
            <v>정일기</v>
          </cell>
        </row>
        <row r="641">
          <cell r="A641" t="str">
            <v>최형환</v>
          </cell>
        </row>
        <row r="642">
          <cell r="A642" t="str">
            <v>최병섭</v>
          </cell>
        </row>
        <row r="643">
          <cell r="A643" t="str">
            <v>윤호성</v>
          </cell>
        </row>
        <row r="644">
          <cell r="A644" t="str">
            <v>반관호</v>
          </cell>
        </row>
        <row r="645">
          <cell r="A645" t="str">
            <v>강대중</v>
          </cell>
        </row>
        <row r="646">
          <cell r="A646" t="str">
            <v>이도찬</v>
          </cell>
        </row>
        <row r="647">
          <cell r="A647" t="str">
            <v>엄석현</v>
          </cell>
        </row>
        <row r="648">
          <cell r="A648" t="str">
            <v>한상섭</v>
          </cell>
        </row>
        <row r="649">
          <cell r="A649" t="str">
            <v>김성열</v>
          </cell>
        </row>
        <row r="650">
          <cell r="A650" t="str">
            <v>석광현</v>
          </cell>
        </row>
        <row r="651">
          <cell r="A651" t="str">
            <v>정경호</v>
          </cell>
        </row>
        <row r="652">
          <cell r="A652" t="str">
            <v>김승원</v>
          </cell>
        </row>
        <row r="653">
          <cell r="A653" t="str">
            <v>서진수</v>
          </cell>
        </row>
        <row r="654">
          <cell r="A654" t="str">
            <v>김광호</v>
          </cell>
        </row>
        <row r="655">
          <cell r="A655" t="str">
            <v>이복노</v>
          </cell>
        </row>
        <row r="656">
          <cell r="A656" t="str">
            <v>박종열</v>
          </cell>
        </row>
        <row r="657">
          <cell r="A657" t="str">
            <v>신용노</v>
          </cell>
        </row>
        <row r="658">
          <cell r="A658" t="str">
            <v>박윤희</v>
          </cell>
        </row>
        <row r="659">
          <cell r="A659" t="str">
            <v>이인영</v>
          </cell>
        </row>
        <row r="660">
          <cell r="A660" t="str">
            <v>홍순호</v>
          </cell>
        </row>
        <row r="661">
          <cell r="A661" t="str">
            <v>윤종희</v>
          </cell>
        </row>
        <row r="662">
          <cell r="A662" t="str">
            <v>전천수</v>
          </cell>
        </row>
        <row r="663">
          <cell r="A663" t="str">
            <v>이수현</v>
          </cell>
        </row>
        <row r="664">
          <cell r="A664" t="str">
            <v>나종현</v>
          </cell>
        </row>
        <row r="665">
          <cell r="A665" t="str">
            <v>최민주</v>
          </cell>
        </row>
        <row r="666">
          <cell r="A666" t="str">
            <v>김위겸</v>
          </cell>
        </row>
        <row r="667">
          <cell r="A667" t="str">
            <v>이대우</v>
          </cell>
        </row>
        <row r="668">
          <cell r="A668" t="str">
            <v>정세균</v>
          </cell>
        </row>
        <row r="669">
          <cell r="A669" t="str">
            <v>최인태</v>
          </cell>
        </row>
        <row r="670">
          <cell r="A670" t="str">
            <v>양영칠</v>
          </cell>
        </row>
        <row r="671">
          <cell r="A671" t="str">
            <v>이병완</v>
          </cell>
        </row>
        <row r="672">
          <cell r="A672" t="str">
            <v>이재현</v>
          </cell>
        </row>
        <row r="673">
          <cell r="A673" t="str">
            <v>김진수</v>
          </cell>
        </row>
        <row r="674">
          <cell r="A674" t="str">
            <v>이갑연</v>
          </cell>
        </row>
        <row r="675">
          <cell r="A675" t="str">
            <v>유홍균</v>
          </cell>
        </row>
        <row r="676">
          <cell r="A676" t="str">
            <v>김종진</v>
          </cell>
        </row>
        <row r="677">
          <cell r="A677" t="str">
            <v>강창균</v>
          </cell>
        </row>
        <row r="678">
          <cell r="A678" t="str">
            <v>김규종</v>
          </cell>
        </row>
        <row r="679">
          <cell r="A679" t="str">
            <v>박경영</v>
          </cell>
        </row>
        <row r="680">
          <cell r="A680" t="str">
            <v>황상동</v>
          </cell>
        </row>
        <row r="681">
          <cell r="A681" t="str">
            <v>이노신</v>
          </cell>
        </row>
        <row r="682">
          <cell r="A682" t="str">
            <v>이우수</v>
          </cell>
        </row>
        <row r="683">
          <cell r="A683" t="str">
            <v>권영상</v>
          </cell>
        </row>
        <row r="684">
          <cell r="A684" t="str">
            <v>이병효</v>
          </cell>
        </row>
        <row r="685">
          <cell r="A685" t="str">
            <v>정삼룡(ZHENG SANLONG)</v>
          </cell>
        </row>
        <row r="686">
          <cell r="A686" t="str">
            <v>정국(ZHENG GUO)</v>
          </cell>
        </row>
        <row r="687">
          <cell r="A687" t="str">
            <v>박태영</v>
          </cell>
        </row>
        <row r="688">
          <cell r="A688" t="str">
            <v>황광건</v>
          </cell>
        </row>
        <row r="689">
          <cell r="A689" t="str">
            <v>김덕봉(JIN DEFENG)</v>
          </cell>
        </row>
        <row r="690">
          <cell r="A690" t="str">
            <v>이광수(LI GUANGSHOU)</v>
          </cell>
        </row>
        <row r="691">
          <cell r="A691" t="str">
            <v>마홍수(MA HONGZHU)</v>
          </cell>
        </row>
        <row r="692">
          <cell r="A692" t="str">
            <v>전세복(TIAN SHIFU)</v>
          </cell>
        </row>
        <row r="693">
          <cell r="A693" t="str">
            <v>김일광(JIN RIGUANG)</v>
          </cell>
        </row>
        <row r="694">
          <cell r="A694" t="str">
            <v>김우국</v>
          </cell>
        </row>
        <row r="695">
          <cell r="A695" t="str">
            <v>조용호(ZHAO LONGHE)</v>
          </cell>
        </row>
        <row r="696">
          <cell r="A696" t="str">
            <v>원철수(QUAN ZHEZHU)</v>
          </cell>
        </row>
        <row r="697">
          <cell r="A697" t="str">
            <v>박창남(PIAO CHANGNAN)</v>
          </cell>
        </row>
        <row r="698">
          <cell r="A698" t="str">
            <v>팡찌룽</v>
          </cell>
        </row>
        <row r="699">
          <cell r="A699" t="str">
            <v>김길홍</v>
          </cell>
        </row>
        <row r="700">
          <cell r="A700" t="str">
            <v>김영필</v>
          </cell>
        </row>
        <row r="701">
          <cell r="A701" t="str">
            <v>손영환(SUN YONGHUAN)</v>
          </cell>
        </row>
        <row r="702">
          <cell r="A702" t="str">
            <v>조길성(ZHAO JIXI)</v>
          </cell>
        </row>
        <row r="703">
          <cell r="A703" t="str">
            <v>박춘산(PIAO CHUNSHAN)</v>
          </cell>
        </row>
        <row r="704">
          <cell r="A704" t="str">
            <v>정경춘</v>
          </cell>
        </row>
        <row r="705">
          <cell r="A705" t="str">
            <v>박택상(PIAO ZEXIANG)</v>
          </cell>
        </row>
        <row r="706">
          <cell r="A706" t="str">
            <v>이홍배(LI HONGPEI)</v>
          </cell>
        </row>
        <row r="707">
          <cell r="A707" t="str">
            <v>윤철운(YIN ZHEYUN)</v>
          </cell>
        </row>
        <row r="708">
          <cell r="A708" t="str">
            <v>김철호(JIN ZHEHAO)</v>
          </cell>
        </row>
        <row r="709">
          <cell r="A709" t="str">
            <v>김성철(JIN XINGTIAN)</v>
          </cell>
        </row>
        <row r="710">
          <cell r="A710" t="str">
            <v>이춘익(LI CHUNYI)</v>
          </cell>
        </row>
        <row r="711">
          <cell r="A711" t="str">
            <v>최국송(CAI GUOSONG)</v>
          </cell>
        </row>
        <row r="712">
          <cell r="A712" t="str">
            <v>남영철(NAN YONGZHE)</v>
          </cell>
        </row>
        <row r="713">
          <cell r="A713" t="str">
            <v>김영태(JIN YONGTAI)</v>
          </cell>
        </row>
        <row r="714">
          <cell r="A714" t="str">
            <v>장정일(ZHANG ZHENGRI)</v>
          </cell>
        </row>
        <row r="715">
          <cell r="A715" t="str">
            <v>김성준(JIN SHENGJUN)</v>
          </cell>
        </row>
        <row r="716">
          <cell r="A716" t="str">
            <v>허림춘(XU LINCHUN)</v>
          </cell>
        </row>
        <row r="717">
          <cell r="A717" t="str">
            <v>장문봉</v>
          </cell>
        </row>
        <row r="718">
          <cell r="A718" t="str">
            <v>김명국(JIN MINGGUO)</v>
          </cell>
        </row>
        <row r="719">
          <cell r="A719" t="str">
            <v>송문현(SONG WENXIAN)</v>
          </cell>
        </row>
        <row r="720">
          <cell r="A720" t="str">
            <v>장해룡(ZHANG HAILONG)</v>
          </cell>
        </row>
        <row r="721">
          <cell r="A721" t="str">
            <v>고봉일(GAO FENGRI)</v>
          </cell>
        </row>
        <row r="722">
          <cell r="A722" t="str">
            <v>신금철(SHEN JINZHE)</v>
          </cell>
        </row>
        <row r="723">
          <cell r="A723" t="str">
            <v>어홍천(YU HONGTIAN)</v>
          </cell>
        </row>
        <row r="724">
          <cell r="A724" t="str">
            <v>홍명철(HONG MINGZHE)</v>
          </cell>
        </row>
        <row r="725">
          <cell r="A725" t="str">
            <v>송용남</v>
          </cell>
        </row>
        <row r="726">
          <cell r="A726" t="str">
            <v>홍순구</v>
          </cell>
        </row>
        <row r="727">
          <cell r="A727" t="str">
            <v>김교석(JIN JIAOSHI)</v>
          </cell>
        </row>
        <row r="728">
          <cell r="A728" t="str">
            <v>신민심(SHEN MINXIN)</v>
          </cell>
        </row>
        <row r="729">
          <cell r="A729" t="str">
            <v>이지군(LI ZHIJUN)</v>
          </cell>
        </row>
        <row r="730">
          <cell r="A730" t="str">
            <v>강화(JIANG HE)</v>
          </cell>
        </row>
        <row r="731">
          <cell r="A731" t="str">
            <v>박문용</v>
          </cell>
        </row>
        <row r="732">
          <cell r="A732" t="str">
            <v>엄장식</v>
          </cell>
        </row>
        <row r="733">
          <cell r="A733" t="str">
            <v>윤철인</v>
          </cell>
        </row>
        <row r="734">
          <cell r="A734" t="str">
            <v>조종호</v>
          </cell>
        </row>
        <row r="735">
          <cell r="A735" t="str">
            <v>김명철(JIN FENGZHE)</v>
          </cell>
        </row>
        <row r="736">
          <cell r="A736" t="str">
            <v>조동화(ZHAO DONGHUA)</v>
          </cell>
        </row>
        <row r="737">
          <cell r="A737" t="str">
            <v>김한식</v>
          </cell>
        </row>
        <row r="738">
          <cell r="A738" t="str">
            <v>정영석(ZHENG YONGXIE)</v>
          </cell>
        </row>
        <row r="739">
          <cell r="A739" t="str">
            <v>김송철(JIN SONGZHE)</v>
          </cell>
        </row>
        <row r="740">
          <cell r="A740" t="str">
            <v>채용수(CAI LONGZHU)</v>
          </cell>
        </row>
        <row r="741">
          <cell r="A741" t="str">
            <v>김성호(JIN CHENGHAO)</v>
          </cell>
        </row>
        <row r="742">
          <cell r="A742" t="str">
            <v>최창호(CUI CHANGZHU)</v>
          </cell>
        </row>
        <row r="743">
          <cell r="A743" t="str">
            <v>이용철(LI LONGZHE)</v>
          </cell>
        </row>
        <row r="744">
          <cell r="A744" t="str">
            <v>김호용(JIN HUYONG)</v>
          </cell>
        </row>
        <row r="745">
          <cell r="A745" t="str">
            <v>박장순(PIAO CHANGCHUN)</v>
          </cell>
        </row>
        <row r="746">
          <cell r="A746" t="str">
            <v>김홍세(JIN XINGSHI)</v>
          </cell>
        </row>
        <row r="747">
          <cell r="A747" t="str">
            <v>김광영</v>
          </cell>
        </row>
        <row r="748">
          <cell r="A748" t="str">
            <v>이광춘(LI QINGCHUN)</v>
          </cell>
        </row>
        <row r="749">
          <cell r="A749" t="str">
            <v>안현걸(NAN XIANJIE)</v>
          </cell>
        </row>
        <row r="750">
          <cell r="A750" t="str">
            <v>김철수(JIN ZHESHI)</v>
          </cell>
        </row>
        <row r="751">
          <cell r="A751" t="str">
            <v>안금무(AN JINWU)</v>
          </cell>
        </row>
        <row r="752">
          <cell r="A752" t="str">
            <v>태수남(TAI SHOUNAN)</v>
          </cell>
        </row>
        <row r="753">
          <cell r="A753" t="str">
            <v>전원배</v>
          </cell>
        </row>
        <row r="754">
          <cell r="A754" t="str">
            <v>허진수</v>
          </cell>
        </row>
        <row r="755">
          <cell r="A755" t="str">
            <v>전경곤</v>
          </cell>
        </row>
        <row r="756">
          <cell r="A756" t="str">
            <v>정성현</v>
          </cell>
        </row>
        <row r="757">
          <cell r="A757" t="str">
            <v>김정훈</v>
          </cell>
        </row>
        <row r="758">
          <cell r="A758" t="str">
            <v>황윤재</v>
          </cell>
        </row>
        <row r="759">
          <cell r="A759" t="str">
            <v>이원구</v>
          </cell>
        </row>
        <row r="760">
          <cell r="A760" t="str">
            <v>김정현</v>
          </cell>
        </row>
        <row r="761">
          <cell r="A761" t="str">
            <v>김태동</v>
          </cell>
        </row>
        <row r="762">
          <cell r="A762" t="str">
            <v>전운룡</v>
          </cell>
        </row>
        <row r="763">
          <cell r="A763" t="str">
            <v>최봉일(CUI FENGRI)</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데이타"/>
      <sheetName val="관리"/>
      <sheetName val="관리자신고용"/>
      <sheetName val="직영"/>
      <sheetName val="직영신고용"/>
      <sheetName val="정리(중부)"/>
      <sheetName val="정리(중부) 신고용"/>
      <sheetName val="용역(한화)"/>
      <sheetName val="용역 (한화)신고용"/>
      <sheetName val="형틀1천강범"/>
      <sheetName val="천강범 신고용"/>
      <sheetName val="형틀2김정수"/>
      <sheetName val="김정수팀신고용"/>
      <sheetName val="형틀4김명용"/>
      <sheetName val="김명용 신고용"/>
      <sheetName val="철근"/>
      <sheetName val="철근신고용"/>
      <sheetName val="타설"/>
      <sheetName val="타설 신고용"/>
      <sheetName val="비계"/>
      <sheetName val="비계신고용"/>
      <sheetName val="보양"/>
      <sheetName val="보양신고용"/>
      <sheetName val="시스템"/>
      <sheetName val="자재장비"/>
      <sheetName val="이일원소장 경비내역"/>
      <sheetName val="3월경비"/>
      <sheetName val="공제"/>
      <sheetName val="노임"/>
    </sheetNames>
    <sheetDataSet>
      <sheetData sheetId="0" refreshError="1">
        <row r="2">
          <cell r="A2" t="str">
            <v>김경호JIN JINGHAO</v>
          </cell>
        </row>
        <row r="3">
          <cell r="A3" t="str">
            <v>김경화</v>
          </cell>
        </row>
        <row r="4">
          <cell r="A4" t="str">
            <v>김명용JIN MINGLONG</v>
          </cell>
        </row>
        <row r="5">
          <cell r="A5" t="str">
            <v>김성동JIN CHENGONG</v>
          </cell>
        </row>
        <row r="6">
          <cell r="A6" t="str">
            <v>김일동JIN RIDONG</v>
          </cell>
        </row>
        <row r="7">
          <cell r="A7" t="str">
            <v>김지태</v>
          </cell>
        </row>
        <row r="8">
          <cell r="A8" t="str">
            <v>봉경근</v>
          </cell>
        </row>
        <row r="9">
          <cell r="A9" t="str">
            <v>유운철LIU YUNZHE</v>
          </cell>
        </row>
        <row r="10">
          <cell r="A10" t="str">
            <v>전천일 TIAN TIERI</v>
          </cell>
        </row>
        <row r="11">
          <cell r="A11" t="str">
            <v>허해룡 XU HAILONG</v>
          </cell>
        </row>
        <row r="12">
          <cell r="A12" t="str">
            <v>배정덕</v>
          </cell>
        </row>
        <row r="13">
          <cell r="A13" t="str">
            <v>오현석</v>
          </cell>
        </row>
        <row r="14">
          <cell r="A14" t="str">
            <v>이경희</v>
          </cell>
        </row>
        <row r="15">
          <cell r="A15" t="str">
            <v>이세우</v>
          </cell>
        </row>
        <row r="16">
          <cell r="A16" t="str">
            <v>이창옥</v>
          </cell>
        </row>
        <row r="17">
          <cell r="A17" t="str">
            <v>조성기</v>
          </cell>
        </row>
        <row r="18">
          <cell r="A18" t="str">
            <v>지충현</v>
          </cell>
        </row>
        <row r="19">
          <cell r="A19" t="str">
            <v>최수호</v>
          </cell>
        </row>
        <row r="20">
          <cell r="A20" t="str">
            <v>최원길</v>
          </cell>
        </row>
        <row r="21">
          <cell r="A21" t="str">
            <v>고선철</v>
          </cell>
        </row>
        <row r="22">
          <cell r="A22" t="str">
            <v>김기용</v>
          </cell>
        </row>
        <row r="23">
          <cell r="A23" t="str">
            <v>김영배</v>
          </cell>
        </row>
        <row r="24">
          <cell r="A24" t="str">
            <v>김이호</v>
          </cell>
        </row>
        <row r="25">
          <cell r="A25" t="str">
            <v>김재성</v>
          </cell>
        </row>
        <row r="26">
          <cell r="A26" t="str">
            <v>김주석</v>
          </cell>
        </row>
        <row r="27">
          <cell r="A27" t="str">
            <v>김찬호</v>
          </cell>
        </row>
        <row r="28">
          <cell r="A28" t="str">
            <v>노은식</v>
          </cell>
        </row>
        <row r="29">
          <cell r="A29" t="str">
            <v>박민서</v>
          </cell>
        </row>
        <row r="30">
          <cell r="A30" t="str">
            <v>배성환</v>
          </cell>
        </row>
        <row r="31">
          <cell r="A31" t="str">
            <v>송태근</v>
          </cell>
        </row>
        <row r="32">
          <cell r="A32" t="str">
            <v>신대희</v>
          </cell>
        </row>
        <row r="33">
          <cell r="A33" t="str">
            <v>엄재영</v>
          </cell>
        </row>
        <row r="34">
          <cell r="A34" t="str">
            <v>이종은</v>
          </cell>
        </row>
        <row r="35">
          <cell r="A35" t="str">
            <v>이창득</v>
          </cell>
        </row>
        <row r="36">
          <cell r="A36" t="str">
            <v>장홍석</v>
          </cell>
        </row>
        <row r="37">
          <cell r="A37" t="str">
            <v>정동수</v>
          </cell>
        </row>
        <row r="38">
          <cell r="A38" t="str">
            <v>정영규</v>
          </cell>
        </row>
        <row r="39">
          <cell r="A39" t="str">
            <v>정종근</v>
          </cell>
        </row>
        <row r="40">
          <cell r="A40" t="str">
            <v>조경수</v>
          </cell>
        </row>
        <row r="41">
          <cell r="A41" t="str">
            <v>최용수</v>
          </cell>
        </row>
        <row r="42">
          <cell r="A42" t="str">
            <v>한상준</v>
          </cell>
        </row>
        <row r="43">
          <cell r="A43" t="str">
            <v>오재윤</v>
          </cell>
        </row>
        <row r="44">
          <cell r="A44" t="str">
            <v>유화섭</v>
          </cell>
        </row>
        <row r="45">
          <cell r="A45" t="str">
            <v>이인환</v>
          </cell>
        </row>
        <row r="46">
          <cell r="A46" t="str">
            <v>이종호</v>
          </cell>
        </row>
        <row r="47">
          <cell r="A47" t="str">
            <v>장원택</v>
          </cell>
        </row>
        <row r="48">
          <cell r="A48" t="str">
            <v>최영근</v>
          </cell>
        </row>
        <row r="49">
          <cell r="A49" t="str">
            <v>한광수</v>
          </cell>
        </row>
        <row r="50">
          <cell r="A50" t="str">
            <v>곽충신</v>
          </cell>
        </row>
        <row r="51">
          <cell r="A51" t="str">
            <v>권오철</v>
          </cell>
        </row>
        <row r="52">
          <cell r="A52" t="str">
            <v>김기철</v>
          </cell>
        </row>
        <row r="53">
          <cell r="A53" t="str">
            <v>김명수</v>
          </cell>
        </row>
        <row r="54">
          <cell r="A54" t="str">
            <v>김문호</v>
          </cell>
        </row>
        <row r="55">
          <cell r="A55" t="str">
            <v>김백호</v>
          </cell>
        </row>
        <row r="56">
          <cell r="A56" t="str">
            <v>김원선</v>
          </cell>
        </row>
        <row r="57">
          <cell r="A57" t="str">
            <v>김종성</v>
          </cell>
        </row>
        <row r="58">
          <cell r="A58" t="str">
            <v>김진국</v>
          </cell>
        </row>
        <row r="59">
          <cell r="A59" t="str">
            <v>김택형</v>
          </cell>
        </row>
        <row r="60">
          <cell r="A60" t="str">
            <v>김형석</v>
          </cell>
        </row>
        <row r="61">
          <cell r="A61" t="str">
            <v>김형진</v>
          </cell>
        </row>
        <row r="62">
          <cell r="A62" t="str">
            <v>김형택</v>
          </cell>
        </row>
        <row r="63">
          <cell r="A63" t="str">
            <v>김후석</v>
          </cell>
        </row>
        <row r="64">
          <cell r="A64" t="str">
            <v>노영주</v>
          </cell>
        </row>
        <row r="65">
          <cell r="A65" t="str">
            <v>박구성</v>
          </cell>
        </row>
        <row r="66">
          <cell r="A66" t="str">
            <v>박상관</v>
          </cell>
        </row>
        <row r="67">
          <cell r="A67" t="str">
            <v>심순식</v>
          </cell>
        </row>
        <row r="68">
          <cell r="A68" t="str">
            <v>우기윤</v>
          </cell>
        </row>
        <row r="69">
          <cell r="A69" t="str">
            <v>이극주</v>
          </cell>
        </row>
        <row r="70">
          <cell r="A70" t="str">
            <v>이상규</v>
          </cell>
        </row>
        <row r="71">
          <cell r="A71" t="str">
            <v>이중근</v>
          </cell>
        </row>
        <row r="72">
          <cell r="A72" t="str">
            <v>이효동</v>
          </cell>
        </row>
        <row r="73">
          <cell r="A73" t="str">
            <v>장경태</v>
          </cell>
        </row>
        <row r="74">
          <cell r="A74" t="str">
            <v>정동술</v>
          </cell>
        </row>
        <row r="75">
          <cell r="A75" t="str">
            <v>정상석</v>
          </cell>
        </row>
        <row r="76">
          <cell r="A76" t="str">
            <v>정상우</v>
          </cell>
        </row>
        <row r="77">
          <cell r="A77" t="str">
            <v>정화영</v>
          </cell>
        </row>
        <row r="78">
          <cell r="A78" t="str">
            <v>정회일</v>
          </cell>
        </row>
        <row r="79">
          <cell r="A79" t="str">
            <v>조래훈</v>
          </cell>
        </row>
        <row r="80">
          <cell r="A80" t="str">
            <v>조용환</v>
          </cell>
        </row>
        <row r="81">
          <cell r="A81" t="str">
            <v>조태훈</v>
          </cell>
        </row>
        <row r="82">
          <cell r="A82" t="str">
            <v>지정배</v>
          </cell>
        </row>
        <row r="83">
          <cell r="A83" t="str">
            <v>진동진</v>
          </cell>
        </row>
        <row r="84">
          <cell r="A84" t="str">
            <v>차귀용</v>
          </cell>
        </row>
        <row r="85">
          <cell r="A85" t="str">
            <v>최영만</v>
          </cell>
        </row>
        <row r="86">
          <cell r="A86" t="str">
            <v>강재식</v>
          </cell>
        </row>
        <row r="87">
          <cell r="A87" t="str">
            <v>고일선</v>
          </cell>
        </row>
        <row r="88">
          <cell r="A88" t="str">
            <v>권동조</v>
          </cell>
        </row>
        <row r="89">
          <cell r="A89" t="str">
            <v>남궁현</v>
          </cell>
        </row>
        <row r="90">
          <cell r="A90" t="str">
            <v>박기범</v>
          </cell>
        </row>
        <row r="91">
          <cell r="A91" t="str">
            <v>박윤종</v>
          </cell>
        </row>
        <row r="92">
          <cell r="A92" t="str">
            <v>서석환</v>
          </cell>
        </row>
        <row r="93">
          <cell r="A93" t="str">
            <v>신동석</v>
          </cell>
        </row>
        <row r="94">
          <cell r="A94" t="str">
            <v>심승한</v>
          </cell>
        </row>
        <row r="95">
          <cell r="A95" t="str">
            <v>이동수</v>
          </cell>
        </row>
        <row r="96">
          <cell r="A96" t="str">
            <v>이동영</v>
          </cell>
        </row>
        <row r="97">
          <cell r="A97" t="str">
            <v>이병락</v>
          </cell>
        </row>
        <row r="98">
          <cell r="A98" t="str">
            <v>이상규</v>
          </cell>
        </row>
        <row r="99">
          <cell r="A99" t="str">
            <v>이영진</v>
          </cell>
        </row>
        <row r="100">
          <cell r="A100" t="str">
            <v>이훈우</v>
          </cell>
        </row>
        <row r="101">
          <cell r="A101" t="str">
            <v>정용식</v>
          </cell>
        </row>
        <row r="102">
          <cell r="A102" t="str">
            <v>조개연</v>
          </cell>
        </row>
        <row r="103">
          <cell r="A103" t="str">
            <v>조병규</v>
          </cell>
        </row>
        <row r="104">
          <cell r="A104" t="str">
            <v>지철하</v>
          </cell>
        </row>
        <row r="105">
          <cell r="A105" t="str">
            <v>최일철</v>
          </cell>
        </row>
        <row r="106">
          <cell r="A106" t="str">
            <v>하영진</v>
          </cell>
        </row>
        <row r="107">
          <cell r="A107" t="str">
            <v>황남삼</v>
          </cell>
        </row>
        <row r="108">
          <cell r="A108" t="str">
            <v>황창연</v>
          </cell>
        </row>
        <row r="109">
          <cell r="A109" t="str">
            <v>박승원</v>
          </cell>
        </row>
        <row r="110">
          <cell r="A110" t="str">
            <v>이한철</v>
          </cell>
        </row>
        <row r="111">
          <cell r="A111" t="str">
            <v>김양귀</v>
          </cell>
        </row>
        <row r="112">
          <cell r="A112" t="str">
            <v>김종복</v>
          </cell>
        </row>
        <row r="113">
          <cell r="A113" t="str">
            <v>박인동</v>
          </cell>
        </row>
        <row r="114">
          <cell r="A114" t="str">
            <v>손덕기</v>
          </cell>
        </row>
        <row r="115">
          <cell r="A115" t="str">
            <v>이인규</v>
          </cell>
        </row>
        <row r="116">
          <cell r="A116" t="str">
            <v>이일원</v>
          </cell>
        </row>
        <row r="117">
          <cell r="A117" t="str">
            <v>장원석</v>
          </cell>
        </row>
        <row r="118">
          <cell r="A118" t="str">
            <v>허주석</v>
          </cell>
        </row>
        <row r="119">
          <cell r="A119" t="str">
            <v>강만필</v>
          </cell>
        </row>
        <row r="120">
          <cell r="A120" t="str">
            <v>곽철호</v>
          </cell>
        </row>
        <row r="121">
          <cell r="A121" t="str">
            <v>권해근</v>
          </cell>
        </row>
        <row r="122">
          <cell r="A122" t="str">
            <v>길인</v>
          </cell>
        </row>
        <row r="123">
          <cell r="A123" t="str">
            <v>김갑수</v>
          </cell>
        </row>
        <row r="124">
          <cell r="A124" t="str">
            <v>김기남</v>
          </cell>
        </row>
        <row r="125">
          <cell r="A125" t="str">
            <v>김동열</v>
          </cell>
        </row>
        <row r="126">
          <cell r="A126" t="str">
            <v>김삼규</v>
          </cell>
        </row>
        <row r="127">
          <cell r="A127" t="str">
            <v>김상관</v>
          </cell>
        </row>
        <row r="128">
          <cell r="A128" t="str">
            <v>김수</v>
          </cell>
        </row>
        <row r="129">
          <cell r="A129" t="str">
            <v>김양우</v>
          </cell>
        </row>
        <row r="130">
          <cell r="A130" t="str">
            <v>김오성</v>
          </cell>
        </row>
        <row r="131">
          <cell r="A131" t="str">
            <v>김용구</v>
          </cell>
        </row>
        <row r="132">
          <cell r="A132" t="str">
            <v>김의근</v>
          </cell>
        </row>
        <row r="133">
          <cell r="A133" t="str">
            <v>김정욱</v>
          </cell>
        </row>
        <row r="134">
          <cell r="A134" t="str">
            <v>김정욱</v>
          </cell>
        </row>
        <row r="135">
          <cell r="A135" t="str">
            <v>김종엽</v>
          </cell>
        </row>
        <row r="136">
          <cell r="A136" t="str">
            <v>김학춘</v>
          </cell>
        </row>
        <row r="137">
          <cell r="A137" t="str">
            <v>김호근</v>
          </cell>
        </row>
        <row r="138">
          <cell r="A138" t="str">
            <v>김홍엽JIN HONGYE</v>
          </cell>
        </row>
        <row r="139">
          <cell r="A139" t="str">
            <v>김회균</v>
          </cell>
        </row>
        <row r="140">
          <cell r="A140" t="str">
            <v>류지동</v>
          </cell>
        </row>
        <row r="141">
          <cell r="A141" t="str">
            <v>문진석</v>
          </cell>
        </row>
        <row r="142">
          <cell r="A142" t="str">
            <v>박상용</v>
          </cell>
        </row>
        <row r="143">
          <cell r="A143" t="str">
            <v>박성동</v>
          </cell>
        </row>
        <row r="144">
          <cell r="A144" t="str">
            <v>박용우</v>
          </cell>
        </row>
        <row r="145">
          <cell r="A145" t="str">
            <v>박이수</v>
          </cell>
        </row>
        <row r="146">
          <cell r="A146" t="str">
            <v>박찬승</v>
          </cell>
        </row>
        <row r="147">
          <cell r="A147" t="str">
            <v>서요석</v>
          </cell>
        </row>
        <row r="148">
          <cell r="A148" t="str">
            <v>신철수</v>
          </cell>
        </row>
        <row r="149">
          <cell r="A149" t="str">
            <v>안성호 AN CHENGHAO</v>
          </cell>
        </row>
        <row r="150">
          <cell r="A150" t="str">
            <v>엄종철</v>
          </cell>
        </row>
        <row r="151">
          <cell r="A151" t="str">
            <v>유명남</v>
          </cell>
        </row>
        <row r="152">
          <cell r="A152" t="str">
            <v>이기정</v>
          </cell>
        </row>
        <row r="153">
          <cell r="A153" t="str">
            <v>이석종</v>
          </cell>
        </row>
        <row r="154">
          <cell r="A154" t="str">
            <v>이수</v>
          </cell>
        </row>
        <row r="155">
          <cell r="A155" t="str">
            <v>이영수</v>
          </cell>
        </row>
        <row r="156">
          <cell r="A156" t="str">
            <v>이창우</v>
          </cell>
        </row>
        <row r="157">
          <cell r="A157" t="str">
            <v>이태영</v>
          </cell>
        </row>
        <row r="158">
          <cell r="A158" t="str">
            <v>이현</v>
          </cell>
        </row>
        <row r="159">
          <cell r="A159" t="str">
            <v>임종호</v>
          </cell>
        </row>
        <row r="160">
          <cell r="A160" t="str">
            <v>장길용</v>
          </cell>
        </row>
        <row r="161">
          <cell r="A161" t="str">
            <v>전병욱</v>
          </cell>
        </row>
        <row r="162">
          <cell r="A162" t="str">
            <v>정창용</v>
          </cell>
        </row>
        <row r="163">
          <cell r="A163" t="str">
            <v>조정배</v>
          </cell>
        </row>
        <row r="164">
          <cell r="A164" t="str">
            <v>주명남</v>
          </cell>
        </row>
        <row r="165">
          <cell r="A165" t="str">
            <v>차광수</v>
          </cell>
        </row>
        <row r="166">
          <cell r="A166" t="str">
            <v>최재열</v>
          </cell>
        </row>
        <row r="167">
          <cell r="A167" t="str">
            <v>최현수</v>
          </cell>
        </row>
        <row r="168">
          <cell r="A168" t="str">
            <v>한영술</v>
          </cell>
        </row>
        <row r="169">
          <cell r="A169" t="str">
            <v>황원서</v>
          </cell>
        </row>
        <row r="170">
          <cell r="A170" t="str">
            <v>김인철</v>
          </cell>
        </row>
        <row r="171">
          <cell r="A171" t="str">
            <v>민충기</v>
          </cell>
        </row>
        <row r="172">
          <cell r="A172" t="str">
            <v>이세우1</v>
          </cell>
        </row>
        <row r="173">
          <cell r="A173" t="str">
            <v>이유형</v>
          </cell>
        </row>
        <row r="174">
          <cell r="A174" t="str">
            <v>조성기1</v>
          </cell>
        </row>
        <row r="175">
          <cell r="A175" t="str">
            <v>최수호1</v>
          </cell>
        </row>
        <row r="176">
          <cell r="A176" t="str">
            <v>최원길1</v>
          </cell>
        </row>
        <row r="177">
          <cell r="A177" t="str">
            <v>최충식</v>
          </cell>
        </row>
        <row r="178">
          <cell r="A178" t="str">
            <v>강남규</v>
          </cell>
        </row>
        <row r="179">
          <cell r="A179" t="str">
            <v>강형만</v>
          </cell>
        </row>
        <row r="180">
          <cell r="A180" t="str">
            <v>강홍석</v>
          </cell>
        </row>
        <row r="181">
          <cell r="A181" t="str">
            <v>김광연</v>
          </cell>
        </row>
        <row r="182">
          <cell r="A182" t="str">
            <v>김길수</v>
          </cell>
        </row>
        <row r="183">
          <cell r="A183" t="str">
            <v>김명석</v>
          </cell>
        </row>
        <row r="184">
          <cell r="A184" t="str">
            <v>김용태</v>
          </cell>
        </row>
        <row r="185">
          <cell r="A185" t="str">
            <v>김원식</v>
          </cell>
        </row>
        <row r="186">
          <cell r="A186" t="str">
            <v>김위운</v>
          </cell>
        </row>
        <row r="187">
          <cell r="A187" t="str">
            <v>김정복</v>
          </cell>
        </row>
        <row r="188">
          <cell r="A188" t="str">
            <v>김정환</v>
          </cell>
        </row>
        <row r="189">
          <cell r="A189" t="str">
            <v>김종경</v>
          </cell>
        </row>
        <row r="190">
          <cell r="A190" t="str">
            <v>김종남</v>
          </cell>
        </row>
        <row r="191">
          <cell r="A191" t="str">
            <v>김종남</v>
          </cell>
        </row>
        <row r="192">
          <cell r="A192" t="str">
            <v>김종덕</v>
          </cell>
        </row>
        <row r="193">
          <cell r="A193" t="str">
            <v>김태섭</v>
          </cell>
        </row>
        <row r="194">
          <cell r="A194" t="str">
            <v>김태호</v>
          </cell>
        </row>
        <row r="195">
          <cell r="A195" t="str">
            <v>김택형</v>
          </cell>
        </row>
        <row r="196">
          <cell r="A196" t="str">
            <v>김형석</v>
          </cell>
        </row>
        <row r="197">
          <cell r="A197" t="str">
            <v>김형진</v>
          </cell>
        </row>
        <row r="198">
          <cell r="A198" t="str">
            <v>노영관</v>
          </cell>
        </row>
        <row r="199">
          <cell r="A199" t="str">
            <v>노희관</v>
          </cell>
        </row>
        <row r="200">
          <cell r="A200" t="str">
            <v>문찬석</v>
          </cell>
        </row>
        <row r="201">
          <cell r="A201" t="str">
            <v>문판석</v>
          </cell>
        </row>
        <row r="202">
          <cell r="A202" t="str">
            <v>민호</v>
          </cell>
        </row>
        <row r="203">
          <cell r="A203" t="str">
            <v>박봉규</v>
          </cell>
        </row>
        <row r="204">
          <cell r="A204" t="str">
            <v>박이수</v>
          </cell>
        </row>
        <row r="205">
          <cell r="A205" t="str">
            <v>박창범</v>
          </cell>
        </row>
        <row r="206">
          <cell r="A206" t="str">
            <v>박희국</v>
          </cell>
        </row>
        <row r="207">
          <cell r="A207" t="str">
            <v>손영철</v>
          </cell>
        </row>
        <row r="208">
          <cell r="A208" t="str">
            <v>송강석</v>
          </cell>
        </row>
        <row r="209">
          <cell r="A209" t="str">
            <v>안형근</v>
          </cell>
        </row>
        <row r="210">
          <cell r="A210" t="str">
            <v>양영규</v>
          </cell>
        </row>
        <row r="211">
          <cell r="A211" t="str">
            <v>양원준</v>
          </cell>
        </row>
        <row r="212">
          <cell r="A212" t="str">
            <v>유홍현</v>
          </cell>
        </row>
        <row r="213">
          <cell r="A213" t="str">
            <v>이상옥</v>
          </cell>
        </row>
        <row r="214">
          <cell r="A214" t="str">
            <v>이후상</v>
          </cell>
        </row>
        <row r="215">
          <cell r="A215" t="str">
            <v>임병은</v>
          </cell>
        </row>
        <row r="216">
          <cell r="A216" t="str">
            <v>임순성</v>
          </cell>
        </row>
        <row r="217">
          <cell r="A217" t="str">
            <v>장경대</v>
          </cell>
        </row>
        <row r="218">
          <cell r="A218" t="str">
            <v>장당</v>
          </cell>
        </row>
        <row r="219">
          <cell r="A219" t="str">
            <v>장필산</v>
          </cell>
        </row>
        <row r="220">
          <cell r="A220" t="str">
            <v>정동술</v>
          </cell>
        </row>
        <row r="221">
          <cell r="A221" t="str">
            <v>정우석</v>
          </cell>
        </row>
        <row r="222">
          <cell r="A222" t="str">
            <v>정운규</v>
          </cell>
        </row>
        <row r="223">
          <cell r="A223" t="str">
            <v>정윤규</v>
          </cell>
        </row>
        <row r="224">
          <cell r="A224" t="str">
            <v>정인덕</v>
          </cell>
        </row>
        <row r="225">
          <cell r="A225" t="str">
            <v>정회영</v>
          </cell>
        </row>
        <row r="226">
          <cell r="A226" t="str">
            <v>정회일</v>
          </cell>
        </row>
        <row r="227">
          <cell r="A227" t="str">
            <v>조창근</v>
          </cell>
        </row>
        <row r="228">
          <cell r="A228" t="str">
            <v>조형연</v>
          </cell>
        </row>
        <row r="229">
          <cell r="A229" t="str">
            <v>주병옥</v>
          </cell>
        </row>
        <row r="230">
          <cell r="A230" t="str">
            <v>지춘길</v>
          </cell>
        </row>
        <row r="231">
          <cell r="A231" t="str">
            <v>진홍식</v>
          </cell>
        </row>
        <row r="232">
          <cell r="A232" t="str">
            <v>차민성</v>
          </cell>
        </row>
        <row r="233">
          <cell r="A233" t="str">
            <v>천강범</v>
          </cell>
        </row>
        <row r="234">
          <cell r="A234" t="str">
            <v>철수</v>
          </cell>
        </row>
        <row r="235">
          <cell r="A235" t="str">
            <v>최병길</v>
          </cell>
        </row>
        <row r="236">
          <cell r="A236" t="str">
            <v>최산옥</v>
          </cell>
        </row>
        <row r="237">
          <cell r="A237" t="str">
            <v>최상욱</v>
          </cell>
        </row>
        <row r="238">
          <cell r="A238" t="str">
            <v>최식용</v>
          </cell>
        </row>
        <row r="239">
          <cell r="A239" t="str">
            <v>최윤식</v>
          </cell>
        </row>
        <row r="240">
          <cell r="A240" t="str">
            <v>태수(엥흐징)</v>
          </cell>
        </row>
        <row r="241">
          <cell r="A241" t="str">
            <v>한덕규</v>
          </cell>
        </row>
        <row r="242">
          <cell r="A242" t="str">
            <v>한덕규</v>
          </cell>
        </row>
        <row r="243">
          <cell r="A243" t="str">
            <v>한순권</v>
          </cell>
        </row>
        <row r="244">
          <cell r="A244" t="str">
            <v>한온수</v>
          </cell>
        </row>
        <row r="245">
          <cell r="A245" t="str">
            <v>홍기영</v>
          </cell>
        </row>
        <row r="247">
          <cell r="A247" t="str">
            <v>강선민</v>
          </cell>
        </row>
        <row r="248">
          <cell r="A248" t="str">
            <v>강성모</v>
          </cell>
        </row>
        <row r="249">
          <cell r="A249" t="str">
            <v>강성민</v>
          </cell>
        </row>
        <row r="250">
          <cell r="A250" t="str">
            <v>강신환</v>
          </cell>
        </row>
        <row r="251">
          <cell r="A251" t="str">
            <v>고영채</v>
          </cell>
        </row>
        <row r="252">
          <cell r="A252" t="str">
            <v>김 훈</v>
          </cell>
        </row>
        <row r="253">
          <cell r="A253" t="str">
            <v>김기성</v>
          </cell>
        </row>
        <row r="254">
          <cell r="A254" t="str">
            <v>김기연</v>
          </cell>
        </row>
        <row r="255">
          <cell r="A255" t="str">
            <v>김남균</v>
          </cell>
        </row>
        <row r="256">
          <cell r="A256" t="str">
            <v>김남수</v>
          </cell>
        </row>
        <row r="257">
          <cell r="A257" t="str">
            <v>김병조</v>
          </cell>
        </row>
        <row r="258">
          <cell r="A258" t="str">
            <v>김병호</v>
          </cell>
        </row>
        <row r="259">
          <cell r="A259" t="str">
            <v>김상우</v>
          </cell>
        </row>
        <row r="260">
          <cell r="A260" t="str">
            <v>김상운</v>
          </cell>
        </row>
        <row r="261">
          <cell r="A261" t="str">
            <v>김시철</v>
          </cell>
        </row>
        <row r="262">
          <cell r="A262" t="str">
            <v>김정수</v>
          </cell>
        </row>
        <row r="263">
          <cell r="A263" t="str">
            <v>김진홍</v>
          </cell>
        </row>
        <row r="264">
          <cell r="A264" t="str">
            <v>김태수</v>
          </cell>
        </row>
        <row r="265">
          <cell r="A265" t="str">
            <v>김훈</v>
          </cell>
        </row>
        <row r="266">
          <cell r="A266" t="str">
            <v>꽁 VU VAN CONG</v>
          </cell>
        </row>
        <row r="267">
          <cell r="A267" t="str">
            <v>노광일</v>
          </cell>
        </row>
        <row r="268">
          <cell r="A268" t="str">
            <v>류창걸</v>
          </cell>
        </row>
        <row r="269">
          <cell r="A269" t="str">
            <v>문양호</v>
          </cell>
        </row>
        <row r="270">
          <cell r="A270" t="str">
            <v>민금용</v>
          </cell>
        </row>
        <row r="271">
          <cell r="A271" t="str">
            <v>민조홍</v>
          </cell>
        </row>
        <row r="272">
          <cell r="A272" t="str">
            <v>박상만</v>
          </cell>
        </row>
        <row r="273">
          <cell r="A273" t="str">
            <v>박상호</v>
          </cell>
        </row>
        <row r="274">
          <cell r="A274" t="str">
            <v>박승호</v>
          </cell>
        </row>
        <row r="275">
          <cell r="A275" t="str">
            <v>박영국</v>
          </cell>
        </row>
        <row r="276">
          <cell r="A276" t="str">
            <v>박영노</v>
          </cell>
        </row>
        <row r="277">
          <cell r="A277" t="str">
            <v>박영식</v>
          </cell>
        </row>
        <row r="278">
          <cell r="A278" t="str">
            <v>박용식</v>
          </cell>
        </row>
        <row r="279">
          <cell r="A279" t="str">
            <v>박충신</v>
          </cell>
        </row>
        <row r="280">
          <cell r="A280" t="str">
            <v>반한NGUYEN VAN HAN</v>
          </cell>
        </row>
        <row r="281">
          <cell r="A281" t="str">
            <v>송기범</v>
          </cell>
        </row>
        <row r="282">
          <cell r="A282" t="str">
            <v>안중혁</v>
          </cell>
        </row>
        <row r="283">
          <cell r="A283" t="str">
            <v>오영철</v>
          </cell>
        </row>
        <row r="284">
          <cell r="A284" t="str">
            <v>운경</v>
          </cell>
        </row>
        <row r="285">
          <cell r="A285" t="str">
            <v>원경연</v>
          </cell>
        </row>
        <row r="286">
          <cell r="A286" t="str">
            <v>웬반죽</v>
          </cell>
        </row>
        <row r="287">
          <cell r="A287" t="str">
            <v>유정근</v>
          </cell>
        </row>
        <row r="288">
          <cell r="A288" t="str">
            <v>유종인</v>
          </cell>
        </row>
        <row r="289">
          <cell r="A289" t="str">
            <v>유태희</v>
          </cell>
        </row>
        <row r="290">
          <cell r="A290" t="str">
            <v>윤순원</v>
          </cell>
        </row>
        <row r="291">
          <cell r="A291" t="str">
            <v>윤철의</v>
          </cell>
        </row>
        <row r="292">
          <cell r="A292" t="str">
            <v>이경연</v>
          </cell>
        </row>
        <row r="293">
          <cell r="A293" t="str">
            <v>이경희1</v>
          </cell>
        </row>
        <row r="294">
          <cell r="A294" t="str">
            <v>이기현</v>
          </cell>
        </row>
        <row r="295">
          <cell r="A295" t="str">
            <v>이기현</v>
          </cell>
        </row>
        <row r="296">
          <cell r="A296" t="str">
            <v>이남수</v>
          </cell>
        </row>
        <row r="297">
          <cell r="A297" t="str">
            <v>이덕용</v>
          </cell>
        </row>
        <row r="298">
          <cell r="A298" t="str">
            <v>이명렬</v>
          </cell>
        </row>
        <row r="299">
          <cell r="A299" t="str">
            <v>이명렬</v>
          </cell>
        </row>
        <row r="300">
          <cell r="A300" t="str">
            <v>이명수</v>
          </cell>
        </row>
        <row r="301">
          <cell r="A301" t="str">
            <v>이복만</v>
          </cell>
        </row>
        <row r="302">
          <cell r="A302" t="str">
            <v>이상재</v>
          </cell>
        </row>
        <row r="303">
          <cell r="A303" t="str">
            <v>이승호</v>
          </cell>
        </row>
        <row r="304">
          <cell r="A304" t="str">
            <v>이왕호</v>
          </cell>
        </row>
        <row r="305">
          <cell r="A305" t="str">
            <v>이재규</v>
          </cell>
        </row>
        <row r="306">
          <cell r="A306" t="str">
            <v>이정일</v>
          </cell>
        </row>
        <row r="307">
          <cell r="A307" t="str">
            <v>이창옥</v>
          </cell>
        </row>
        <row r="308">
          <cell r="A308" t="str">
            <v>이태형</v>
          </cell>
        </row>
        <row r="309">
          <cell r="A309" t="str">
            <v>이학봉</v>
          </cell>
        </row>
        <row r="310">
          <cell r="A310" t="str">
            <v>이한수</v>
          </cell>
        </row>
        <row r="311">
          <cell r="A311" t="str">
            <v>임철영</v>
          </cell>
        </row>
        <row r="312">
          <cell r="A312" t="str">
            <v>잔량</v>
          </cell>
        </row>
        <row r="313">
          <cell r="A313" t="str">
            <v>장진철</v>
          </cell>
        </row>
        <row r="314">
          <cell r="A314" t="str">
            <v>전해두</v>
          </cell>
        </row>
        <row r="315">
          <cell r="A315" t="str">
            <v>정지혁</v>
          </cell>
        </row>
        <row r="316">
          <cell r="A316" t="str">
            <v>정호빈</v>
          </cell>
        </row>
        <row r="317">
          <cell r="A317" t="str">
            <v>지철수</v>
          </cell>
        </row>
        <row r="318">
          <cell r="A318" t="str">
            <v>지충현</v>
          </cell>
        </row>
        <row r="319">
          <cell r="A319" t="str">
            <v>최낙진</v>
          </cell>
        </row>
        <row r="320">
          <cell r="A320" t="str">
            <v>최인배</v>
          </cell>
        </row>
        <row r="321">
          <cell r="A321" t="str">
            <v>최인성</v>
          </cell>
        </row>
        <row r="322">
          <cell r="A322" t="str">
            <v>최찬웅</v>
          </cell>
        </row>
        <row r="323">
          <cell r="A323" t="str">
            <v>하영석</v>
          </cell>
        </row>
        <row r="324">
          <cell r="A324" t="str">
            <v>하홍인</v>
          </cell>
        </row>
        <row r="325">
          <cell r="A325" t="str">
            <v>한용수</v>
          </cell>
        </row>
        <row r="326">
          <cell r="A326" t="str">
            <v>함민영</v>
          </cell>
        </row>
        <row r="327">
          <cell r="A327" t="str">
            <v>허승립</v>
          </cell>
        </row>
        <row r="329">
          <cell r="A329" t="str">
            <v>김용태</v>
          </cell>
        </row>
        <row r="330">
          <cell r="A330" t="str">
            <v>김원중</v>
          </cell>
        </row>
        <row r="331">
          <cell r="A331" t="str">
            <v>김정일</v>
          </cell>
        </row>
        <row r="332">
          <cell r="A332" t="str">
            <v>김종화</v>
          </cell>
        </row>
        <row r="333">
          <cell r="A333" t="str">
            <v>노광일</v>
          </cell>
        </row>
        <row r="334">
          <cell r="A334" t="str">
            <v>뚜안</v>
          </cell>
        </row>
        <row r="335">
          <cell r="A335" t="str">
            <v>빈</v>
          </cell>
        </row>
        <row r="336">
          <cell r="A336" t="str">
            <v>소마아</v>
          </cell>
        </row>
        <row r="337">
          <cell r="A337" t="str">
            <v>원단단</v>
          </cell>
        </row>
        <row r="338">
          <cell r="A338" t="str">
            <v>윤중혁</v>
          </cell>
        </row>
        <row r="339">
          <cell r="A339" t="str">
            <v>핀스</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급여지급명세서"/>
      <sheetName val="임금대장"/>
      <sheetName val="급여대장"/>
      <sheetName val="호봉표"/>
      <sheetName val="간이세액표"/>
      <sheetName val="국민연금표"/>
      <sheetName val="건강보험료표"/>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데이타"/>
      <sheetName val="관리"/>
      <sheetName val="관리-신고"/>
      <sheetName val="할석-신고"/>
      <sheetName val="할석"/>
      <sheetName val="철근-신고용"/>
      <sheetName val="김명용-형틀"/>
      <sheetName val="대은신고"/>
      <sheetName val="한화신고용"/>
      <sheetName val="한화용역"/>
      <sheetName val="두룡인력신고"/>
      <sheetName val="타설"/>
      <sheetName val="비계"/>
      <sheetName val="세금신고"/>
      <sheetName val="노임합계"/>
      <sheetName val="지급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회사 정보"/>
      <sheetName val="급여설계"/>
      <sheetName val="추가근로수당 및 결근 공제"/>
      <sheetName val="급여대장"/>
      <sheetName val="근로계약서(정규직,토휴무일)"/>
      <sheetName val="근로계약서(기간제,토휴무일)"/>
      <sheetName val="근로계약서(정규직,토휴일)"/>
      <sheetName val="근로계약서(기간제,토휴일)"/>
      <sheetName val="일용근로계약서"/>
      <sheetName val="2019 간이세액표"/>
    </sheetNames>
    <sheetDataSet>
      <sheetData sheetId="0" refreshError="1">
        <row r="1">
          <cell r="C1" t="str">
            <v>국제온누리노무법인</v>
          </cell>
          <cell r="E1" t="str">
            <v>대표이사</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급여셋팅"/>
      <sheetName val="포괄 급여계산"/>
      <sheetName val="급여대장"/>
      <sheetName val="근로계약서(계약직)"/>
      <sheetName val="근로계약서(예시))"/>
      <sheetName val="임금명세서"/>
      <sheetName val="임금명세서 (8~14)"/>
      <sheetName val="임금명세서 (15~18)"/>
      <sheetName val="임금명세서 (19~22)"/>
      <sheetName val="임금명세서 (23~26)"/>
    </sheetNames>
    <sheetDataSet>
      <sheetData sheetId="0"/>
      <sheetData sheetId="1">
        <row r="3">
          <cell r="A3">
            <v>1</v>
          </cell>
          <cell r="B3" t="str">
            <v>이소연</v>
          </cell>
          <cell r="C3">
            <v>8106202000000</v>
          </cell>
          <cell r="D3">
            <v>44</v>
          </cell>
          <cell r="E3" t="str">
            <v>2024.11.01</v>
          </cell>
          <cell r="G3" t="str">
            <v>대표</v>
          </cell>
          <cell r="H3" t="str">
            <v>본사</v>
          </cell>
          <cell r="I3" t="str">
            <v>-</v>
          </cell>
          <cell r="J3" t="str">
            <v>월~금</v>
          </cell>
          <cell r="K3">
            <v>8</v>
          </cell>
          <cell r="L3">
            <v>32894.73684210526</v>
          </cell>
          <cell r="M3">
            <v>209</v>
          </cell>
          <cell r="N3">
            <v>0.375</v>
          </cell>
          <cell r="O3">
            <v>0.75</v>
          </cell>
          <cell r="P3">
            <v>0.5</v>
          </cell>
          <cell r="Q3">
            <v>0.54166666666666663</v>
          </cell>
          <cell r="R3">
            <v>0</v>
          </cell>
          <cell r="S3">
            <v>0</v>
          </cell>
          <cell r="U3">
            <v>6475000</v>
          </cell>
          <cell r="X3">
            <v>200000</v>
          </cell>
          <cell r="Y3">
            <v>200000</v>
          </cell>
          <cell r="Z3">
            <v>0</v>
          </cell>
          <cell r="AA3">
            <v>0</v>
          </cell>
          <cell r="AB3">
            <v>0</v>
          </cell>
          <cell r="AD3">
            <v>6875000</v>
          </cell>
          <cell r="AE3">
            <v>82500000</v>
          </cell>
          <cell r="AF3">
            <v>6875000</v>
          </cell>
          <cell r="AG3">
            <v>6875000</v>
          </cell>
        </row>
        <row r="4">
          <cell r="A4">
            <v>2</v>
          </cell>
          <cell r="B4" t="str">
            <v>문준호</v>
          </cell>
          <cell r="C4">
            <v>7805201000000</v>
          </cell>
          <cell r="D4">
            <v>47</v>
          </cell>
          <cell r="E4" t="str">
            <v>2023.09.04</v>
          </cell>
          <cell r="G4" t="str">
            <v>이사</v>
          </cell>
          <cell r="H4" t="str">
            <v>본사</v>
          </cell>
          <cell r="I4" t="str">
            <v>-</v>
          </cell>
          <cell r="J4" t="str">
            <v>월~금</v>
          </cell>
          <cell r="K4">
            <v>8</v>
          </cell>
          <cell r="L4">
            <v>32966.507177033491</v>
          </cell>
          <cell r="M4">
            <v>209</v>
          </cell>
          <cell r="N4">
            <v>0.375</v>
          </cell>
          <cell r="O4">
            <v>0.75</v>
          </cell>
          <cell r="P4">
            <v>0.5</v>
          </cell>
          <cell r="Q4">
            <v>0.54166666666666663</v>
          </cell>
          <cell r="R4">
            <v>0</v>
          </cell>
          <cell r="S4">
            <v>0</v>
          </cell>
          <cell r="U4">
            <v>6875000</v>
          </cell>
          <cell r="Z4">
            <v>0</v>
          </cell>
          <cell r="AA4">
            <v>0</v>
          </cell>
          <cell r="AB4">
            <v>0</v>
          </cell>
          <cell r="AC4">
            <v>15000</v>
          </cell>
          <cell r="AD4">
            <v>6890000</v>
          </cell>
          <cell r="AE4">
            <v>82680000</v>
          </cell>
          <cell r="AF4">
            <v>6890000</v>
          </cell>
          <cell r="AG4">
            <v>6875000</v>
          </cell>
        </row>
        <row r="5">
          <cell r="A5">
            <v>3</v>
          </cell>
          <cell r="B5" t="str">
            <v>김유림</v>
          </cell>
          <cell r="C5">
            <v>9809262000000</v>
          </cell>
          <cell r="D5">
            <v>27</v>
          </cell>
          <cell r="E5" t="str">
            <v>2023.10.25</v>
          </cell>
          <cell r="G5" t="str">
            <v>팀장</v>
          </cell>
          <cell r="H5" t="str">
            <v>본사</v>
          </cell>
          <cell r="I5" t="str">
            <v>사무</v>
          </cell>
          <cell r="J5" t="str">
            <v>월~금</v>
          </cell>
          <cell r="K5">
            <v>8</v>
          </cell>
          <cell r="L5">
            <v>12583.732057416268</v>
          </cell>
          <cell r="M5">
            <v>209</v>
          </cell>
          <cell r="N5">
            <v>0.375</v>
          </cell>
          <cell r="O5">
            <v>0.75</v>
          </cell>
          <cell r="P5">
            <v>0.5</v>
          </cell>
          <cell r="Q5">
            <v>0.54166666666666663</v>
          </cell>
          <cell r="R5">
            <v>0</v>
          </cell>
          <cell r="S5">
            <v>0</v>
          </cell>
          <cell r="U5">
            <v>2430000</v>
          </cell>
          <cell r="X5">
            <v>200000</v>
          </cell>
          <cell r="Z5">
            <v>0</v>
          </cell>
          <cell r="AA5">
            <v>0</v>
          </cell>
          <cell r="AB5">
            <v>0</v>
          </cell>
          <cell r="AD5">
            <v>2630000</v>
          </cell>
          <cell r="AE5">
            <v>31560000</v>
          </cell>
          <cell r="AF5">
            <v>2630000</v>
          </cell>
          <cell r="AG5">
            <v>2630000</v>
          </cell>
        </row>
        <row r="6">
          <cell r="A6">
            <v>4</v>
          </cell>
          <cell r="B6" t="str">
            <v>서진</v>
          </cell>
          <cell r="C6">
            <v>9402262000000</v>
          </cell>
          <cell r="D6">
            <v>31</v>
          </cell>
          <cell r="E6" t="str">
            <v>2025.07.14</v>
          </cell>
          <cell r="G6" t="str">
            <v>사원</v>
          </cell>
          <cell r="H6" t="str">
            <v>본사</v>
          </cell>
          <cell r="I6" t="str">
            <v>디자인</v>
          </cell>
          <cell r="J6" t="str">
            <v>월~금</v>
          </cell>
          <cell r="K6">
            <v>8</v>
          </cell>
          <cell r="L6">
            <v>11521.043100325969</v>
          </cell>
          <cell r="M6">
            <v>241.58750000000001</v>
          </cell>
          <cell r="N6">
            <v>0.375</v>
          </cell>
          <cell r="O6">
            <v>0.75</v>
          </cell>
          <cell r="P6">
            <v>0.5</v>
          </cell>
          <cell r="Q6">
            <v>0.54166666666666663</v>
          </cell>
          <cell r="R6">
            <v>32.587499999999999</v>
          </cell>
          <cell r="S6">
            <v>0</v>
          </cell>
          <cell r="U6">
            <v>2207898.0079681277</v>
          </cell>
          <cell r="X6">
            <v>200000</v>
          </cell>
          <cell r="Z6">
            <v>375441.99203187251</v>
          </cell>
          <cell r="AA6">
            <v>0</v>
          </cell>
          <cell r="AB6">
            <v>0</v>
          </cell>
          <cell r="AD6">
            <v>2783340</v>
          </cell>
          <cell r="AE6">
            <v>33400080</v>
          </cell>
          <cell r="AF6">
            <v>2783340</v>
          </cell>
          <cell r="AG6">
            <v>2407898.0079681277</v>
          </cell>
        </row>
        <row r="7">
          <cell r="A7">
            <v>5</v>
          </cell>
          <cell r="B7" t="str">
            <v>하동명</v>
          </cell>
          <cell r="C7">
            <v>9805181000000</v>
          </cell>
          <cell r="D7">
            <v>27</v>
          </cell>
          <cell r="E7" t="str">
            <v>2025.08.04</v>
          </cell>
          <cell r="G7" t="str">
            <v>사원</v>
          </cell>
          <cell r="H7" t="str">
            <v>현장</v>
          </cell>
          <cell r="I7" t="str">
            <v>현장업무</v>
          </cell>
          <cell r="J7" t="str">
            <v>월~금</v>
          </cell>
          <cell r="K7">
            <v>8</v>
          </cell>
          <cell r="L7">
            <v>14516.848126960695</v>
          </cell>
          <cell r="M7">
            <v>270.95</v>
          </cell>
          <cell r="N7">
            <v>0.29166666666666669</v>
          </cell>
          <cell r="O7">
            <v>0.70833333333333337</v>
          </cell>
          <cell r="P7">
            <v>0.5</v>
          </cell>
          <cell r="Q7">
            <v>0.54166666666666663</v>
          </cell>
          <cell r="R7">
            <v>61.949999999999996</v>
          </cell>
          <cell r="S7">
            <v>0</v>
          </cell>
          <cell r="U7">
            <v>2834021.2585347849</v>
          </cell>
          <cell r="X7">
            <v>200000</v>
          </cell>
          <cell r="Z7">
            <v>899318.74146521499</v>
          </cell>
          <cell r="AA7">
            <v>0</v>
          </cell>
          <cell r="AB7">
            <v>0</v>
          </cell>
          <cell r="AD7">
            <v>3933340</v>
          </cell>
          <cell r="AE7">
            <v>47200080</v>
          </cell>
          <cell r="AF7">
            <v>3933340</v>
          </cell>
          <cell r="AG7">
            <v>3034021.2585347849</v>
          </cell>
        </row>
        <row r="8">
          <cell r="A8">
            <v>6</v>
          </cell>
          <cell r="B8" t="str">
            <v>서대윤</v>
          </cell>
          <cell r="C8">
            <v>7907121000000</v>
          </cell>
          <cell r="D8">
            <v>46</v>
          </cell>
          <cell r="E8" t="str">
            <v>2026.01.02</v>
          </cell>
          <cell r="G8" t="str">
            <v>사원</v>
          </cell>
          <cell r="H8" t="str">
            <v>현장</v>
          </cell>
          <cell r="I8" t="str">
            <v>현장업무</v>
          </cell>
          <cell r="J8" t="str">
            <v>월~금</v>
          </cell>
          <cell r="K8">
            <v>8</v>
          </cell>
          <cell r="L8">
            <v>10826.130282339916</v>
          </cell>
          <cell r="M8">
            <v>270.95</v>
          </cell>
          <cell r="N8">
            <v>0.29166666666666669</v>
          </cell>
          <cell r="O8">
            <v>0.70833333333333337</v>
          </cell>
          <cell r="P8">
            <v>0.5</v>
          </cell>
          <cell r="Q8">
            <v>0.54166666666666663</v>
          </cell>
          <cell r="R8">
            <v>61.949999999999996</v>
          </cell>
          <cell r="S8">
            <v>0</v>
          </cell>
          <cell r="U8">
            <v>2062661.2290090423</v>
          </cell>
          <cell r="X8">
            <v>200000</v>
          </cell>
          <cell r="Z8">
            <v>670678.77099095774</v>
          </cell>
          <cell r="AA8">
            <v>0</v>
          </cell>
          <cell r="AB8">
            <v>0</v>
          </cell>
          <cell r="AD8">
            <v>2933340</v>
          </cell>
          <cell r="AE8">
            <v>35200080</v>
          </cell>
          <cell r="AF8">
            <v>2933340</v>
          </cell>
          <cell r="AG8">
            <v>2262661.2290090425</v>
          </cell>
        </row>
        <row r="9">
          <cell r="A9">
            <v>7</v>
          </cell>
          <cell r="D9" t="str">
            <v/>
          </cell>
          <cell r="J9" t="str">
            <v/>
          </cell>
          <cell r="K9" t="e">
            <v>#N/A</v>
          </cell>
          <cell r="L9" t="str">
            <v/>
          </cell>
          <cell r="M9" t="str">
            <v/>
          </cell>
          <cell r="N9" t="e">
            <v>#N/A</v>
          </cell>
          <cell r="O9" t="e">
            <v>#N/A</v>
          </cell>
          <cell r="P9" t="e">
            <v>#N/A</v>
          </cell>
          <cell r="Q9" t="e">
            <v>#N/A</v>
          </cell>
          <cell r="R9" t="str">
            <v/>
          </cell>
          <cell r="S9" t="str">
            <v/>
          </cell>
          <cell r="U9" t="str">
            <v/>
          </cell>
          <cell r="Z9" t="str">
            <v/>
          </cell>
          <cell r="AA9" t="str">
            <v/>
          </cell>
          <cell r="AB9" t="e">
            <v>#N/A</v>
          </cell>
          <cell r="AE9">
            <v>0</v>
          </cell>
          <cell r="AF9" t="str">
            <v/>
          </cell>
          <cell r="AG9">
            <v>0</v>
          </cell>
        </row>
        <row r="10">
          <cell r="A10">
            <v>8</v>
          </cell>
          <cell r="D10" t="str">
            <v/>
          </cell>
          <cell r="J10" t="str">
            <v/>
          </cell>
          <cell r="K10" t="e">
            <v>#N/A</v>
          </cell>
          <cell r="L10" t="str">
            <v/>
          </cell>
          <cell r="M10" t="str">
            <v/>
          </cell>
          <cell r="N10" t="e">
            <v>#N/A</v>
          </cell>
          <cell r="O10" t="e">
            <v>#N/A</v>
          </cell>
          <cell r="P10" t="e">
            <v>#N/A</v>
          </cell>
          <cell r="Q10" t="e">
            <v>#N/A</v>
          </cell>
          <cell r="R10" t="str">
            <v/>
          </cell>
          <cell r="S10" t="str">
            <v/>
          </cell>
          <cell r="U10" t="str">
            <v/>
          </cell>
          <cell r="Z10" t="str">
            <v/>
          </cell>
          <cell r="AA10" t="str">
            <v/>
          </cell>
          <cell r="AB10" t="e">
            <v>#N/A</v>
          </cell>
          <cell r="AC10" t="str">
            <v/>
          </cell>
          <cell r="AE10">
            <v>0</v>
          </cell>
          <cell r="AF10" t="str">
            <v/>
          </cell>
          <cell r="AG10">
            <v>0</v>
          </cell>
        </row>
        <row r="11">
          <cell r="A11">
            <v>9</v>
          </cell>
          <cell r="D11" t="str">
            <v/>
          </cell>
          <cell r="J11" t="str">
            <v/>
          </cell>
          <cell r="K11" t="e">
            <v>#N/A</v>
          </cell>
          <cell r="L11" t="str">
            <v/>
          </cell>
          <cell r="M11" t="str">
            <v/>
          </cell>
          <cell r="N11" t="e">
            <v>#N/A</v>
          </cell>
          <cell r="O11" t="e">
            <v>#N/A</v>
          </cell>
          <cell r="P11" t="e">
            <v>#N/A</v>
          </cell>
          <cell r="Q11" t="e">
            <v>#N/A</v>
          </cell>
          <cell r="R11" t="str">
            <v/>
          </cell>
          <cell r="S11" t="str">
            <v/>
          </cell>
          <cell r="U11" t="str">
            <v/>
          </cell>
          <cell r="Z11" t="str">
            <v/>
          </cell>
          <cell r="AA11" t="str">
            <v/>
          </cell>
          <cell r="AB11" t="e">
            <v>#N/A</v>
          </cell>
          <cell r="AC11" t="str">
            <v/>
          </cell>
          <cell r="AE11">
            <v>0</v>
          </cell>
          <cell r="AF11" t="str">
            <v/>
          </cell>
          <cell r="AG11">
            <v>0</v>
          </cell>
        </row>
        <row r="12">
          <cell r="A12">
            <v>10</v>
          </cell>
          <cell r="D12" t="str">
            <v/>
          </cell>
          <cell r="J12" t="str">
            <v/>
          </cell>
          <cell r="K12" t="e">
            <v>#N/A</v>
          </cell>
          <cell r="L12" t="str">
            <v/>
          </cell>
          <cell r="M12" t="str">
            <v/>
          </cell>
          <cell r="N12" t="e">
            <v>#N/A</v>
          </cell>
          <cell r="O12" t="e">
            <v>#N/A</v>
          </cell>
          <cell r="P12" t="e">
            <v>#N/A</v>
          </cell>
          <cell r="Q12" t="e">
            <v>#N/A</v>
          </cell>
          <cell r="R12" t="str">
            <v/>
          </cell>
          <cell r="S12" t="str">
            <v/>
          </cell>
          <cell r="U12" t="str">
            <v/>
          </cell>
          <cell r="Z12" t="str">
            <v/>
          </cell>
          <cell r="AA12" t="str">
            <v/>
          </cell>
          <cell r="AB12" t="e">
            <v>#N/A</v>
          </cell>
          <cell r="AC12" t="str">
            <v/>
          </cell>
          <cell r="AE12">
            <v>0</v>
          </cell>
          <cell r="AF12" t="str">
            <v/>
          </cell>
          <cell r="AG12">
            <v>0</v>
          </cell>
        </row>
        <row r="13">
          <cell r="A13">
            <v>11</v>
          </cell>
          <cell r="D13" t="str">
            <v/>
          </cell>
          <cell r="J13" t="str">
            <v/>
          </cell>
          <cell r="K13" t="e">
            <v>#N/A</v>
          </cell>
          <cell r="L13" t="str">
            <v/>
          </cell>
          <cell r="M13" t="str">
            <v/>
          </cell>
          <cell r="N13" t="e">
            <v>#N/A</v>
          </cell>
          <cell r="O13" t="e">
            <v>#N/A</v>
          </cell>
          <cell r="P13" t="e">
            <v>#N/A</v>
          </cell>
          <cell r="Q13" t="e">
            <v>#N/A</v>
          </cell>
          <cell r="R13" t="str">
            <v/>
          </cell>
          <cell r="S13" t="str">
            <v/>
          </cell>
          <cell r="U13" t="str">
            <v/>
          </cell>
          <cell r="Z13" t="str">
            <v/>
          </cell>
          <cell r="AA13" t="str">
            <v/>
          </cell>
          <cell r="AB13" t="e">
            <v>#N/A</v>
          </cell>
          <cell r="AC13" t="str">
            <v/>
          </cell>
          <cell r="AE13">
            <v>0</v>
          </cell>
          <cell r="AF13" t="str">
            <v/>
          </cell>
          <cell r="AG13">
            <v>0</v>
          </cell>
        </row>
        <row r="14">
          <cell r="A14">
            <v>12</v>
          </cell>
          <cell r="D14" t="str">
            <v/>
          </cell>
          <cell r="J14" t="str">
            <v/>
          </cell>
          <cell r="K14" t="e">
            <v>#N/A</v>
          </cell>
          <cell r="L14" t="str">
            <v/>
          </cell>
          <cell r="M14" t="str">
            <v/>
          </cell>
          <cell r="N14" t="e">
            <v>#N/A</v>
          </cell>
          <cell r="O14" t="e">
            <v>#N/A</v>
          </cell>
          <cell r="P14" t="e">
            <v>#N/A</v>
          </cell>
          <cell r="Q14" t="e">
            <v>#N/A</v>
          </cell>
          <cell r="R14" t="str">
            <v/>
          </cell>
          <cell r="S14" t="str">
            <v/>
          </cell>
          <cell r="U14" t="str">
            <v/>
          </cell>
          <cell r="Z14" t="str">
            <v/>
          </cell>
          <cell r="AA14" t="str">
            <v/>
          </cell>
          <cell r="AB14" t="e">
            <v>#N/A</v>
          </cell>
          <cell r="AC14" t="str">
            <v/>
          </cell>
          <cell r="AE14">
            <v>0</v>
          </cell>
          <cell r="AF14" t="str">
            <v/>
          </cell>
          <cell r="AG14">
            <v>0</v>
          </cell>
        </row>
        <row r="15">
          <cell r="A15">
            <v>13</v>
          </cell>
          <cell r="D15" t="str">
            <v/>
          </cell>
          <cell r="J15" t="str">
            <v/>
          </cell>
          <cell r="K15" t="e">
            <v>#N/A</v>
          </cell>
          <cell r="L15" t="str">
            <v/>
          </cell>
          <cell r="M15" t="str">
            <v/>
          </cell>
          <cell r="N15" t="e">
            <v>#N/A</v>
          </cell>
          <cell r="O15" t="e">
            <v>#N/A</v>
          </cell>
          <cell r="P15" t="e">
            <v>#N/A</v>
          </cell>
          <cell r="Q15" t="e">
            <v>#N/A</v>
          </cell>
          <cell r="R15" t="str">
            <v/>
          </cell>
          <cell r="S15" t="str">
            <v/>
          </cell>
          <cell r="U15" t="str">
            <v/>
          </cell>
          <cell r="Z15" t="str">
            <v/>
          </cell>
          <cell r="AA15" t="str">
            <v/>
          </cell>
          <cell r="AB15" t="e">
            <v>#N/A</v>
          </cell>
          <cell r="AC15" t="str">
            <v/>
          </cell>
          <cell r="AE15">
            <v>0</v>
          </cell>
          <cell r="AF15" t="str">
            <v/>
          </cell>
          <cell r="AG15">
            <v>0</v>
          </cell>
        </row>
        <row r="16">
          <cell r="A16">
            <v>14</v>
          </cell>
          <cell r="D16" t="str">
            <v/>
          </cell>
          <cell r="J16" t="str">
            <v/>
          </cell>
          <cell r="K16" t="e">
            <v>#N/A</v>
          </cell>
          <cell r="L16" t="str">
            <v/>
          </cell>
          <cell r="M16" t="str">
            <v/>
          </cell>
          <cell r="N16" t="e">
            <v>#N/A</v>
          </cell>
          <cell r="O16" t="e">
            <v>#N/A</v>
          </cell>
          <cell r="P16" t="e">
            <v>#N/A</v>
          </cell>
          <cell r="Q16" t="e">
            <v>#N/A</v>
          </cell>
          <cell r="R16" t="str">
            <v/>
          </cell>
          <cell r="S16" t="str">
            <v/>
          </cell>
          <cell r="U16" t="str">
            <v/>
          </cell>
          <cell r="Z16" t="str">
            <v/>
          </cell>
          <cell r="AA16" t="str">
            <v/>
          </cell>
          <cell r="AB16" t="e">
            <v>#N/A</v>
          </cell>
          <cell r="AC16" t="str">
            <v/>
          </cell>
          <cell r="AE16">
            <v>0</v>
          </cell>
          <cell r="AF16" t="str">
            <v/>
          </cell>
          <cell r="AG16">
            <v>0</v>
          </cell>
        </row>
        <row r="17">
          <cell r="A17">
            <v>15</v>
          </cell>
          <cell r="D17" t="str">
            <v/>
          </cell>
          <cell r="J17" t="str">
            <v/>
          </cell>
          <cell r="K17" t="e">
            <v>#N/A</v>
          </cell>
          <cell r="L17" t="str">
            <v/>
          </cell>
          <cell r="M17" t="str">
            <v/>
          </cell>
          <cell r="N17" t="e">
            <v>#N/A</v>
          </cell>
          <cell r="O17" t="e">
            <v>#N/A</v>
          </cell>
          <cell r="P17" t="e">
            <v>#N/A</v>
          </cell>
          <cell r="Q17" t="e">
            <v>#N/A</v>
          </cell>
          <cell r="R17" t="str">
            <v/>
          </cell>
          <cell r="S17" t="str">
            <v/>
          </cell>
          <cell r="U17" t="str">
            <v/>
          </cell>
          <cell r="Z17" t="str">
            <v/>
          </cell>
          <cell r="AA17" t="str">
            <v/>
          </cell>
          <cell r="AB17" t="e">
            <v>#N/A</v>
          </cell>
          <cell r="AC17" t="str">
            <v/>
          </cell>
          <cell r="AE17">
            <v>0</v>
          </cell>
          <cell r="AF17" t="str">
            <v/>
          </cell>
          <cell r="AG17">
            <v>0</v>
          </cell>
        </row>
        <row r="18">
          <cell r="A18">
            <v>16</v>
          </cell>
          <cell r="D18" t="str">
            <v/>
          </cell>
          <cell r="J18" t="str">
            <v/>
          </cell>
          <cell r="K18" t="e">
            <v>#N/A</v>
          </cell>
          <cell r="L18" t="str">
            <v/>
          </cell>
          <cell r="M18" t="str">
            <v/>
          </cell>
          <cell r="N18" t="e">
            <v>#N/A</v>
          </cell>
          <cell r="O18" t="e">
            <v>#N/A</v>
          </cell>
          <cell r="P18" t="e">
            <v>#N/A</v>
          </cell>
          <cell r="Q18" t="e">
            <v>#N/A</v>
          </cell>
          <cell r="R18" t="str">
            <v/>
          </cell>
          <cell r="S18" t="str">
            <v/>
          </cell>
          <cell r="U18" t="str">
            <v/>
          </cell>
          <cell r="Z18" t="str">
            <v/>
          </cell>
          <cell r="AA18" t="str">
            <v/>
          </cell>
          <cell r="AB18" t="e">
            <v>#N/A</v>
          </cell>
          <cell r="AC18" t="str">
            <v/>
          </cell>
          <cell r="AE18">
            <v>0</v>
          </cell>
          <cell r="AF18" t="str">
            <v/>
          </cell>
          <cell r="AG18">
            <v>0</v>
          </cell>
        </row>
        <row r="19">
          <cell r="A19">
            <v>17</v>
          </cell>
          <cell r="D19" t="str">
            <v/>
          </cell>
          <cell r="J19" t="str">
            <v/>
          </cell>
          <cell r="K19" t="e">
            <v>#N/A</v>
          </cell>
          <cell r="L19" t="str">
            <v/>
          </cell>
          <cell r="M19" t="str">
            <v/>
          </cell>
          <cell r="N19" t="e">
            <v>#N/A</v>
          </cell>
          <cell r="O19" t="e">
            <v>#N/A</v>
          </cell>
          <cell r="P19" t="e">
            <v>#N/A</v>
          </cell>
          <cell r="Q19" t="e">
            <v>#N/A</v>
          </cell>
          <cell r="R19" t="str">
            <v/>
          </cell>
          <cell r="S19" t="str">
            <v/>
          </cell>
          <cell r="U19" t="str">
            <v/>
          </cell>
          <cell r="Z19" t="str">
            <v/>
          </cell>
          <cell r="AA19" t="str">
            <v/>
          </cell>
          <cell r="AB19" t="e">
            <v>#N/A</v>
          </cell>
          <cell r="AC19" t="str">
            <v/>
          </cell>
          <cell r="AE19">
            <v>0</v>
          </cell>
          <cell r="AF19" t="str">
            <v/>
          </cell>
          <cell r="AG19">
            <v>0</v>
          </cell>
        </row>
        <row r="20">
          <cell r="A20">
            <v>18</v>
          </cell>
          <cell r="D20" t="str">
            <v/>
          </cell>
          <cell r="J20" t="str">
            <v/>
          </cell>
          <cell r="K20" t="e">
            <v>#N/A</v>
          </cell>
          <cell r="L20" t="str">
            <v/>
          </cell>
          <cell r="M20" t="str">
            <v/>
          </cell>
          <cell r="N20" t="e">
            <v>#N/A</v>
          </cell>
          <cell r="O20" t="e">
            <v>#N/A</v>
          </cell>
          <cell r="P20" t="e">
            <v>#N/A</v>
          </cell>
          <cell r="Q20" t="e">
            <v>#N/A</v>
          </cell>
          <cell r="R20" t="str">
            <v/>
          </cell>
          <cell r="S20" t="str">
            <v/>
          </cell>
          <cell r="U20" t="str">
            <v/>
          </cell>
          <cell r="Z20" t="str">
            <v/>
          </cell>
          <cell r="AA20" t="str">
            <v/>
          </cell>
          <cell r="AB20" t="e">
            <v>#N/A</v>
          </cell>
          <cell r="AC20" t="str">
            <v/>
          </cell>
          <cell r="AE20">
            <v>0</v>
          </cell>
          <cell r="AF20" t="str">
            <v/>
          </cell>
          <cell r="AG20">
            <v>0</v>
          </cell>
        </row>
        <row r="21">
          <cell r="A21">
            <v>19</v>
          </cell>
          <cell r="D21" t="str">
            <v/>
          </cell>
          <cell r="J21" t="str">
            <v/>
          </cell>
          <cell r="K21" t="e">
            <v>#N/A</v>
          </cell>
          <cell r="L21" t="str">
            <v/>
          </cell>
          <cell r="M21" t="str">
            <v/>
          </cell>
          <cell r="N21" t="e">
            <v>#N/A</v>
          </cell>
          <cell r="O21" t="e">
            <v>#N/A</v>
          </cell>
          <cell r="P21" t="e">
            <v>#N/A</v>
          </cell>
          <cell r="Q21" t="e">
            <v>#N/A</v>
          </cell>
          <cell r="R21" t="str">
            <v/>
          </cell>
          <cell r="S21" t="str">
            <v/>
          </cell>
          <cell r="U21" t="str">
            <v/>
          </cell>
          <cell r="Z21" t="str">
            <v/>
          </cell>
          <cell r="AA21" t="str">
            <v/>
          </cell>
          <cell r="AB21" t="e">
            <v>#N/A</v>
          </cell>
          <cell r="AC21">
            <v>1</v>
          </cell>
          <cell r="AE21">
            <v>0</v>
          </cell>
          <cell r="AF21" t="str">
            <v/>
          </cell>
          <cell r="AG21">
            <v>0</v>
          </cell>
        </row>
        <row r="22">
          <cell r="A22">
            <v>20</v>
          </cell>
          <cell r="D22" t="str">
            <v/>
          </cell>
          <cell r="J22" t="str">
            <v/>
          </cell>
          <cell r="K22" t="e">
            <v>#N/A</v>
          </cell>
          <cell r="L22" t="str">
            <v/>
          </cell>
          <cell r="M22" t="str">
            <v/>
          </cell>
          <cell r="N22" t="e">
            <v>#N/A</v>
          </cell>
          <cell r="O22" t="e">
            <v>#N/A</v>
          </cell>
          <cell r="P22" t="e">
            <v>#N/A</v>
          </cell>
          <cell r="Q22" t="e">
            <v>#N/A</v>
          </cell>
          <cell r="R22" t="str">
            <v/>
          </cell>
          <cell r="S22" t="str">
            <v/>
          </cell>
          <cell r="U22" t="str">
            <v/>
          </cell>
          <cell r="Z22" t="str">
            <v/>
          </cell>
          <cell r="AA22" t="str">
            <v/>
          </cell>
          <cell r="AB22" t="e">
            <v>#N/A</v>
          </cell>
          <cell r="AC22" t="str">
            <v/>
          </cell>
          <cell r="AE22">
            <v>0</v>
          </cell>
          <cell r="AF22" t="str">
            <v/>
          </cell>
          <cell r="AG22">
            <v>0</v>
          </cell>
        </row>
        <row r="23">
          <cell r="A23">
            <v>21</v>
          </cell>
          <cell r="D23" t="str">
            <v/>
          </cell>
          <cell r="J23" t="str">
            <v/>
          </cell>
          <cell r="K23" t="e">
            <v>#N/A</v>
          </cell>
          <cell r="L23" t="str">
            <v/>
          </cell>
          <cell r="M23" t="str">
            <v/>
          </cell>
          <cell r="N23" t="e">
            <v>#N/A</v>
          </cell>
          <cell r="O23" t="e">
            <v>#N/A</v>
          </cell>
          <cell r="P23" t="e">
            <v>#N/A</v>
          </cell>
          <cell r="Q23" t="e">
            <v>#N/A</v>
          </cell>
          <cell r="R23" t="str">
            <v/>
          </cell>
          <cell r="S23" t="str">
            <v/>
          </cell>
          <cell r="U23" t="str">
            <v/>
          </cell>
          <cell r="Z23" t="str">
            <v/>
          </cell>
          <cell r="AA23" t="str">
            <v/>
          </cell>
          <cell r="AB23" t="e">
            <v>#N/A</v>
          </cell>
          <cell r="AC23" t="str">
            <v/>
          </cell>
          <cell r="AD23">
            <v>6875000</v>
          </cell>
          <cell r="AE23">
            <v>82500000</v>
          </cell>
          <cell r="AF23" t="str">
            <v/>
          </cell>
          <cell r="AG23">
            <v>0</v>
          </cell>
        </row>
        <row r="24">
          <cell r="A24">
            <v>22</v>
          </cell>
          <cell r="D24" t="str">
            <v/>
          </cell>
          <cell r="J24" t="str">
            <v/>
          </cell>
          <cell r="K24" t="e">
            <v>#N/A</v>
          </cell>
          <cell r="L24" t="str">
            <v/>
          </cell>
          <cell r="M24" t="str">
            <v/>
          </cell>
          <cell r="N24" t="e">
            <v>#N/A</v>
          </cell>
          <cell r="O24" t="e">
            <v>#N/A</v>
          </cell>
          <cell r="P24" t="e">
            <v>#N/A</v>
          </cell>
          <cell r="Q24" t="e">
            <v>#N/A</v>
          </cell>
          <cell r="R24" t="str">
            <v/>
          </cell>
          <cell r="S24" t="str">
            <v/>
          </cell>
          <cell r="U24" t="str">
            <v/>
          </cell>
          <cell r="Z24" t="str">
            <v/>
          </cell>
          <cell r="AA24" t="str">
            <v/>
          </cell>
          <cell r="AB24" t="e">
            <v>#N/A</v>
          </cell>
          <cell r="AC24" t="str">
            <v/>
          </cell>
          <cell r="AD24">
            <v>6875000</v>
          </cell>
          <cell r="AE24">
            <v>82500000</v>
          </cell>
          <cell r="AF24" t="str">
            <v/>
          </cell>
          <cell r="AG24">
            <v>0</v>
          </cell>
        </row>
        <row r="25">
          <cell r="A25">
            <v>23</v>
          </cell>
          <cell r="D25" t="str">
            <v/>
          </cell>
          <cell r="J25" t="str">
            <v/>
          </cell>
          <cell r="K25" t="e">
            <v>#N/A</v>
          </cell>
          <cell r="L25" t="str">
            <v/>
          </cell>
          <cell r="M25" t="str">
            <v/>
          </cell>
          <cell r="N25" t="e">
            <v>#N/A</v>
          </cell>
          <cell r="O25" t="e">
            <v>#N/A</v>
          </cell>
          <cell r="P25" t="e">
            <v>#N/A</v>
          </cell>
          <cell r="Q25" t="e">
            <v>#N/A</v>
          </cell>
          <cell r="R25" t="str">
            <v/>
          </cell>
          <cell r="S25" t="str">
            <v/>
          </cell>
          <cell r="U25" t="str">
            <v/>
          </cell>
          <cell r="Z25" t="str">
            <v/>
          </cell>
          <cell r="AA25" t="str">
            <v/>
          </cell>
          <cell r="AB25" t="e">
            <v>#N/A</v>
          </cell>
          <cell r="AC25" t="str">
            <v/>
          </cell>
          <cell r="AD25">
            <v>6875000</v>
          </cell>
          <cell r="AE25">
            <v>82500000</v>
          </cell>
          <cell r="AF25" t="str">
            <v/>
          </cell>
          <cell r="AG25">
            <v>0</v>
          </cell>
        </row>
        <row r="26">
          <cell r="A26">
            <v>24</v>
          </cell>
          <cell r="D26" t="str">
            <v/>
          </cell>
          <cell r="J26" t="str">
            <v/>
          </cell>
          <cell r="K26" t="e">
            <v>#N/A</v>
          </cell>
          <cell r="L26" t="str">
            <v/>
          </cell>
          <cell r="M26" t="str">
            <v/>
          </cell>
          <cell r="N26" t="e">
            <v>#N/A</v>
          </cell>
          <cell r="O26" t="e">
            <v>#N/A</v>
          </cell>
          <cell r="P26" t="e">
            <v>#N/A</v>
          </cell>
          <cell r="Q26" t="e">
            <v>#N/A</v>
          </cell>
          <cell r="R26" t="str">
            <v/>
          </cell>
          <cell r="S26" t="str">
            <v/>
          </cell>
          <cell r="U26" t="str">
            <v/>
          </cell>
          <cell r="Z26" t="str">
            <v/>
          </cell>
          <cell r="AA26" t="str">
            <v/>
          </cell>
          <cell r="AB26" t="e">
            <v>#N/A</v>
          </cell>
          <cell r="AC26" t="str">
            <v/>
          </cell>
          <cell r="AE26">
            <v>0</v>
          </cell>
          <cell r="AF26" t="str">
            <v/>
          </cell>
          <cell r="AG26">
            <v>0</v>
          </cell>
        </row>
        <row r="27">
          <cell r="A27">
            <v>25</v>
          </cell>
          <cell r="D27" t="str">
            <v/>
          </cell>
          <cell r="J27" t="str">
            <v/>
          </cell>
          <cell r="K27" t="e">
            <v>#N/A</v>
          </cell>
          <cell r="L27" t="str">
            <v/>
          </cell>
          <cell r="M27" t="str">
            <v/>
          </cell>
          <cell r="N27" t="e">
            <v>#N/A</v>
          </cell>
          <cell r="O27" t="e">
            <v>#N/A</v>
          </cell>
          <cell r="P27" t="e">
            <v>#N/A</v>
          </cell>
          <cell r="Q27" t="e">
            <v>#N/A</v>
          </cell>
          <cell r="R27" t="str">
            <v/>
          </cell>
          <cell r="S27" t="str">
            <v/>
          </cell>
          <cell r="U27" t="str">
            <v/>
          </cell>
          <cell r="Z27" t="str">
            <v/>
          </cell>
          <cell r="AA27" t="str">
            <v/>
          </cell>
          <cell r="AB27" t="e">
            <v>#N/A</v>
          </cell>
          <cell r="AC27" t="str">
            <v/>
          </cell>
          <cell r="AD27">
            <v>6875000</v>
          </cell>
          <cell r="AE27">
            <v>82500000</v>
          </cell>
          <cell r="AF27" t="str">
            <v/>
          </cell>
          <cell r="AG27">
            <v>0</v>
          </cell>
        </row>
        <row r="28">
          <cell r="A28">
            <v>26</v>
          </cell>
          <cell r="D28" t="str">
            <v/>
          </cell>
          <cell r="J28" t="str">
            <v/>
          </cell>
          <cell r="K28" t="e">
            <v>#N/A</v>
          </cell>
          <cell r="L28" t="str">
            <v/>
          </cell>
          <cell r="M28" t="str">
            <v/>
          </cell>
          <cell r="N28" t="e">
            <v>#N/A</v>
          </cell>
          <cell r="O28" t="e">
            <v>#N/A</v>
          </cell>
          <cell r="P28" t="e">
            <v>#N/A</v>
          </cell>
          <cell r="Q28" t="e">
            <v>#N/A</v>
          </cell>
          <cell r="R28" t="str">
            <v/>
          </cell>
          <cell r="S28" t="str">
            <v/>
          </cell>
          <cell r="U28" t="str">
            <v/>
          </cell>
          <cell r="Z28" t="str">
            <v/>
          </cell>
          <cell r="AA28" t="str">
            <v/>
          </cell>
          <cell r="AB28" t="e">
            <v>#N/A</v>
          </cell>
          <cell r="AC28" t="str">
            <v/>
          </cell>
          <cell r="AD28">
            <v>6875000</v>
          </cell>
          <cell r="AE28">
            <v>82500000</v>
          </cell>
          <cell r="AF28" t="str">
            <v/>
          </cell>
          <cell r="AG28">
            <v>0</v>
          </cell>
        </row>
        <row r="29">
          <cell r="A29">
            <v>27</v>
          </cell>
          <cell r="D29" t="str">
            <v/>
          </cell>
          <cell r="J29" t="str">
            <v/>
          </cell>
          <cell r="K29" t="e">
            <v>#N/A</v>
          </cell>
          <cell r="L29" t="str">
            <v/>
          </cell>
          <cell r="M29" t="str">
            <v/>
          </cell>
          <cell r="N29" t="e">
            <v>#N/A</v>
          </cell>
          <cell r="O29" t="e">
            <v>#N/A</v>
          </cell>
          <cell r="P29" t="e">
            <v>#N/A</v>
          </cell>
          <cell r="Q29" t="e">
            <v>#N/A</v>
          </cell>
          <cell r="R29" t="str">
            <v/>
          </cell>
          <cell r="S29" t="str">
            <v/>
          </cell>
          <cell r="U29" t="str">
            <v/>
          </cell>
          <cell r="Z29" t="str">
            <v/>
          </cell>
          <cell r="AA29" t="str">
            <v/>
          </cell>
          <cell r="AB29" t="e">
            <v>#N/A</v>
          </cell>
          <cell r="AC29" t="str">
            <v/>
          </cell>
          <cell r="AD29">
            <v>6875000</v>
          </cell>
          <cell r="AE29">
            <v>82500000</v>
          </cell>
          <cell r="AF29" t="str">
            <v/>
          </cell>
          <cell r="AG29">
            <v>0</v>
          </cell>
        </row>
        <row r="30">
          <cell r="A30">
            <v>28</v>
          </cell>
          <cell r="D30" t="str">
            <v/>
          </cell>
          <cell r="J30" t="str">
            <v/>
          </cell>
          <cell r="K30" t="e">
            <v>#N/A</v>
          </cell>
          <cell r="L30" t="str">
            <v/>
          </cell>
          <cell r="M30" t="str">
            <v/>
          </cell>
          <cell r="N30" t="e">
            <v>#N/A</v>
          </cell>
          <cell r="O30" t="e">
            <v>#N/A</v>
          </cell>
          <cell r="P30" t="e">
            <v>#N/A</v>
          </cell>
          <cell r="Q30" t="e">
            <v>#N/A</v>
          </cell>
          <cell r="R30" t="str">
            <v/>
          </cell>
          <cell r="S30" t="str">
            <v/>
          </cell>
          <cell r="U30" t="str">
            <v/>
          </cell>
          <cell r="Z30" t="str">
            <v/>
          </cell>
          <cell r="AA30" t="str">
            <v/>
          </cell>
          <cell r="AB30" t="e">
            <v>#N/A</v>
          </cell>
          <cell r="AC30" t="str">
            <v/>
          </cell>
          <cell r="AD30">
            <v>6875000</v>
          </cell>
          <cell r="AE30">
            <v>82500000</v>
          </cell>
          <cell r="AF30" t="str">
            <v/>
          </cell>
          <cell r="AG30">
            <v>0</v>
          </cell>
        </row>
        <row r="31">
          <cell r="A31">
            <v>29</v>
          </cell>
          <cell r="D31" t="str">
            <v/>
          </cell>
          <cell r="J31" t="str">
            <v/>
          </cell>
          <cell r="K31" t="e">
            <v>#N/A</v>
          </cell>
          <cell r="L31" t="str">
            <v/>
          </cell>
          <cell r="M31" t="str">
            <v/>
          </cell>
          <cell r="N31" t="e">
            <v>#N/A</v>
          </cell>
          <cell r="O31" t="e">
            <v>#N/A</v>
          </cell>
          <cell r="P31" t="e">
            <v>#N/A</v>
          </cell>
          <cell r="Q31" t="e">
            <v>#N/A</v>
          </cell>
          <cell r="R31" t="str">
            <v/>
          </cell>
          <cell r="S31" t="str">
            <v/>
          </cell>
          <cell r="U31" t="str">
            <v/>
          </cell>
          <cell r="Z31" t="str">
            <v/>
          </cell>
          <cell r="AA31" t="str">
            <v/>
          </cell>
          <cell r="AB31" t="e">
            <v>#N/A</v>
          </cell>
          <cell r="AC31" t="str">
            <v/>
          </cell>
          <cell r="AD31">
            <v>6875000</v>
          </cell>
          <cell r="AE31">
            <v>82500000</v>
          </cell>
          <cell r="AF31" t="str">
            <v/>
          </cell>
          <cell r="AG31">
            <v>0</v>
          </cell>
        </row>
        <row r="32">
          <cell r="A32">
            <v>30</v>
          </cell>
          <cell r="D32" t="str">
            <v/>
          </cell>
          <cell r="J32" t="str">
            <v/>
          </cell>
          <cell r="K32" t="e">
            <v>#N/A</v>
          </cell>
          <cell r="L32" t="str">
            <v/>
          </cell>
          <cell r="M32" t="str">
            <v/>
          </cell>
          <cell r="N32" t="e">
            <v>#N/A</v>
          </cell>
          <cell r="O32" t="e">
            <v>#N/A</v>
          </cell>
          <cell r="P32" t="e">
            <v>#N/A</v>
          </cell>
          <cell r="Q32" t="e">
            <v>#N/A</v>
          </cell>
          <cell r="R32" t="str">
            <v/>
          </cell>
          <cell r="S32" t="str">
            <v/>
          </cell>
          <cell r="U32" t="str">
            <v/>
          </cell>
          <cell r="Z32" t="str">
            <v/>
          </cell>
          <cell r="AA32" t="str">
            <v/>
          </cell>
          <cell r="AB32" t="e">
            <v>#N/A</v>
          </cell>
          <cell r="AC32" t="str">
            <v/>
          </cell>
          <cell r="AD32">
            <v>6875000</v>
          </cell>
          <cell r="AE32">
            <v>82500000</v>
          </cell>
          <cell r="AF32" t="str">
            <v/>
          </cell>
          <cell r="AG32">
            <v>0</v>
          </cell>
        </row>
        <row r="33">
          <cell r="A33">
            <v>31</v>
          </cell>
          <cell r="D33" t="str">
            <v/>
          </cell>
          <cell r="J33" t="str">
            <v/>
          </cell>
          <cell r="K33" t="e">
            <v>#N/A</v>
          </cell>
          <cell r="L33" t="str">
            <v/>
          </cell>
          <cell r="M33" t="str">
            <v/>
          </cell>
          <cell r="N33" t="e">
            <v>#N/A</v>
          </cell>
          <cell r="O33" t="e">
            <v>#N/A</v>
          </cell>
          <cell r="P33" t="e">
            <v>#N/A</v>
          </cell>
          <cell r="Q33" t="e">
            <v>#N/A</v>
          </cell>
          <cell r="R33" t="str">
            <v/>
          </cell>
          <cell r="S33" t="str">
            <v/>
          </cell>
          <cell r="U33" t="str">
            <v/>
          </cell>
          <cell r="Z33" t="str">
            <v/>
          </cell>
          <cell r="AA33" t="str">
            <v/>
          </cell>
          <cell r="AB33" t="e">
            <v>#N/A</v>
          </cell>
          <cell r="AC33" t="str">
            <v/>
          </cell>
          <cell r="AD33">
            <v>6875000</v>
          </cell>
          <cell r="AE33">
            <v>82500000</v>
          </cell>
          <cell r="AF33" t="str">
            <v/>
          </cell>
          <cell r="AG33">
            <v>0</v>
          </cell>
        </row>
        <row r="34">
          <cell r="A34">
            <v>32</v>
          </cell>
          <cell r="D34" t="str">
            <v/>
          </cell>
          <cell r="J34" t="str">
            <v/>
          </cell>
          <cell r="K34" t="e">
            <v>#N/A</v>
          </cell>
          <cell r="L34" t="str">
            <v/>
          </cell>
          <cell r="M34" t="str">
            <v/>
          </cell>
          <cell r="N34" t="e">
            <v>#N/A</v>
          </cell>
          <cell r="O34" t="e">
            <v>#N/A</v>
          </cell>
          <cell r="P34" t="e">
            <v>#N/A</v>
          </cell>
          <cell r="Q34" t="e">
            <v>#N/A</v>
          </cell>
          <cell r="R34" t="str">
            <v/>
          </cell>
          <cell r="S34" t="str">
            <v/>
          </cell>
          <cell r="U34" t="str">
            <v/>
          </cell>
          <cell r="Z34" t="str">
            <v/>
          </cell>
          <cell r="AA34" t="str">
            <v/>
          </cell>
          <cell r="AB34" t="e">
            <v>#N/A</v>
          </cell>
          <cell r="AC34" t="str">
            <v/>
          </cell>
          <cell r="AD34">
            <v>6875000</v>
          </cell>
          <cell r="AE34">
            <v>82500000</v>
          </cell>
          <cell r="AF34" t="str">
            <v/>
          </cell>
          <cell r="AG34">
            <v>0</v>
          </cell>
        </row>
        <row r="35">
          <cell r="A35">
            <v>33</v>
          </cell>
          <cell r="D35" t="str">
            <v/>
          </cell>
          <cell r="J35" t="str">
            <v/>
          </cell>
          <cell r="K35" t="e">
            <v>#N/A</v>
          </cell>
          <cell r="L35" t="str">
            <v/>
          </cell>
          <cell r="M35" t="str">
            <v/>
          </cell>
          <cell r="N35" t="e">
            <v>#N/A</v>
          </cell>
          <cell r="O35" t="e">
            <v>#N/A</v>
          </cell>
          <cell r="P35" t="e">
            <v>#N/A</v>
          </cell>
          <cell r="Q35" t="e">
            <v>#N/A</v>
          </cell>
          <cell r="R35" t="str">
            <v/>
          </cell>
          <cell r="S35" t="str">
            <v/>
          </cell>
          <cell r="U35" t="str">
            <v/>
          </cell>
          <cell r="Z35" t="str">
            <v/>
          </cell>
          <cell r="AA35" t="str">
            <v/>
          </cell>
          <cell r="AB35" t="e">
            <v>#N/A</v>
          </cell>
          <cell r="AC35" t="str">
            <v/>
          </cell>
          <cell r="AD35">
            <v>6875000</v>
          </cell>
          <cell r="AE35">
            <v>82500000</v>
          </cell>
          <cell r="AF35" t="str">
            <v/>
          </cell>
          <cell r="AG35">
            <v>0</v>
          </cell>
        </row>
        <row r="36">
          <cell r="A36">
            <v>34</v>
          </cell>
          <cell r="D36" t="str">
            <v/>
          </cell>
          <cell r="J36" t="str">
            <v/>
          </cell>
          <cell r="K36" t="e">
            <v>#N/A</v>
          </cell>
          <cell r="L36" t="str">
            <v/>
          </cell>
          <cell r="M36" t="str">
            <v/>
          </cell>
          <cell r="N36" t="e">
            <v>#N/A</v>
          </cell>
          <cell r="O36" t="e">
            <v>#N/A</v>
          </cell>
          <cell r="P36" t="e">
            <v>#N/A</v>
          </cell>
          <cell r="Q36" t="e">
            <v>#N/A</v>
          </cell>
          <cell r="R36" t="str">
            <v/>
          </cell>
          <cell r="S36" t="str">
            <v/>
          </cell>
          <cell r="U36" t="str">
            <v/>
          </cell>
          <cell r="Z36" t="str">
            <v/>
          </cell>
          <cell r="AA36" t="str">
            <v/>
          </cell>
          <cell r="AB36" t="e">
            <v>#N/A</v>
          </cell>
          <cell r="AC36" t="str">
            <v/>
          </cell>
          <cell r="AD36">
            <v>6875000</v>
          </cell>
          <cell r="AE36">
            <v>82500000</v>
          </cell>
          <cell r="AF36" t="str">
            <v/>
          </cell>
          <cell r="AG36">
            <v>0</v>
          </cell>
        </row>
        <row r="37">
          <cell r="A37">
            <v>35</v>
          </cell>
          <cell r="D37" t="str">
            <v/>
          </cell>
          <cell r="J37" t="str">
            <v/>
          </cell>
          <cell r="K37" t="e">
            <v>#N/A</v>
          </cell>
          <cell r="L37" t="str">
            <v/>
          </cell>
          <cell r="M37" t="str">
            <v/>
          </cell>
          <cell r="N37" t="e">
            <v>#N/A</v>
          </cell>
          <cell r="O37" t="e">
            <v>#N/A</v>
          </cell>
          <cell r="P37" t="e">
            <v>#N/A</v>
          </cell>
          <cell r="Q37" t="e">
            <v>#N/A</v>
          </cell>
          <cell r="R37" t="str">
            <v/>
          </cell>
          <cell r="S37" t="str">
            <v/>
          </cell>
          <cell r="U37" t="str">
            <v/>
          </cell>
          <cell r="Z37" t="str">
            <v/>
          </cell>
          <cell r="AA37" t="str">
            <v/>
          </cell>
          <cell r="AB37" t="e">
            <v>#N/A</v>
          </cell>
          <cell r="AC37" t="str">
            <v/>
          </cell>
          <cell r="AD37">
            <v>6875000</v>
          </cell>
          <cell r="AE37">
            <v>82500000</v>
          </cell>
          <cell r="AF37" t="str">
            <v/>
          </cell>
          <cell r="AG37">
            <v>0</v>
          </cell>
        </row>
        <row r="38">
          <cell r="A38">
            <v>36</v>
          </cell>
          <cell r="D38" t="str">
            <v/>
          </cell>
          <cell r="J38" t="str">
            <v/>
          </cell>
          <cell r="K38" t="e">
            <v>#N/A</v>
          </cell>
          <cell r="L38" t="str">
            <v/>
          </cell>
          <cell r="M38" t="str">
            <v/>
          </cell>
          <cell r="N38" t="e">
            <v>#N/A</v>
          </cell>
          <cell r="O38" t="e">
            <v>#N/A</v>
          </cell>
          <cell r="P38" t="e">
            <v>#N/A</v>
          </cell>
          <cell r="Q38" t="e">
            <v>#N/A</v>
          </cell>
          <cell r="R38" t="str">
            <v/>
          </cell>
          <cell r="S38" t="str">
            <v/>
          </cell>
          <cell r="U38" t="str">
            <v/>
          </cell>
          <cell r="Z38" t="str">
            <v/>
          </cell>
          <cell r="AA38" t="str">
            <v/>
          </cell>
          <cell r="AB38" t="e">
            <v>#N/A</v>
          </cell>
          <cell r="AC38" t="str">
            <v/>
          </cell>
          <cell r="AD38">
            <v>6875000</v>
          </cell>
          <cell r="AE38">
            <v>82500000</v>
          </cell>
          <cell r="AF38" t="str">
            <v/>
          </cell>
          <cell r="AG38">
            <v>0</v>
          </cell>
        </row>
        <row r="39">
          <cell r="A39">
            <v>37</v>
          </cell>
          <cell r="D39" t="str">
            <v/>
          </cell>
          <cell r="J39" t="str">
            <v/>
          </cell>
          <cell r="K39" t="e">
            <v>#N/A</v>
          </cell>
          <cell r="L39" t="str">
            <v/>
          </cell>
          <cell r="M39" t="str">
            <v/>
          </cell>
          <cell r="N39" t="e">
            <v>#N/A</v>
          </cell>
          <cell r="O39" t="e">
            <v>#N/A</v>
          </cell>
          <cell r="P39" t="e">
            <v>#N/A</v>
          </cell>
          <cell r="Q39" t="e">
            <v>#N/A</v>
          </cell>
          <cell r="R39" t="str">
            <v/>
          </cell>
          <cell r="S39" t="str">
            <v/>
          </cell>
          <cell r="U39" t="str">
            <v/>
          </cell>
          <cell r="Z39" t="str">
            <v/>
          </cell>
          <cell r="AA39" t="str">
            <v/>
          </cell>
          <cell r="AB39" t="e">
            <v>#N/A</v>
          </cell>
          <cell r="AC39" t="str">
            <v/>
          </cell>
          <cell r="AD39">
            <v>6875000</v>
          </cell>
          <cell r="AE39">
            <v>82500000</v>
          </cell>
          <cell r="AF39" t="str">
            <v/>
          </cell>
          <cell r="AG39">
            <v>0</v>
          </cell>
        </row>
        <row r="40">
          <cell r="A40">
            <v>38</v>
          </cell>
          <cell r="D40" t="str">
            <v/>
          </cell>
          <cell r="J40" t="str">
            <v/>
          </cell>
          <cell r="K40" t="e">
            <v>#N/A</v>
          </cell>
          <cell r="L40" t="str">
            <v/>
          </cell>
          <cell r="M40" t="str">
            <v/>
          </cell>
          <cell r="N40" t="e">
            <v>#N/A</v>
          </cell>
          <cell r="O40" t="e">
            <v>#N/A</v>
          </cell>
          <cell r="P40" t="e">
            <v>#N/A</v>
          </cell>
          <cell r="Q40" t="e">
            <v>#N/A</v>
          </cell>
          <cell r="R40" t="str">
            <v/>
          </cell>
          <cell r="S40" t="str">
            <v/>
          </cell>
          <cell r="U40" t="str">
            <v/>
          </cell>
          <cell r="Z40" t="str">
            <v/>
          </cell>
          <cell r="AA40" t="str">
            <v/>
          </cell>
          <cell r="AB40" t="e">
            <v>#N/A</v>
          </cell>
          <cell r="AC40" t="str">
            <v/>
          </cell>
          <cell r="AD40">
            <v>6875000</v>
          </cell>
          <cell r="AE40">
            <v>82500000</v>
          </cell>
          <cell r="AF40" t="str">
            <v/>
          </cell>
          <cell r="AG40">
            <v>0</v>
          </cell>
        </row>
        <row r="41">
          <cell r="A41">
            <v>39</v>
          </cell>
          <cell r="D41" t="str">
            <v/>
          </cell>
          <cell r="J41" t="str">
            <v/>
          </cell>
          <cell r="K41" t="e">
            <v>#N/A</v>
          </cell>
          <cell r="L41" t="str">
            <v/>
          </cell>
          <cell r="M41" t="str">
            <v/>
          </cell>
          <cell r="N41" t="e">
            <v>#N/A</v>
          </cell>
          <cell r="O41" t="e">
            <v>#N/A</v>
          </cell>
          <cell r="P41" t="e">
            <v>#N/A</v>
          </cell>
          <cell r="Q41" t="e">
            <v>#N/A</v>
          </cell>
          <cell r="R41" t="str">
            <v/>
          </cell>
          <cell r="S41" t="str">
            <v/>
          </cell>
          <cell r="U41" t="str">
            <v/>
          </cell>
          <cell r="Z41" t="str">
            <v/>
          </cell>
          <cell r="AA41" t="str">
            <v/>
          </cell>
          <cell r="AB41" t="e">
            <v>#N/A</v>
          </cell>
          <cell r="AC41" t="str">
            <v/>
          </cell>
          <cell r="AD41">
            <v>6875000</v>
          </cell>
          <cell r="AE41">
            <v>82500000</v>
          </cell>
          <cell r="AF41" t="str">
            <v/>
          </cell>
          <cell r="AG41">
            <v>0</v>
          </cell>
        </row>
        <row r="42">
          <cell r="A42">
            <v>40</v>
          </cell>
          <cell r="D42" t="str">
            <v/>
          </cell>
          <cell r="J42" t="str">
            <v/>
          </cell>
          <cell r="K42" t="e">
            <v>#N/A</v>
          </cell>
          <cell r="L42" t="str">
            <v/>
          </cell>
          <cell r="M42" t="str">
            <v/>
          </cell>
          <cell r="N42" t="e">
            <v>#N/A</v>
          </cell>
          <cell r="O42" t="e">
            <v>#N/A</v>
          </cell>
          <cell r="P42" t="e">
            <v>#N/A</v>
          </cell>
          <cell r="Q42" t="e">
            <v>#N/A</v>
          </cell>
          <cell r="R42" t="str">
            <v/>
          </cell>
          <cell r="S42" t="str">
            <v/>
          </cell>
          <cell r="U42" t="str">
            <v/>
          </cell>
          <cell r="Z42" t="str">
            <v/>
          </cell>
          <cell r="AA42" t="str">
            <v/>
          </cell>
          <cell r="AB42" t="e">
            <v>#N/A</v>
          </cell>
          <cell r="AC42" t="str">
            <v/>
          </cell>
          <cell r="AD42">
            <v>6875000</v>
          </cell>
          <cell r="AE42">
            <v>82500000</v>
          </cell>
          <cell r="AF42" t="str">
            <v/>
          </cell>
          <cell r="AG42">
            <v>0</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31C1-15EC-4E79-91DB-5843593739C0}">
  <dimension ref="A1:AC21"/>
  <sheetViews>
    <sheetView workbookViewId="0">
      <selection activeCell="K10" sqref="K10"/>
    </sheetView>
  </sheetViews>
  <sheetFormatPr defaultRowHeight="16.5"/>
  <cols>
    <col min="1" max="1" width="14.625" customWidth="1"/>
    <col min="2" max="2" width="10.75" customWidth="1"/>
    <col min="3" max="3" width="11.25" style="146" bestFit="1" customWidth="1"/>
    <col min="4" max="4" width="11.125" style="146" bestFit="1" customWidth="1"/>
    <col min="5" max="5" width="11.125" style="146" customWidth="1"/>
    <col min="7" max="7" width="9.25" bestFit="1" customWidth="1"/>
    <col min="9" max="9" width="9" customWidth="1"/>
    <col min="10" max="10" width="0" hidden="1" customWidth="1"/>
    <col min="11" max="11" width="11" customWidth="1"/>
    <col min="12" max="13" width="9" hidden="1" customWidth="1"/>
    <col min="14" max="15" width="13" customWidth="1"/>
    <col min="16" max="16" width="13.125" hidden="1" customWidth="1"/>
    <col min="17" max="17" width="10.625" hidden="1" customWidth="1"/>
    <col min="18" max="18" width="13.75" customWidth="1"/>
  </cols>
  <sheetData>
    <row r="1" spans="1:19" ht="36.75" customHeight="1">
      <c r="A1" s="346" t="s">
        <v>265</v>
      </c>
      <c r="B1" s="346"/>
      <c r="C1" s="346"/>
      <c r="D1" s="346"/>
      <c r="E1" s="346"/>
      <c r="F1" s="346"/>
      <c r="G1" s="346"/>
      <c r="H1" s="346"/>
      <c r="I1" s="346"/>
      <c r="J1" s="346"/>
      <c r="K1" s="346"/>
      <c r="L1" s="346"/>
      <c r="M1" s="346"/>
      <c r="N1" s="346"/>
      <c r="O1" s="346"/>
      <c r="P1" s="346"/>
      <c r="Q1" s="346"/>
      <c r="R1" s="346"/>
    </row>
    <row r="2" spans="1:19" ht="58.5" customHeight="1">
      <c r="A2" s="149" t="s">
        <v>279</v>
      </c>
      <c r="B2" s="150" t="s">
        <v>266</v>
      </c>
      <c r="C2" s="150" t="s">
        <v>267</v>
      </c>
      <c r="D2" s="150" t="s">
        <v>277</v>
      </c>
      <c r="E2" s="150" t="s">
        <v>278</v>
      </c>
      <c r="F2" s="151" t="s">
        <v>268</v>
      </c>
      <c r="G2" s="151" t="s">
        <v>269</v>
      </c>
      <c r="H2" s="149" t="s">
        <v>308</v>
      </c>
      <c r="I2" s="149" t="s">
        <v>306</v>
      </c>
      <c r="J2" s="149" t="s">
        <v>270</v>
      </c>
      <c r="K2" s="149" t="s">
        <v>307</v>
      </c>
      <c r="L2" s="149" t="s">
        <v>271</v>
      </c>
      <c r="M2" s="149" t="s">
        <v>272</v>
      </c>
      <c r="N2" s="149" t="s">
        <v>288</v>
      </c>
      <c r="O2" s="149" t="s">
        <v>98</v>
      </c>
      <c r="P2" s="149" t="s">
        <v>289</v>
      </c>
      <c r="Q2" s="149" t="s">
        <v>282</v>
      </c>
      <c r="R2" s="149" t="s">
        <v>295</v>
      </c>
    </row>
    <row r="3" spans="1:19" ht="41.25" customHeight="1">
      <c r="A3" s="160" t="s">
        <v>312</v>
      </c>
      <c r="B3" s="161">
        <v>0.375</v>
      </c>
      <c r="C3" s="161">
        <v>0.75</v>
      </c>
      <c r="D3" s="162">
        <v>0.5</v>
      </c>
      <c r="E3" s="162">
        <v>0.54166666666666663</v>
      </c>
      <c r="F3" s="163" t="s">
        <v>273</v>
      </c>
      <c r="G3" s="163" t="s">
        <v>274</v>
      </c>
      <c r="H3" s="160">
        <v>8</v>
      </c>
      <c r="I3" s="160">
        <v>5</v>
      </c>
      <c r="J3" s="160">
        <v>0</v>
      </c>
      <c r="K3" s="160">
        <v>0</v>
      </c>
      <c r="L3" s="147">
        <v>0</v>
      </c>
      <c r="M3" s="147">
        <v>0</v>
      </c>
      <c r="N3" s="157">
        <f t="shared" ref="N3:N7" si="0">ROUNDUP(H3*6*365/12/7,0)</f>
        <v>209</v>
      </c>
      <c r="O3" s="157">
        <f>I3*4.345*1.5</f>
        <v>32.587499999999999</v>
      </c>
      <c r="P3" s="157">
        <f>K3*1.5</f>
        <v>0</v>
      </c>
      <c r="Q3" s="164">
        <v>0</v>
      </c>
      <c r="R3" s="158">
        <f>SUM(N3:Q3)</f>
        <v>241.58750000000001</v>
      </c>
    </row>
    <row r="4" spans="1:19" ht="41.25" hidden="1" customHeight="1">
      <c r="A4" s="164"/>
      <c r="B4" s="161"/>
      <c r="C4" s="161"/>
      <c r="D4" s="165"/>
      <c r="E4" s="165"/>
      <c r="F4" s="163" t="s">
        <v>273</v>
      </c>
      <c r="G4" s="163" t="s">
        <v>274</v>
      </c>
      <c r="H4" s="160">
        <v>8</v>
      </c>
      <c r="I4" s="160">
        <v>0</v>
      </c>
      <c r="J4" s="160">
        <v>0</v>
      </c>
      <c r="K4" s="160">
        <v>0</v>
      </c>
      <c r="L4" s="147">
        <v>0</v>
      </c>
      <c r="M4" s="147">
        <v>0</v>
      </c>
      <c r="N4" s="157">
        <f t="shared" si="0"/>
        <v>209</v>
      </c>
      <c r="O4" s="157">
        <f t="shared" ref="O4:O7" si="1">I4*4.345*1.5</f>
        <v>0</v>
      </c>
      <c r="P4" s="157">
        <f t="shared" ref="P4:P7" si="2">K4*1.5</f>
        <v>0</v>
      </c>
      <c r="Q4" s="164">
        <f t="shared" ref="Q4" si="3">J4*5*365/12/7*0.5</f>
        <v>0</v>
      </c>
      <c r="R4" s="158">
        <f>SUM(N4:Q4)</f>
        <v>209</v>
      </c>
    </row>
    <row r="5" spans="1:19" ht="41.25" customHeight="1">
      <c r="A5" s="160" t="s">
        <v>313</v>
      </c>
      <c r="B5" s="161">
        <v>0.29166666666666669</v>
      </c>
      <c r="C5" s="250">
        <v>0.79166666666666663</v>
      </c>
      <c r="D5" s="162" t="s">
        <v>372</v>
      </c>
      <c r="E5" s="162" t="s">
        <v>373</v>
      </c>
      <c r="F5" s="163" t="s">
        <v>273</v>
      </c>
      <c r="G5" s="165" t="s">
        <v>333</v>
      </c>
      <c r="H5" s="160">
        <v>8</v>
      </c>
      <c r="I5" s="160">
        <v>41.3</v>
      </c>
      <c r="J5" s="160">
        <v>0</v>
      </c>
      <c r="K5" s="160">
        <v>0</v>
      </c>
      <c r="L5" s="147">
        <v>0</v>
      </c>
      <c r="M5" s="147">
        <v>0</v>
      </c>
      <c r="N5" s="157">
        <f t="shared" si="0"/>
        <v>209</v>
      </c>
      <c r="O5" s="157">
        <f>I5*1.5</f>
        <v>61.949999999999996</v>
      </c>
      <c r="P5" s="157">
        <f t="shared" si="2"/>
        <v>0</v>
      </c>
      <c r="Q5" s="164">
        <v>0</v>
      </c>
      <c r="R5" s="158">
        <f>SUM(N5:Q5)</f>
        <v>270.95</v>
      </c>
      <c r="S5" s="165" t="s">
        <v>333</v>
      </c>
    </row>
    <row r="6" spans="1:19" ht="41.25" hidden="1" customHeight="1">
      <c r="A6" s="164" t="s">
        <v>303</v>
      </c>
      <c r="B6" s="161">
        <v>0.375</v>
      </c>
      <c r="C6" s="250">
        <v>0.79166666666666663</v>
      </c>
      <c r="D6" s="162">
        <v>0.5</v>
      </c>
      <c r="E6" s="162">
        <v>0.54166666666666663</v>
      </c>
      <c r="F6" s="163" t="s">
        <v>273</v>
      </c>
      <c r="G6" s="163" t="s">
        <v>332</v>
      </c>
      <c r="H6" s="160">
        <v>8</v>
      </c>
      <c r="I6" s="160">
        <v>0</v>
      </c>
      <c r="J6" s="160">
        <v>0</v>
      </c>
      <c r="K6" s="160">
        <v>0</v>
      </c>
      <c r="L6" s="148">
        <v>0</v>
      </c>
      <c r="M6" s="148">
        <v>0</v>
      </c>
      <c r="N6" s="157">
        <f t="shared" si="0"/>
        <v>209</v>
      </c>
      <c r="O6" s="157">
        <f t="shared" si="1"/>
        <v>0</v>
      </c>
      <c r="P6" s="157">
        <f t="shared" si="2"/>
        <v>0</v>
      </c>
      <c r="Q6" s="164">
        <v>0</v>
      </c>
      <c r="R6" s="159">
        <f>SUM(N6:Q6)</f>
        <v>209</v>
      </c>
    </row>
    <row r="7" spans="1:19" ht="41.25" hidden="1" customHeight="1">
      <c r="A7" s="164" t="s">
        <v>304</v>
      </c>
      <c r="B7" s="161">
        <v>0.375</v>
      </c>
      <c r="C7" s="161">
        <v>0.75</v>
      </c>
      <c r="D7" s="162">
        <v>0.5</v>
      </c>
      <c r="E7" s="162">
        <v>0.54166666666666663</v>
      </c>
      <c r="F7" s="163" t="s">
        <v>273</v>
      </c>
      <c r="G7" s="163" t="s">
        <v>276</v>
      </c>
      <c r="H7" s="160">
        <v>8</v>
      </c>
      <c r="I7" s="160">
        <v>0</v>
      </c>
      <c r="J7" s="160">
        <v>0</v>
      </c>
      <c r="K7" s="160">
        <v>0</v>
      </c>
      <c r="L7" s="147">
        <v>0</v>
      </c>
      <c r="M7" s="147">
        <v>0</v>
      </c>
      <c r="N7" s="157">
        <f t="shared" si="0"/>
        <v>209</v>
      </c>
      <c r="O7" s="157">
        <f t="shared" si="1"/>
        <v>0</v>
      </c>
      <c r="P7" s="157">
        <f t="shared" si="2"/>
        <v>0</v>
      </c>
      <c r="Q7" s="164">
        <v>0</v>
      </c>
      <c r="R7" s="158">
        <f>SUM(N7:Q7)</f>
        <v>209</v>
      </c>
    </row>
    <row r="12" spans="1:19" ht="36.75" customHeight="1">
      <c r="A12" s="349" t="s">
        <v>302</v>
      </c>
      <c r="B12" s="349"/>
      <c r="C12" s="349"/>
      <c r="D12" s="349"/>
      <c r="E12" s="349"/>
      <c r="F12" s="349"/>
      <c r="G12" s="349"/>
      <c r="H12" s="349"/>
      <c r="I12" s="349"/>
      <c r="J12" s="349"/>
      <c r="K12" s="349"/>
      <c r="L12" s="349"/>
      <c r="M12" s="349"/>
      <c r="N12" s="349"/>
      <c r="O12" s="349"/>
      <c r="P12" s="349"/>
      <c r="Q12" s="349"/>
      <c r="R12" s="349"/>
    </row>
    <row r="14" spans="1:19">
      <c r="A14" s="347" t="s">
        <v>298</v>
      </c>
      <c r="B14" s="347"/>
      <c r="C14" s="347"/>
      <c r="D14" s="348" t="s">
        <v>314</v>
      </c>
      <c r="E14" s="348"/>
      <c r="F14" s="348"/>
      <c r="G14" s="348"/>
      <c r="H14" s="348"/>
      <c r="I14" s="348"/>
    </row>
    <row r="15" spans="1:19">
      <c r="A15" s="347" t="s">
        <v>299</v>
      </c>
      <c r="B15" s="347"/>
      <c r="C15" s="347"/>
      <c r="D15" s="348" t="s">
        <v>315</v>
      </c>
      <c r="E15" s="348"/>
      <c r="F15" s="348"/>
      <c r="G15" s="348"/>
      <c r="H15" s="348"/>
      <c r="I15" s="348"/>
    </row>
    <row r="16" spans="1:19">
      <c r="A16" s="347" t="s">
        <v>300</v>
      </c>
      <c r="B16" s="347"/>
      <c r="C16" s="347"/>
      <c r="D16" s="348" t="s">
        <v>316</v>
      </c>
      <c r="E16" s="348"/>
      <c r="F16" s="348"/>
      <c r="G16" s="348"/>
      <c r="H16" s="348"/>
      <c r="I16" s="348"/>
    </row>
    <row r="17" spans="1:29">
      <c r="A17" s="347" t="s">
        <v>301</v>
      </c>
      <c r="B17" s="347"/>
      <c r="C17" s="347"/>
      <c r="D17" s="348" t="s">
        <v>317</v>
      </c>
      <c r="E17" s="348"/>
      <c r="F17" s="348"/>
      <c r="G17" s="348"/>
      <c r="H17" s="348"/>
      <c r="I17" s="348"/>
    </row>
    <row r="21" spans="1:29">
      <c r="AC21">
        <v>1</v>
      </c>
    </row>
  </sheetData>
  <mergeCells count="10">
    <mergeCell ref="A16:C16"/>
    <mergeCell ref="D16:I16"/>
    <mergeCell ref="A17:C17"/>
    <mergeCell ref="D17:I17"/>
    <mergeCell ref="A12:R12"/>
    <mergeCell ref="A1:R1"/>
    <mergeCell ref="A14:C14"/>
    <mergeCell ref="D14:I14"/>
    <mergeCell ref="A15:C15"/>
    <mergeCell ref="D15:I15"/>
  </mergeCells>
  <phoneticPr fontId="4" type="noConversion"/>
  <dataValidations count="1">
    <dataValidation type="custom" allowBlank="1" showInputMessage="1" showErrorMessage="1" sqref="F13:F1048576 F2:F11" xr:uid="{36DC3533-2488-4681-A2B5-A5E85CB341FD}">
      <formula1>"O1:O2"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58CDD-CB7E-4CAE-B5DD-74092B562968}">
  <sheetPr>
    <pageSetUpPr fitToPage="1"/>
  </sheetPr>
  <dimension ref="A1:BL18"/>
  <sheetViews>
    <sheetView zoomScaleNormal="100" workbookViewId="0">
      <pane xSplit="2" topLeftCell="I1" activePane="topRight" state="frozen"/>
      <selection activeCell="AC21" sqref="AC21:AD21"/>
      <selection pane="topRight" activeCell="L18" sqref="L18"/>
    </sheetView>
  </sheetViews>
  <sheetFormatPr defaultRowHeight="24" customHeight="1"/>
  <cols>
    <col min="1" max="1" width="6.25" style="284" customWidth="1"/>
    <col min="2" max="2" width="10.875" style="284" customWidth="1"/>
    <col min="3" max="3" width="20.375" style="284" customWidth="1"/>
    <col min="4" max="4" width="9.125" style="284" customWidth="1"/>
    <col min="5" max="6" width="12" style="284" customWidth="1"/>
    <col min="7" max="7" width="10.75" style="284" customWidth="1"/>
    <col min="8" max="8" width="14" style="284" bestFit="1" customWidth="1"/>
    <col min="9" max="9" width="10" style="284" customWidth="1"/>
    <col min="10" max="10" width="14.75" style="284" customWidth="1"/>
    <col min="11" max="11" width="8.875" style="284" customWidth="1"/>
    <col min="12" max="12" width="10" style="284" customWidth="1"/>
    <col min="13" max="13" width="10.125" style="284" customWidth="1"/>
    <col min="14" max="14" width="7" style="284" hidden="1" customWidth="1"/>
    <col min="15" max="15" width="7.125" style="284" hidden="1" customWidth="1"/>
    <col min="16" max="17" width="7.25" style="284" hidden="1" customWidth="1"/>
    <col min="18" max="18" width="13.125" style="284" customWidth="1"/>
    <col min="19" max="19" width="11.375" style="284" customWidth="1"/>
    <col min="20" max="20" width="16.25" style="284" hidden="1" customWidth="1"/>
    <col min="21" max="21" width="13.5" style="284" customWidth="1"/>
    <col min="22" max="22" width="12.5" style="296" customWidth="1"/>
    <col min="23" max="23" width="12.5" style="296" hidden="1" customWidth="1"/>
    <col min="24" max="24" width="10.375" style="296" customWidth="1"/>
    <col min="25" max="25" width="11.25" style="296" customWidth="1"/>
    <col min="26" max="26" width="11.75" style="296" customWidth="1"/>
    <col min="27" max="27" width="11.625" style="296" customWidth="1"/>
    <col min="28" max="28" width="11" style="296" hidden="1" customWidth="1"/>
    <col min="29" max="29" width="11.75" style="296" customWidth="1"/>
    <col min="30" max="30" width="16.25" style="296" customWidth="1"/>
    <col min="31" max="32" width="13.25" style="284" customWidth="1"/>
    <col min="33" max="33" width="18.375" style="284" customWidth="1"/>
    <col min="34" max="34" width="16.125" style="284" bestFit="1" customWidth="1"/>
    <col min="35" max="35" width="13.625" style="297" customWidth="1"/>
    <col min="36" max="36" width="13.375" style="284" customWidth="1"/>
    <col min="37" max="16384" width="9" style="284"/>
  </cols>
  <sheetData>
    <row r="1" spans="1:64" s="276" customFormat="1" ht="24" customHeight="1" thickBot="1">
      <c r="A1" s="352" t="s">
        <v>305</v>
      </c>
      <c r="B1" s="352"/>
      <c r="C1" s="352"/>
      <c r="D1" s="352"/>
      <c r="E1" s="352"/>
      <c r="F1" s="352"/>
      <c r="G1" s="352"/>
      <c r="H1" s="352"/>
      <c r="I1" s="352"/>
      <c r="J1" s="353" t="s">
        <v>261</v>
      </c>
      <c r="K1" s="353"/>
      <c r="L1" s="353"/>
      <c r="M1" s="353"/>
      <c r="N1" s="353"/>
      <c r="O1" s="353"/>
      <c r="P1" s="353"/>
      <c r="Q1" s="353"/>
      <c r="R1" s="353"/>
      <c r="S1" s="353"/>
      <c r="T1" s="353"/>
      <c r="U1" s="353"/>
      <c r="V1" s="355" t="s">
        <v>338</v>
      </c>
      <c r="W1" s="355"/>
      <c r="X1" s="355"/>
      <c r="Y1" s="355"/>
      <c r="Z1" s="316"/>
      <c r="AA1" s="316"/>
      <c r="AB1" s="355" t="s">
        <v>338</v>
      </c>
      <c r="AC1" s="355"/>
      <c r="AD1" s="273" t="s">
        <v>260</v>
      </c>
      <c r="AE1" s="353" t="s">
        <v>261</v>
      </c>
      <c r="AF1" s="353"/>
      <c r="AG1" s="354"/>
      <c r="AH1" s="274" t="s">
        <v>297</v>
      </c>
      <c r="AI1" s="274" t="s">
        <v>291</v>
      </c>
      <c r="AJ1" s="274" t="s">
        <v>292</v>
      </c>
      <c r="AK1" s="275"/>
      <c r="AL1" s="275"/>
      <c r="AM1" s="275"/>
      <c r="AN1" s="275"/>
      <c r="AO1" s="275"/>
      <c r="AP1" s="275"/>
      <c r="AQ1" s="275"/>
      <c r="AR1" s="275"/>
      <c r="AS1" s="275"/>
      <c r="AT1" s="275"/>
      <c r="AU1" s="275"/>
      <c r="AV1" s="275"/>
      <c r="AW1" s="275"/>
      <c r="AX1" s="275"/>
      <c r="AY1" s="275"/>
      <c r="AZ1" s="275"/>
      <c r="BA1" s="275"/>
      <c r="BB1" s="275"/>
      <c r="BC1" s="275"/>
      <c r="BD1" s="275"/>
      <c r="BE1" s="275"/>
      <c r="BF1" s="275"/>
      <c r="BG1" s="275"/>
      <c r="BH1" s="275"/>
      <c r="BI1" s="275"/>
      <c r="BJ1" s="275"/>
      <c r="BK1" s="275"/>
      <c r="BL1" s="275"/>
    </row>
    <row r="2" spans="1:64" ht="42" customHeight="1">
      <c r="A2" s="277"/>
      <c r="B2" s="278" t="s">
        <v>62</v>
      </c>
      <c r="C2" s="278" t="s">
        <v>253</v>
      </c>
      <c r="D2" s="300" t="s">
        <v>310</v>
      </c>
      <c r="E2" s="278" t="s">
        <v>93</v>
      </c>
      <c r="F2" s="278" t="s">
        <v>286</v>
      </c>
      <c r="G2" s="278" t="s">
        <v>252</v>
      </c>
      <c r="H2" s="278" t="s">
        <v>275</v>
      </c>
      <c r="I2" s="278" t="s">
        <v>251</v>
      </c>
      <c r="J2" s="302" t="s">
        <v>259</v>
      </c>
      <c r="K2" s="302" t="s">
        <v>258</v>
      </c>
      <c r="L2" s="303" t="s">
        <v>63</v>
      </c>
      <c r="M2" s="303" t="s">
        <v>64</v>
      </c>
      <c r="N2" s="350" t="s">
        <v>249</v>
      </c>
      <c r="O2" s="351"/>
      <c r="P2" s="350" t="s">
        <v>250</v>
      </c>
      <c r="Q2" s="351"/>
      <c r="R2" s="303" t="s">
        <v>75</v>
      </c>
      <c r="S2" s="302" t="s">
        <v>319</v>
      </c>
      <c r="T2" s="304"/>
      <c r="U2" s="303" t="s">
        <v>65</v>
      </c>
      <c r="V2" s="314" t="s">
        <v>49</v>
      </c>
      <c r="W2" s="304"/>
      <c r="X2" s="314" t="s">
        <v>66</v>
      </c>
      <c r="Y2" s="314" t="s">
        <v>67</v>
      </c>
      <c r="Z2" s="304" t="s">
        <v>256</v>
      </c>
      <c r="AA2" s="305" t="s">
        <v>320</v>
      </c>
      <c r="AB2" s="279"/>
      <c r="AC2" s="280" t="s">
        <v>337</v>
      </c>
      <c r="AD2" s="280" t="s">
        <v>68</v>
      </c>
      <c r="AE2" s="281" t="s">
        <v>69</v>
      </c>
      <c r="AF2" s="281" t="s">
        <v>84</v>
      </c>
      <c r="AG2" s="282" t="s">
        <v>99</v>
      </c>
      <c r="AH2" s="283" t="s">
        <v>293</v>
      </c>
      <c r="AI2" s="283">
        <v>10030</v>
      </c>
      <c r="AJ2" s="283">
        <v>10320</v>
      </c>
    </row>
    <row r="3" spans="1:64" ht="24" customHeight="1">
      <c r="A3" s="285">
        <v>1</v>
      </c>
      <c r="B3" s="286" t="s">
        <v>317</v>
      </c>
      <c r="C3" s="287">
        <v>8106200000000</v>
      </c>
      <c r="D3" s="301">
        <f ca="1">IFERROR(DATEDIF(DATE(IF(VALUE(MID(C3,8,1))&lt;3,1900,2000)+VALUE(LEFT(C3,2)),VALUE(MID(C3,3,2)),VALUE(MID(C3,5,2))),TODAY(),"Y"),"")</f>
        <v>44</v>
      </c>
      <c r="E3" s="288" t="s">
        <v>326</v>
      </c>
      <c r="F3" s="288"/>
      <c r="G3" s="286" t="s">
        <v>330</v>
      </c>
      <c r="H3" s="286" t="s">
        <v>323</v>
      </c>
      <c r="I3" s="286" t="s">
        <v>96</v>
      </c>
      <c r="J3" s="306" t="str">
        <f>IFERROR(VLOOKUP(H3,급여셋팅!$A$3:$R$7,6,0),"")</f>
        <v>월~금</v>
      </c>
      <c r="K3" s="306">
        <f>VLOOKUP(H3,급여셋팅!$A$3:$R$7,8,0)</f>
        <v>8</v>
      </c>
      <c r="L3" s="307">
        <f>IFERROR(AD3/M3,"")</f>
        <v>32894.73684210526</v>
      </c>
      <c r="M3" s="308">
        <v>209</v>
      </c>
      <c r="N3" s="309">
        <f>VLOOKUP(H3,급여셋팅!$A$3:$R$7,2,0)</f>
        <v>0.375</v>
      </c>
      <c r="O3" s="309">
        <f>VLOOKUP(H3,급여셋팅!$A$3:$R$7,3,0)</f>
        <v>0.75</v>
      </c>
      <c r="P3" s="309">
        <f>VLOOKUP(H3,급여셋팅!$A$3:$R$7,4,0)</f>
        <v>0.5</v>
      </c>
      <c r="Q3" s="309">
        <f>VLOOKUP(H3,급여셋팅!$A$3:$R$7,5,0)</f>
        <v>0.54166666666666663</v>
      </c>
      <c r="R3" s="310">
        <v>0</v>
      </c>
      <c r="S3" s="338">
        <f>연장추가근로시!H3</f>
        <v>0</v>
      </c>
      <c r="T3" s="311"/>
      <c r="U3" s="312">
        <f>IFERROR(AD3-X3-Y3-Z3-AC3,"")</f>
        <v>6475000</v>
      </c>
      <c r="V3" s="315"/>
      <c r="W3" s="312"/>
      <c r="X3" s="315">
        <v>200000</v>
      </c>
      <c r="Y3" s="315">
        <v>200000</v>
      </c>
      <c r="Z3" s="153">
        <f t="shared" ref="Z3:Z8" si="0">IFERROR(L3*R3,"")</f>
        <v>0</v>
      </c>
      <c r="AA3" s="153">
        <f>IFERROR(L3*S3*1.5,"")</f>
        <v>0</v>
      </c>
      <c r="AB3" s="272">
        <f>VLOOKUP(H3,급여셋팅!$A$3:$R$7,17,0)</f>
        <v>0</v>
      </c>
      <c r="AC3" s="289"/>
      <c r="AD3" s="152">
        <v>6875000</v>
      </c>
      <c r="AE3" s="154">
        <f>IFERROR(ROUNDDOWN(AD3*12,-1),"")</f>
        <v>82500000</v>
      </c>
      <c r="AF3" s="290">
        <f>IFERROR(SUM(U3:AC3)-AB3,"")</f>
        <v>6875000</v>
      </c>
      <c r="AG3" s="291">
        <f>IFERROR(SUM(U3,X3,Y3),"")</f>
        <v>6875000</v>
      </c>
      <c r="AH3" s="283" t="s">
        <v>294</v>
      </c>
      <c r="AI3" s="283">
        <f>AI2*209</f>
        <v>2096270</v>
      </c>
      <c r="AJ3" s="283">
        <f>AJ2*209</f>
        <v>2156880</v>
      </c>
    </row>
    <row r="4" spans="1:64" s="20" customFormat="1" ht="24" customHeight="1">
      <c r="A4" s="292">
        <v>2</v>
      </c>
      <c r="B4" s="286" t="s">
        <v>325</v>
      </c>
      <c r="C4" s="287">
        <v>7805200000000</v>
      </c>
      <c r="D4" s="301">
        <f t="shared" ref="D4:D8" ca="1" si="1">IFERROR(DATEDIF(DATE(IF(MID(C4,7,1)*1&lt;3,1900,2000)+LEFT(C4,2),
      MID(C4,3,2),
      MID(C4,5,2)
    ),
    TODAY(),
    "Y"
  ),
"")</f>
        <v>47</v>
      </c>
      <c r="E4" s="288" t="s">
        <v>327</v>
      </c>
      <c r="F4" s="288"/>
      <c r="G4" s="286" t="s">
        <v>331</v>
      </c>
      <c r="H4" s="286" t="s">
        <v>323</v>
      </c>
      <c r="I4" s="286" t="s">
        <v>96</v>
      </c>
      <c r="J4" s="306" t="str">
        <f>IFERROR(VLOOKUP(H4,급여셋팅!$A$3:$R$7,6,0),"")</f>
        <v>월~금</v>
      </c>
      <c r="K4" s="306">
        <f>VLOOKUP(H4,급여셋팅!$A$3:$R$7,8,0)</f>
        <v>8</v>
      </c>
      <c r="L4" s="307">
        <f t="shared" ref="L4:L8" si="2">IFERROR(AD4/M4,"")</f>
        <v>32966.507177033491</v>
      </c>
      <c r="M4" s="308">
        <v>209</v>
      </c>
      <c r="N4" s="309">
        <f>VLOOKUP(H4,급여셋팅!$A$3:$R$7,2,0)</f>
        <v>0.375</v>
      </c>
      <c r="O4" s="309">
        <f>VLOOKUP(H4,급여셋팅!$A$3:$R$7,3,0)</f>
        <v>0.75</v>
      </c>
      <c r="P4" s="309">
        <f>VLOOKUP(H4,급여셋팅!$A$3:$R$7,4,0)</f>
        <v>0.5</v>
      </c>
      <c r="Q4" s="309">
        <f>VLOOKUP(H4,급여셋팅!$A$3:$R$7,5,0)</f>
        <v>0.54166666666666663</v>
      </c>
      <c r="R4" s="310">
        <v>0</v>
      </c>
      <c r="S4" s="338">
        <f>연장추가근로시!H4</f>
        <v>0</v>
      </c>
      <c r="T4" s="311"/>
      <c r="U4" s="312">
        <f t="shared" ref="U4:U8" si="3">IFERROR(AD4-X4-Y4-Z4-AC4,"")</f>
        <v>6875000</v>
      </c>
      <c r="V4" s="315"/>
      <c r="W4" s="313"/>
      <c r="X4" s="315"/>
      <c r="Y4" s="315"/>
      <c r="Z4" s="153">
        <f t="shared" si="0"/>
        <v>0</v>
      </c>
      <c r="AA4" s="153">
        <f t="shared" ref="AA4:AA8" si="4">IFERROR(L4*S4,"")</f>
        <v>0</v>
      </c>
      <c r="AB4" s="272">
        <f>VLOOKUP(H4,급여셋팅!$A$3:$R$7,17,0)</f>
        <v>0</v>
      </c>
      <c r="AC4" s="289">
        <v>15000</v>
      </c>
      <c r="AD4" s="152">
        <v>6890000</v>
      </c>
      <c r="AE4" s="154">
        <f t="shared" ref="AE4:AE8" si="5">IFERROR(ROUNDDOWN(AD4*12,-1),"")</f>
        <v>82680000</v>
      </c>
      <c r="AF4" s="290">
        <f t="shared" ref="AF4:AF8" si="6">IFERROR(SUM(U4:AC4)-AB4,"")</f>
        <v>6890000</v>
      </c>
      <c r="AG4" s="291">
        <f t="shared" ref="AG4:AG8" si="7">IFERROR(SUM(U4,X4,Y4),"")</f>
        <v>6875000</v>
      </c>
      <c r="AI4" s="28"/>
    </row>
    <row r="5" spans="1:64" s="20" customFormat="1" ht="24" customHeight="1">
      <c r="A5" s="292">
        <v>3</v>
      </c>
      <c r="B5" s="144" t="s">
        <v>328</v>
      </c>
      <c r="C5" s="293">
        <v>9805180000000</v>
      </c>
      <c r="D5" s="301">
        <f t="shared" ref="D5" ca="1" si="8">IFERROR(DATEDIF(DATE(IF(MID(C5,7,1)*1&lt;3,1900,2000)+LEFT(C5,2),
      MID(C5,3,2),
      MID(C5,5,2)
    ),
    TODAY(),
    "Y"
  ),
"")</f>
        <v>27</v>
      </c>
      <c r="E5" s="143" t="s">
        <v>329</v>
      </c>
      <c r="F5" s="143"/>
      <c r="G5" s="286" t="s">
        <v>335</v>
      </c>
      <c r="H5" s="294" t="s">
        <v>334</v>
      </c>
      <c r="I5" s="294" t="s">
        <v>336</v>
      </c>
      <c r="J5" s="306" t="s">
        <v>345</v>
      </c>
      <c r="K5" s="306">
        <f>VLOOKUP(H5,급여셋팅!$A$3:$R$7,8,0)</f>
        <v>8</v>
      </c>
      <c r="L5" s="307">
        <f t="shared" ref="L5" si="9">IFERROR(AD5/M5,"")</f>
        <v>14516.848126960695</v>
      </c>
      <c r="M5" s="308">
        <f>IFERROR(VLOOKUP(H5,급여셋팅!$A$3:$R$7,18,0),"")</f>
        <v>270.95</v>
      </c>
      <c r="N5" s="309">
        <f>VLOOKUP(H5,급여셋팅!$A$3:$R$7,2,0)</f>
        <v>0.29166666666666669</v>
      </c>
      <c r="O5" s="309">
        <f>VLOOKUP(H5,급여셋팅!$A$3:$R$7,3,0)</f>
        <v>0.79166666666666663</v>
      </c>
      <c r="P5" s="309" t="str">
        <f>VLOOKUP(H5,급여셋팅!$A$3:$R$7,4,0)</f>
        <v>12:00/ 15:00</v>
      </c>
      <c r="Q5" s="309" t="str">
        <f>VLOOKUP(H5,급여셋팅!$A$3:$R$7,5,0)</f>
        <v>13:00/16:00</v>
      </c>
      <c r="R5" s="310">
        <f>IFERROR(VLOOKUP(H5,급여셋팅!$A$3:$R$7,15,0),"")</f>
        <v>61.949999999999996</v>
      </c>
      <c r="S5" s="338">
        <f>연장추가근로시!H5</f>
        <v>0</v>
      </c>
      <c r="T5" s="311"/>
      <c r="U5" s="312">
        <f t="shared" ref="U5" si="10">IFERROR(AD5-X5-Y5-Z5-AC5,"")</f>
        <v>2834021.2585347849</v>
      </c>
      <c r="V5" s="315"/>
      <c r="W5" s="313"/>
      <c r="X5" s="315">
        <v>200000</v>
      </c>
      <c r="Y5" s="315"/>
      <c r="Z5" s="153">
        <f t="shared" ref="Z5" si="11">IFERROR(L5*R5,"")</f>
        <v>899318.74146521499</v>
      </c>
      <c r="AA5" s="153">
        <f t="shared" ref="AA5" si="12">IFERROR(L5*S5,"")</f>
        <v>0</v>
      </c>
      <c r="AB5" s="272">
        <f>VLOOKUP(H5,급여셋팅!$A$3:$R$7,17,0)</f>
        <v>0</v>
      </c>
      <c r="AC5" s="289"/>
      <c r="AD5" s="152">
        <v>3933340</v>
      </c>
      <c r="AE5" s="154">
        <f t="shared" si="5"/>
        <v>47200080</v>
      </c>
      <c r="AF5" s="290">
        <f t="shared" si="6"/>
        <v>3933340</v>
      </c>
      <c r="AG5" s="291">
        <f t="shared" si="7"/>
        <v>3034021.2585347849</v>
      </c>
      <c r="AI5" s="28"/>
    </row>
    <row r="6" spans="1:64" s="20" customFormat="1" ht="24" customHeight="1">
      <c r="A6" s="292">
        <v>4</v>
      </c>
      <c r="B6" s="286" t="s">
        <v>383</v>
      </c>
      <c r="C6" s="287" t="s">
        <v>384</v>
      </c>
      <c r="D6" s="301">
        <f ca="1">IFERROR(DATEDIF(DATE(IF(VALUE(MID(C6,8,1))&lt;3,1900,2000)+VALUE(LEFT(C6,2)),VALUE(MID(C6,3,2)),VALUE(MID(C6,5,2))),TODAY(),"Y"),"")</f>
        <v>25</v>
      </c>
      <c r="E6" s="143" t="s">
        <v>382</v>
      </c>
      <c r="F6" s="143"/>
      <c r="G6" s="286" t="s">
        <v>335</v>
      </c>
      <c r="H6" s="286" t="s">
        <v>323</v>
      </c>
      <c r="I6" s="286" t="s">
        <v>324</v>
      </c>
      <c r="J6" s="306" t="str">
        <f>IFERROR(VLOOKUP(H6,급여셋팅!$A$3:$R$7,6,0),"")</f>
        <v>월~금</v>
      </c>
      <c r="K6" s="306">
        <f>VLOOKUP(H6,급여셋팅!$A$3:$R$7,8,0)</f>
        <v>8</v>
      </c>
      <c r="L6" s="307">
        <f t="shared" si="2"/>
        <v>10320</v>
      </c>
      <c r="M6" s="308">
        <f>IFERROR(VLOOKUP(H6,급여셋팅!$A$3:$R$7,18,0),"")</f>
        <v>241.58750000000001</v>
      </c>
      <c r="N6" s="309">
        <f>VLOOKUP(H6,급여셋팅!$A$3:$R$7,2,0)</f>
        <v>0.375</v>
      </c>
      <c r="O6" s="309">
        <f>VLOOKUP(H6,급여셋팅!$A$3:$R$7,3,0)</f>
        <v>0.75</v>
      </c>
      <c r="P6" s="309">
        <f>VLOOKUP(H6,급여셋팅!$A$3:$R$7,4,0)</f>
        <v>0.5</v>
      </c>
      <c r="Q6" s="309">
        <f>VLOOKUP(H6,급여셋팅!$A$3:$R$7,5,0)</f>
        <v>0.54166666666666663</v>
      </c>
      <c r="R6" s="310">
        <f>IFERROR(VLOOKUP(H6,급여셋팅!$A$3:$R$7,15,0),"")</f>
        <v>32.587499999999999</v>
      </c>
      <c r="S6" s="338">
        <f>연장추가근로시!H6</f>
        <v>0</v>
      </c>
      <c r="T6" s="311"/>
      <c r="U6" s="312">
        <f t="shared" si="3"/>
        <v>1956880</v>
      </c>
      <c r="V6" s="315"/>
      <c r="W6" s="313"/>
      <c r="X6" s="315">
        <v>200000</v>
      </c>
      <c r="Y6" s="315"/>
      <c r="Z6" s="153">
        <f t="shared" si="0"/>
        <v>336303</v>
      </c>
      <c r="AA6" s="153">
        <f t="shared" si="4"/>
        <v>0</v>
      </c>
      <c r="AB6" s="272">
        <f>VLOOKUP(H6,급여셋팅!$A$3:$R$7,17,0)</f>
        <v>0</v>
      </c>
      <c r="AC6" s="289"/>
      <c r="AD6" s="152">
        <v>2493183</v>
      </c>
      <c r="AE6" s="154">
        <f t="shared" si="5"/>
        <v>29918190</v>
      </c>
      <c r="AF6" s="290">
        <f t="shared" si="6"/>
        <v>2493183</v>
      </c>
      <c r="AG6" s="291">
        <f t="shared" si="7"/>
        <v>2156880</v>
      </c>
      <c r="AI6" s="28"/>
    </row>
    <row r="7" spans="1:64" s="20" customFormat="1" ht="24" customHeight="1">
      <c r="A7" s="292">
        <v>5</v>
      </c>
      <c r="B7" s="144"/>
      <c r="C7" s="293"/>
      <c r="D7" s="301" t="str">
        <f ca="1">IFERROR(DATEDIF(DATE(IF(MID(C7,7,1)*1&lt;3,1900,2000)+LEFT(C7,2),MID(C7,3,2),MID(C7,5,2)),TODAY(),"Y"),"")</f>
        <v/>
      </c>
      <c r="E7" s="143"/>
      <c r="F7" s="143"/>
      <c r="G7" s="286"/>
      <c r="H7" s="294"/>
      <c r="I7" s="294"/>
      <c r="J7" s="306"/>
      <c r="K7" s="306" t="e">
        <f>VLOOKUP(H7,급여셋팅!$A$3:$R$7,8,0)</f>
        <v>#N/A</v>
      </c>
      <c r="L7" s="307" t="str">
        <f t="shared" si="2"/>
        <v/>
      </c>
      <c r="M7" s="308" t="str">
        <f>IFERROR(VLOOKUP(H7,급여셋팅!$A$3:$R$7,18,0),"")</f>
        <v/>
      </c>
      <c r="N7" s="309" t="e">
        <f>VLOOKUP(H7,급여셋팅!$A$3:$R$7,2,0)</f>
        <v>#N/A</v>
      </c>
      <c r="O7" s="309" t="e">
        <f>VLOOKUP(H7,급여셋팅!$A$3:$R$7,3,0)</f>
        <v>#N/A</v>
      </c>
      <c r="P7" s="309" t="e">
        <f>VLOOKUP(H7,급여셋팅!$A$3:$R$7,4,0)</f>
        <v>#N/A</v>
      </c>
      <c r="Q7" s="309" t="e">
        <f>VLOOKUP(H7,급여셋팅!$A$3:$R$7,5,0)</f>
        <v>#N/A</v>
      </c>
      <c r="R7" s="310" t="str">
        <f>IFERROR(VLOOKUP(H7,급여셋팅!$A$3:$R$7,15,0),"")</f>
        <v/>
      </c>
      <c r="S7" s="338">
        <f>연장추가근로시!H7</f>
        <v>0</v>
      </c>
      <c r="T7" s="311"/>
      <c r="U7" s="312" t="str">
        <f t="shared" si="3"/>
        <v/>
      </c>
      <c r="V7" s="315"/>
      <c r="W7" s="313"/>
      <c r="X7" s="315"/>
      <c r="Y7" s="315"/>
      <c r="Z7" s="153" t="str">
        <f t="shared" si="0"/>
        <v/>
      </c>
      <c r="AA7" s="153" t="str">
        <f t="shared" si="4"/>
        <v/>
      </c>
      <c r="AB7" s="272" t="e">
        <f>VLOOKUP(H7,급여셋팅!$A$3:$R$7,17,0)</f>
        <v>#N/A</v>
      </c>
      <c r="AC7" s="289"/>
      <c r="AD7" s="152"/>
      <c r="AE7" s="154">
        <f t="shared" si="5"/>
        <v>0</v>
      </c>
      <c r="AF7" s="290" t="str">
        <f t="shared" si="6"/>
        <v/>
      </c>
      <c r="AG7" s="291">
        <f t="shared" si="7"/>
        <v>0</v>
      </c>
      <c r="AI7" s="28"/>
    </row>
    <row r="8" spans="1:64" s="20" customFormat="1" ht="24" customHeight="1">
      <c r="A8" s="292">
        <v>6</v>
      </c>
      <c r="B8" s="144"/>
      <c r="C8" s="293"/>
      <c r="D8" s="301" t="str">
        <f t="shared" ca="1" si="1"/>
        <v/>
      </c>
      <c r="E8" s="143"/>
      <c r="F8" s="143"/>
      <c r="G8" s="286"/>
      <c r="H8" s="294"/>
      <c r="I8" s="294"/>
      <c r="J8" s="306"/>
      <c r="K8" s="306" t="e">
        <f>VLOOKUP(H8,급여셋팅!$A$3:$R$7,8,0)</f>
        <v>#N/A</v>
      </c>
      <c r="L8" s="307" t="str">
        <f t="shared" si="2"/>
        <v/>
      </c>
      <c r="M8" s="308" t="str">
        <f>IFERROR(VLOOKUP(H8,급여셋팅!$A$3:$R$7,18,0),"")</f>
        <v/>
      </c>
      <c r="N8" s="309" t="e">
        <f>VLOOKUP(H8,급여셋팅!$A$3:$R$7,2,0)</f>
        <v>#N/A</v>
      </c>
      <c r="O8" s="309" t="e">
        <f>VLOOKUP(H8,급여셋팅!$A$3:$R$7,3,0)</f>
        <v>#N/A</v>
      </c>
      <c r="P8" s="309" t="e">
        <f>VLOOKUP(H8,급여셋팅!$A$3:$R$7,4,0)</f>
        <v>#N/A</v>
      </c>
      <c r="Q8" s="309" t="e">
        <f>VLOOKUP(H8,급여셋팅!$A$3:$R$7,5,0)</f>
        <v>#N/A</v>
      </c>
      <c r="R8" s="310" t="str">
        <f>IFERROR(VLOOKUP(H8,급여셋팅!$A$3:$R$7,15,0),"")</f>
        <v/>
      </c>
      <c r="S8" s="338">
        <f>연장추가근로시!H8</f>
        <v>0</v>
      </c>
      <c r="T8" s="311"/>
      <c r="U8" s="312" t="str">
        <f t="shared" si="3"/>
        <v/>
      </c>
      <c r="V8" s="315"/>
      <c r="W8" s="313"/>
      <c r="X8" s="315"/>
      <c r="Y8" s="315"/>
      <c r="Z8" s="153" t="str">
        <f t="shared" si="0"/>
        <v/>
      </c>
      <c r="AA8" s="153" t="str">
        <f t="shared" si="4"/>
        <v/>
      </c>
      <c r="AB8" s="272" t="e">
        <f>VLOOKUP(H8,급여셋팅!$A$3:$R$7,17,0)</f>
        <v>#N/A</v>
      </c>
      <c r="AC8" s="289"/>
      <c r="AD8" s="152"/>
      <c r="AE8" s="154">
        <f t="shared" si="5"/>
        <v>0</v>
      </c>
      <c r="AF8" s="290" t="str">
        <f t="shared" si="6"/>
        <v/>
      </c>
      <c r="AG8" s="291">
        <f t="shared" si="7"/>
        <v>0</v>
      </c>
      <c r="AI8" s="28"/>
    </row>
    <row r="9" spans="1:64" s="20" customFormat="1" ht="24" customHeight="1">
      <c r="A9" s="292">
        <v>7</v>
      </c>
      <c r="B9" s="144"/>
      <c r="C9" s="293"/>
      <c r="D9" s="301" t="str">
        <f t="shared" ref="D9:D12" ca="1" si="13">IFERROR(
  DATEDIF(
    DATE(
      IF(MID(C9,7,1)*1&lt;3,1900,2000)+LEFT(C9,2),
      MID(C9,3,2),
      MID(C9,5,2)
    ),
    TODAY(),
    "Y"
  ),
"")</f>
        <v/>
      </c>
      <c r="E9" s="143"/>
      <c r="F9" s="143"/>
      <c r="G9" s="286"/>
      <c r="H9" s="294"/>
      <c r="I9" s="294"/>
      <c r="J9" s="306"/>
      <c r="K9" s="306" t="e">
        <f>VLOOKUP(H9,급여셋팅!$A$3:$R$7,8,0)</f>
        <v>#N/A</v>
      </c>
      <c r="L9" s="307" t="str">
        <f t="shared" ref="L9:L12" si="14">IFERROR(AD9/M9,"")</f>
        <v/>
      </c>
      <c r="M9" s="308" t="str">
        <f>IFERROR(VLOOKUP(H9,급여셋팅!$A$3:$R$7,18,0),"")</f>
        <v/>
      </c>
      <c r="N9" s="309" t="e">
        <f>VLOOKUP(H9,급여셋팅!$A$3:$R$7,2,0)</f>
        <v>#N/A</v>
      </c>
      <c r="O9" s="309" t="e">
        <f>VLOOKUP(H9,급여셋팅!$A$3:$R$7,3,0)</f>
        <v>#N/A</v>
      </c>
      <c r="P9" s="309" t="e">
        <f>VLOOKUP(H9,급여셋팅!$A$3:$R$7,4,0)</f>
        <v>#N/A</v>
      </c>
      <c r="Q9" s="309" t="e">
        <f>VLOOKUP(H9,급여셋팅!$A$3:$R$7,5,0)</f>
        <v>#N/A</v>
      </c>
      <c r="R9" s="310" t="str">
        <f>IFERROR(VLOOKUP(H9,급여셋팅!$A$3:$R$7,15,0),"")</f>
        <v/>
      </c>
      <c r="S9" s="338">
        <f>연장추가근로시!J9</f>
        <v>0</v>
      </c>
      <c r="T9" s="311"/>
      <c r="U9" s="312" t="str">
        <f t="shared" ref="U9:U12" si="15">IFERROR(AD9-X9-Y9-Z9-AC9,"")</f>
        <v/>
      </c>
      <c r="V9" s="315"/>
      <c r="W9" s="313"/>
      <c r="X9" s="315"/>
      <c r="Y9" s="315"/>
      <c r="Z9" s="153" t="str">
        <f t="shared" ref="Z9:Z12" si="16">IFERROR(L9*R9,"")</f>
        <v/>
      </c>
      <c r="AA9" s="153" t="str">
        <f t="shared" ref="AA9:AA12" si="17">IFERROR(L9*S9,"")</f>
        <v/>
      </c>
      <c r="AB9" s="272" t="e">
        <f>VLOOKUP(H9,급여셋팅!$A$3:$R$7,17,0)</f>
        <v>#N/A</v>
      </c>
      <c r="AC9" s="289"/>
      <c r="AD9" s="152"/>
      <c r="AE9" s="154">
        <f t="shared" ref="AE9:AE12" si="18">IFERROR(ROUNDDOWN(AD9*12,-1),"")</f>
        <v>0</v>
      </c>
      <c r="AF9" s="290" t="str">
        <f t="shared" ref="AF9:AF12" si="19">IFERROR(SUM(U9:AC9)-AB9,"")</f>
        <v/>
      </c>
      <c r="AG9" s="291">
        <f t="shared" ref="AG9:AG12" si="20">IFERROR(SUM(U9,X9,Y9),"")</f>
        <v>0</v>
      </c>
      <c r="AI9" s="28"/>
    </row>
    <row r="10" spans="1:64" s="20" customFormat="1" ht="24" customHeight="1">
      <c r="A10" s="292">
        <v>8</v>
      </c>
      <c r="B10" s="144"/>
      <c r="C10" s="293"/>
      <c r="D10" s="301" t="str">
        <f t="shared" ca="1" si="13"/>
        <v/>
      </c>
      <c r="E10" s="143"/>
      <c r="F10" s="143"/>
      <c r="G10" s="286"/>
      <c r="H10" s="294"/>
      <c r="I10" s="294"/>
      <c r="J10" s="306"/>
      <c r="K10" s="306" t="e">
        <f>VLOOKUP(H10,급여셋팅!$A$3:$R$7,8,0)</f>
        <v>#N/A</v>
      </c>
      <c r="L10" s="307" t="str">
        <f t="shared" si="14"/>
        <v/>
      </c>
      <c r="M10" s="308" t="str">
        <f>IFERROR(VLOOKUP(H10,급여셋팅!$A$3:$R$7,18,0),"")</f>
        <v/>
      </c>
      <c r="N10" s="309" t="e">
        <f>VLOOKUP(H10,급여셋팅!$A$3:$R$7,2,0)</f>
        <v>#N/A</v>
      </c>
      <c r="O10" s="309" t="e">
        <f>VLOOKUP(H10,급여셋팅!$A$3:$R$7,3,0)</f>
        <v>#N/A</v>
      </c>
      <c r="P10" s="309" t="e">
        <f>VLOOKUP(H10,급여셋팅!$A$3:$R$7,4,0)</f>
        <v>#N/A</v>
      </c>
      <c r="Q10" s="309" t="e">
        <f>VLOOKUP(H10,급여셋팅!$A$3:$R$7,5,0)</f>
        <v>#N/A</v>
      </c>
      <c r="R10" s="310" t="str">
        <f>IFERROR(VLOOKUP(H10,급여셋팅!$A$3:$R$7,15,0),"")</f>
        <v/>
      </c>
      <c r="S10" s="338">
        <f>연장추가근로시!J10</f>
        <v>0</v>
      </c>
      <c r="T10" s="311"/>
      <c r="U10" s="312" t="str">
        <f t="shared" si="15"/>
        <v/>
      </c>
      <c r="V10" s="315"/>
      <c r="W10" s="313"/>
      <c r="X10" s="315"/>
      <c r="Y10" s="315"/>
      <c r="Z10" s="153" t="str">
        <f t="shared" si="16"/>
        <v/>
      </c>
      <c r="AA10" s="153" t="str">
        <f t="shared" si="17"/>
        <v/>
      </c>
      <c r="AB10" s="272" t="e">
        <f>VLOOKUP(H10,급여셋팅!$A$3:$R$7,17,0)</f>
        <v>#N/A</v>
      </c>
      <c r="AC10" s="289"/>
      <c r="AD10" s="152"/>
      <c r="AE10" s="154">
        <f t="shared" si="18"/>
        <v>0</v>
      </c>
      <c r="AF10" s="290" t="str">
        <f t="shared" si="19"/>
        <v/>
      </c>
      <c r="AG10" s="291">
        <f t="shared" si="20"/>
        <v>0</v>
      </c>
      <c r="AI10" s="28"/>
    </row>
    <row r="11" spans="1:64" s="20" customFormat="1" ht="24" customHeight="1">
      <c r="A11" s="292">
        <v>9</v>
      </c>
      <c r="B11" s="144"/>
      <c r="C11" s="293"/>
      <c r="D11" s="301" t="str">
        <f t="shared" ca="1" si="13"/>
        <v/>
      </c>
      <c r="E11" s="143"/>
      <c r="F11" s="143"/>
      <c r="G11" s="286"/>
      <c r="H11" s="294"/>
      <c r="I11" s="294"/>
      <c r="J11" s="306"/>
      <c r="K11" s="306" t="e">
        <f>VLOOKUP(H11,급여셋팅!$A$3:$R$7,8,0)</f>
        <v>#N/A</v>
      </c>
      <c r="L11" s="307" t="str">
        <f t="shared" si="14"/>
        <v/>
      </c>
      <c r="M11" s="308" t="str">
        <f>IFERROR(VLOOKUP(H11,급여셋팅!$A$3:$R$7,18,0),"")</f>
        <v/>
      </c>
      <c r="N11" s="309" t="e">
        <f>VLOOKUP(H11,급여셋팅!$A$3:$R$7,2,0)</f>
        <v>#N/A</v>
      </c>
      <c r="O11" s="309" t="e">
        <f>VLOOKUP(H11,급여셋팅!$A$3:$R$7,3,0)</f>
        <v>#N/A</v>
      </c>
      <c r="P11" s="309" t="e">
        <f>VLOOKUP(H11,급여셋팅!$A$3:$R$7,4,0)</f>
        <v>#N/A</v>
      </c>
      <c r="Q11" s="309" t="e">
        <f>VLOOKUP(H11,급여셋팅!$A$3:$R$7,5,0)</f>
        <v>#N/A</v>
      </c>
      <c r="R11" s="310" t="str">
        <f>IFERROR(VLOOKUP(H11,급여셋팅!$A$3:$R$7,15,0),"")</f>
        <v/>
      </c>
      <c r="S11" s="338">
        <f>연장추가근로시!J11</f>
        <v>0</v>
      </c>
      <c r="T11" s="311"/>
      <c r="U11" s="312" t="str">
        <f t="shared" si="15"/>
        <v/>
      </c>
      <c r="V11" s="315"/>
      <c r="W11" s="313"/>
      <c r="X11" s="315"/>
      <c r="Y11" s="315"/>
      <c r="Z11" s="153" t="str">
        <f t="shared" si="16"/>
        <v/>
      </c>
      <c r="AA11" s="153" t="str">
        <f t="shared" si="17"/>
        <v/>
      </c>
      <c r="AB11" s="272" t="e">
        <f>VLOOKUP(H11,급여셋팅!$A$3:$R$7,17,0)</f>
        <v>#N/A</v>
      </c>
      <c r="AC11" s="289"/>
      <c r="AD11" s="152"/>
      <c r="AE11" s="154">
        <f t="shared" si="18"/>
        <v>0</v>
      </c>
      <c r="AF11" s="290" t="str">
        <f t="shared" si="19"/>
        <v/>
      </c>
      <c r="AG11" s="291">
        <f t="shared" si="20"/>
        <v>0</v>
      </c>
      <c r="AI11" s="28"/>
    </row>
    <row r="12" spans="1:64" s="20" customFormat="1" ht="24" customHeight="1">
      <c r="A12" s="292">
        <v>10</v>
      </c>
      <c r="B12" s="144"/>
      <c r="C12" s="293"/>
      <c r="D12" s="301" t="str">
        <f t="shared" ca="1" si="13"/>
        <v/>
      </c>
      <c r="E12" s="143"/>
      <c r="F12" s="143"/>
      <c r="G12" s="286"/>
      <c r="H12" s="294"/>
      <c r="I12" s="294"/>
      <c r="J12" s="306"/>
      <c r="K12" s="306" t="e">
        <f>VLOOKUP(H12,급여셋팅!$A$3:$R$7,8,0)</f>
        <v>#N/A</v>
      </c>
      <c r="L12" s="307" t="str">
        <f t="shared" si="14"/>
        <v/>
      </c>
      <c r="M12" s="308" t="str">
        <f>IFERROR(VLOOKUP(H12,급여셋팅!$A$3:$R$7,18,0),"")</f>
        <v/>
      </c>
      <c r="N12" s="309" t="e">
        <f>VLOOKUP(H12,급여셋팅!$A$3:$R$7,2,0)</f>
        <v>#N/A</v>
      </c>
      <c r="O12" s="309" t="e">
        <f>VLOOKUP(H12,급여셋팅!$A$3:$R$7,3,0)</f>
        <v>#N/A</v>
      </c>
      <c r="P12" s="309" t="e">
        <f>VLOOKUP(H12,급여셋팅!$A$3:$R$7,4,0)</f>
        <v>#N/A</v>
      </c>
      <c r="Q12" s="309" t="e">
        <f>VLOOKUP(H12,급여셋팅!$A$3:$R$7,5,0)</f>
        <v>#N/A</v>
      </c>
      <c r="R12" s="310" t="str">
        <f>IFERROR(VLOOKUP(H12,급여셋팅!$A$3:$R$7,15,0),"")</f>
        <v/>
      </c>
      <c r="S12" s="338">
        <f>연장추가근로시!J12</f>
        <v>0</v>
      </c>
      <c r="T12" s="311"/>
      <c r="U12" s="312" t="str">
        <f t="shared" si="15"/>
        <v/>
      </c>
      <c r="V12" s="315"/>
      <c r="W12" s="313"/>
      <c r="X12" s="315"/>
      <c r="Y12" s="315"/>
      <c r="Z12" s="153" t="str">
        <f t="shared" si="16"/>
        <v/>
      </c>
      <c r="AA12" s="153" t="str">
        <f t="shared" si="17"/>
        <v/>
      </c>
      <c r="AB12" s="272" t="e">
        <f>VLOOKUP(H12,급여셋팅!$A$3:$R$7,17,0)</f>
        <v>#N/A</v>
      </c>
      <c r="AC12" s="289"/>
      <c r="AD12" s="152"/>
      <c r="AE12" s="154">
        <f t="shared" si="18"/>
        <v>0</v>
      </c>
      <c r="AF12" s="290" t="str">
        <f t="shared" si="19"/>
        <v/>
      </c>
      <c r="AG12" s="291">
        <f t="shared" si="20"/>
        <v>0</v>
      </c>
      <c r="AI12" s="28"/>
    </row>
    <row r="13" spans="1:64" ht="24" customHeight="1">
      <c r="S13" s="295"/>
    </row>
    <row r="14" spans="1:64" ht="24" customHeight="1">
      <c r="U14" s="344">
        <f>U6/31*8</f>
        <v>505001.29032258067</v>
      </c>
      <c r="X14" s="344">
        <f>X6/31*8</f>
        <v>51612.903225806454</v>
      </c>
      <c r="Z14" s="345">
        <f>Z6/31*8</f>
        <v>86787.870967741939</v>
      </c>
    </row>
    <row r="17" spans="8:9" ht="24" customHeight="1">
      <c r="I17" s="299"/>
    </row>
    <row r="18" spans="8:9" ht="24" customHeight="1">
      <c r="H18" s="298"/>
    </row>
  </sheetData>
  <mergeCells count="7">
    <mergeCell ref="N2:O2"/>
    <mergeCell ref="P2:Q2"/>
    <mergeCell ref="A1:I1"/>
    <mergeCell ref="AE1:AG1"/>
    <mergeCell ref="J1:U1"/>
    <mergeCell ref="V1:Y1"/>
    <mergeCell ref="AB1:AC1"/>
  </mergeCells>
  <phoneticPr fontId="4" type="noConversion"/>
  <conditionalFormatting sqref="L3:L12">
    <cfRule type="cellIs" dxfId="11" priority="2" operator="lessThan">
      <formula>10030</formula>
    </cfRule>
  </conditionalFormatting>
  <conditionalFormatting sqref="U2:W2">
    <cfRule type="cellIs" dxfId="10" priority="5" operator="lessThan">
      <formula>2096270</formula>
    </cfRule>
  </conditionalFormatting>
  <conditionalFormatting sqref="AG3:AG12">
    <cfRule type="cellIs" dxfId="9" priority="1" operator="lessThan">
      <formula>2096270</formula>
    </cfRule>
  </conditionalFormatting>
  <dataValidations disablePrompts="1" count="1">
    <dataValidation type="list" allowBlank="1" showInputMessage="1" showErrorMessage="1" sqref="H3:H12" xr:uid="{5C38F61A-5695-4110-878F-C956566A023B}">
      <formula1>"본사,현장,본사(계약직),현장(계약직)"</formula1>
    </dataValidation>
  </dataValidations>
  <pageMargins left="0.7" right="0.7" top="0.75" bottom="0.75" header="0.3" footer="0.3"/>
  <pageSetup paperSize="9" scale="33"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8744-383C-4504-AFF2-AE85AD262A4F}">
  <dimension ref="A1:J20"/>
  <sheetViews>
    <sheetView workbookViewId="0">
      <selection activeCell="J19" sqref="J19"/>
    </sheetView>
  </sheetViews>
  <sheetFormatPr defaultColWidth="13.25" defaultRowHeight="16.5"/>
  <cols>
    <col min="9" max="9" width="16.125" customWidth="1"/>
    <col min="11" max="11" width="11.875" customWidth="1"/>
  </cols>
  <sheetData>
    <row r="1" spans="1:10" ht="46.5" customHeight="1" thickBot="1">
      <c r="A1" s="254" t="s">
        <v>370</v>
      </c>
    </row>
    <row r="2" spans="1:10" ht="33">
      <c r="A2" s="255" t="s">
        <v>62</v>
      </c>
      <c r="B2" s="248" t="s">
        <v>252</v>
      </c>
      <c r="C2" s="248" t="s">
        <v>275</v>
      </c>
      <c r="D2" s="256" t="s">
        <v>308</v>
      </c>
      <c r="E2" s="256" t="s">
        <v>306</v>
      </c>
      <c r="F2" s="256" t="s">
        <v>98</v>
      </c>
      <c r="G2" s="257" t="s">
        <v>368</v>
      </c>
      <c r="H2" s="258" t="s">
        <v>98</v>
      </c>
      <c r="I2" s="245" t="s">
        <v>63</v>
      </c>
      <c r="J2" s="259" t="s">
        <v>369</v>
      </c>
    </row>
    <row r="3" spans="1:10">
      <c r="A3" s="260" t="s">
        <v>317</v>
      </c>
      <c r="B3" s="249" t="s">
        <v>330</v>
      </c>
      <c r="C3" s="249" t="s">
        <v>323</v>
      </c>
      <c r="D3" s="251">
        <v>8</v>
      </c>
      <c r="E3" s="251">
        <v>5</v>
      </c>
      <c r="F3" s="252">
        <f>E3*4.345*1.5</f>
        <v>32.587499999999999</v>
      </c>
      <c r="G3" s="164"/>
      <c r="H3" s="246">
        <f>G3*1.5</f>
        <v>0</v>
      </c>
      <c r="I3" s="247">
        <v>32894.73684210526</v>
      </c>
      <c r="J3" s="261">
        <f>H3*I3</f>
        <v>0</v>
      </c>
    </row>
    <row r="4" spans="1:10">
      <c r="A4" s="260" t="s">
        <v>325</v>
      </c>
      <c r="B4" s="249" t="s">
        <v>331</v>
      </c>
      <c r="C4" s="249" t="s">
        <v>323</v>
      </c>
      <c r="D4" s="251">
        <v>8</v>
      </c>
      <c r="E4" s="251">
        <v>5</v>
      </c>
      <c r="F4" s="252">
        <f>E4*4.345*1.5</f>
        <v>32.587499999999999</v>
      </c>
      <c r="G4" s="164"/>
      <c r="H4" s="246">
        <f t="shared" ref="H4:H7" si="0">G4*1.5</f>
        <v>0</v>
      </c>
      <c r="I4" s="247">
        <v>32966.507177033491</v>
      </c>
      <c r="J4" s="261">
        <f t="shared" ref="J4:J7" si="1">H4*I4</f>
        <v>0</v>
      </c>
    </row>
    <row r="5" spans="1:10">
      <c r="A5" s="262" t="s">
        <v>328</v>
      </c>
      <c r="B5" s="249" t="s">
        <v>335</v>
      </c>
      <c r="C5" s="253" t="s">
        <v>334</v>
      </c>
      <c r="D5" s="251">
        <v>8</v>
      </c>
      <c r="E5" s="251">
        <v>41.3</v>
      </c>
      <c r="F5" s="252">
        <f>E5*1.5</f>
        <v>61.949999999999996</v>
      </c>
      <c r="G5" s="164"/>
      <c r="H5" s="246">
        <f t="shared" si="0"/>
        <v>0</v>
      </c>
      <c r="I5" s="247">
        <v>14517</v>
      </c>
      <c r="J5" s="261">
        <f t="shared" si="1"/>
        <v>0</v>
      </c>
    </row>
    <row r="6" spans="1:10">
      <c r="A6" s="260"/>
      <c r="B6" s="249"/>
      <c r="C6" s="249"/>
      <c r="D6" s="251"/>
      <c r="E6" s="251"/>
      <c r="F6" s="252"/>
      <c r="G6" s="164"/>
      <c r="H6" s="246">
        <f t="shared" si="0"/>
        <v>0</v>
      </c>
      <c r="I6" s="247"/>
      <c r="J6" s="261">
        <f t="shared" si="1"/>
        <v>0</v>
      </c>
    </row>
    <row r="7" spans="1:10">
      <c r="A7" s="262"/>
      <c r="B7" s="249"/>
      <c r="C7" s="253"/>
      <c r="D7" s="251"/>
      <c r="E7" s="251"/>
      <c r="F7" s="252"/>
      <c r="G7" s="164"/>
      <c r="H7" s="246">
        <f t="shared" si="0"/>
        <v>0</v>
      </c>
      <c r="I7" s="247"/>
      <c r="J7" s="261">
        <f t="shared" si="1"/>
        <v>0</v>
      </c>
    </row>
    <row r="8" spans="1:10" ht="17.25" thickBot="1">
      <c r="A8" s="263"/>
      <c r="B8" s="264"/>
      <c r="C8" s="265"/>
      <c r="D8" s="266"/>
      <c r="E8" s="266"/>
      <c r="F8" s="267"/>
      <c r="G8" s="268"/>
      <c r="H8" s="269"/>
      <c r="I8" s="270"/>
      <c r="J8" s="271"/>
    </row>
    <row r="12" spans="1:10" ht="46.5" customHeight="1">
      <c r="A12" s="254" t="s">
        <v>371</v>
      </c>
    </row>
    <row r="13" spans="1:10" ht="17.25" thickBot="1"/>
    <row r="14" spans="1:10">
      <c r="A14" s="255" t="s">
        <v>62</v>
      </c>
      <c r="B14" s="248" t="s">
        <v>252</v>
      </c>
      <c r="C14" s="248" t="s">
        <v>275</v>
      </c>
      <c r="D14" s="245" t="s">
        <v>63</v>
      </c>
      <c r="E14" s="257" t="s">
        <v>374</v>
      </c>
      <c r="F14" s="257" t="s">
        <v>375</v>
      </c>
      <c r="G14" s="258" t="s">
        <v>376</v>
      </c>
      <c r="H14" s="335" t="s">
        <v>377</v>
      </c>
    </row>
    <row r="15" spans="1:10">
      <c r="A15" s="260" t="s">
        <v>317</v>
      </c>
      <c r="B15" s="249" t="s">
        <v>330</v>
      </c>
      <c r="C15" s="249" t="s">
        <v>323</v>
      </c>
      <c r="D15" s="247">
        <v>32894.73684210526</v>
      </c>
      <c r="E15" s="334">
        <f>D15*8</f>
        <v>263157.89473684208</v>
      </c>
      <c r="F15" s="164">
        <v>5</v>
      </c>
      <c r="G15" s="341">
        <f>D15*F15</f>
        <v>164473.68421052629</v>
      </c>
      <c r="H15" s="336">
        <f>E15-G15</f>
        <v>98684.210526315786</v>
      </c>
    </row>
    <row r="16" spans="1:10">
      <c r="A16" s="260" t="s">
        <v>325</v>
      </c>
      <c r="B16" s="249" t="s">
        <v>331</v>
      </c>
      <c r="C16" s="249" t="s">
        <v>323</v>
      </c>
      <c r="D16" s="247">
        <v>32966.507177033491</v>
      </c>
      <c r="E16" s="334">
        <f t="shared" ref="E16:E19" si="2">D16*8</f>
        <v>263732.05741626793</v>
      </c>
      <c r="F16" s="164"/>
      <c r="G16" s="341">
        <f t="shared" ref="G16:G20" si="3">D16*F16</f>
        <v>0</v>
      </c>
      <c r="H16" s="336">
        <f t="shared" ref="H16:H20" si="4">E16-G16</f>
        <v>263732.05741626793</v>
      </c>
    </row>
    <row r="17" spans="1:8">
      <c r="A17" s="262" t="s">
        <v>328</v>
      </c>
      <c r="B17" s="249" t="s">
        <v>335</v>
      </c>
      <c r="C17" s="253" t="s">
        <v>334</v>
      </c>
      <c r="D17" s="247">
        <v>14516.848126960695</v>
      </c>
      <c r="E17" s="334">
        <f t="shared" si="2"/>
        <v>116134.78501568556</v>
      </c>
      <c r="F17" s="164"/>
      <c r="G17" s="341">
        <f t="shared" si="3"/>
        <v>0</v>
      </c>
      <c r="H17" s="336">
        <f t="shared" si="4"/>
        <v>116134.78501568556</v>
      </c>
    </row>
    <row r="18" spans="1:8">
      <c r="A18" s="260"/>
      <c r="B18" s="249"/>
      <c r="C18" s="249"/>
      <c r="D18" s="247"/>
      <c r="E18" s="334">
        <f t="shared" si="2"/>
        <v>0</v>
      </c>
      <c r="F18" s="164"/>
      <c r="G18" s="341">
        <f t="shared" si="3"/>
        <v>0</v>
      </c>
      <c r="H18" s="336">
        <f t="shared" si="4"/>
        <v>0</v>
      </c>
    </row>
    <row r="19" spans="1:8">
      <c r="A19" s="262"/>
      <c r="B19" s="249"/>
      <c r="C19" s="253"/>
      <c r="D19" s="247"/>
      <c r="E19" s="334">
        <f t="shared" si="2"/>
        <v>0</v>
      </c>
      <c r="F19" s="164"/>
      <c r="G19" s="341">
        <f t="shared" si="3"/>
        <v>0</v>
      </c>
      <c r="H19" s="336">
        <f t="shared" si="4"/>
        <v>0</v>
      </c>
    </row>
    <row r="20" spans="1:8" ht="17.25" thickBot="1">
      <c r="A20" s="263"/>
      <c r="B20" s="264"/>
      <c r="C20" s="265"/>
      <c r="D20" s="270"/>
      <c r="E20" s="333"/>
      <c r="F20" s="268"/>
      <c r="G20" s="342">
        <f t="shared" si="3"/>
        <v>0</v>
      </c>
      <c r="H20" s="337">
        <f t="shared" si="4"/>
        <v>0</v>
      </c>
    </row>
  </sheetData>
  <phoneticPr fontId="4" type="noConversion"/>
  <dataValidations disablePrompts="1" count="1">
    <dataValidation type="list" allowBlank="1" showInputMessage="1" showErrorMessage="1" sqref="C3:C8 C15:C20" xr:uid="{C6DC3BC7-E0CF-401A-AFA7-E1563F535E99}">
      <formula1>"본사,현장,본사(계약직),현장(계약직)"</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5FAE-C2DD-418D-BE7A-77EEB6547262}">
  <sheetPr>
    <pageSetUpPr fitToPage="1"/>
  </sheetPr>
  <dimension ref="A1:AK31"/>
  <sheetViews>
    <sheetView tabSelected="1" topLeftCell="E1" zoomScale="80" zoomScaleNormal="80" zoomScaleSheetLayoutView="80" workbookViewId="0">
      <selection activeCell="S31" sqref="S31"/>
    </sheetView>
  </sheetViews>
  <sheetFormatPr defaultRowHeight="13.5"/>
  <cols>
    <col min="1" max="1" width="4.75" style="220" customWidth="1"/>
    <col min="2" max="2" width="10.125" style="184" customWidth="1"/>
    <col min="3" max="3" width="17.625" style="184" customWidth="1"/>
    <col min="4" max="4" width="4.75" style="220" customWidth="1"/>
    <col min="5" max="5" width="10.125" style="184" customWidth="1"/>
    <col min="6" max="6" width="12" style="221" customWidth="1"/>
    <col min="7" max="7" width="12.5" style="184" customWidth="1"/>
    <col min="8" max="8" width="11.25" style="184" customWidth="1"/>
    <col min="9" max="9" width="10.25" style="184" customWidth="1"/>
    <col min="10" max="10" width="11.75" style="184" customWidth="1"/>
    <col min="11" max="11" width="10.25" style="184" customWidth="1"/>
    <col min="12" max="13" width="9.875" style="184" customWidth="1"/>
    <col min="14" max="14" width="11.625" style="184" bestFit="1" customWidth="1"/>
    <col min="15" max="15" width="13.75" style="184" customWidth="1"/>
    <col min="16" max="16" width="12.875" style="184" customWidth="1"/>
    <col min="17" max="17" width="9.625" style="184" customWidth="1"/>
    <col min="18" max="18" width="11" style="184" customWidth="1"/>
    <col min="19" max="21" width="11.75" style="184" customWidth="1"/>
    <col min="22" max="22" width="11.75" style="184" hidden="1" customWidth="1"/>
    <col min="23" max="25" width="11.75" style="184" customWidth="1"/>
    <col min="26" max="26" width="11.375" style="184" customWidth="1"/>
    <col min="27" max="27" width="11.875" style="184" customWidth="1"/>
    <col min="28" max="28" width="10.625" style="184" customWidth="1"/>
    <col min="29" max="29" width="11.25" style="184" hidden="1" customWidth="1"/>
    <col min="30" max="30" width="18.625" style="184" customWidth="1"/>
    <col min="31" max="31" width="12.25" style="184" hidden="1" customWidth="1"/>
    <col min="32" max="32" width="13.25" style="184" hidden="1" customWidth="1"/>
    <col min="33" max="34" width="10.625" style="184" bestFit="1" customWidth="1"/>
    <col min="35" max="35" width="13.5" style="184" customWidth="1"/>
    <col min="36" max="36" width="13.875" style="184" customWidth="1"/>
    <col min="37" max="37" width="12.375" style="184" bestFit="1" customWidth="1"/>
    <col min="38" max="256" width="9" style="184"/>
    <col min="257" max="257" width="4.5" style="184" customWidth="1"/>
    <col min="258" max="258" width="12.75" style="184" bestFit="1" customWidth="1"/>
    <col min="259" max="259" width="0" style="184" hidden="1" customWidth="1"/>
    <col min="260" max="261" width="9.625" style="184" bestFit="1" customWidth="1"/>
    <col min="262" max="262" width="15.625" style="184" bestFit="1" customWidth="1"/>
    <col min="263" max="264" width="13.125" style="184" bestFit="1" customWidth="1"/>
    <col min="265" max="265" width="13.125" style="184" customWidth="1"/>
    <col min="266" max="268" width="0" style="184" hidden="1" customWidth="1"/>
    <col min="269" max="270" width="15.875" style="184" bestFit="1" customWidth="1"/>
    <col min="271" max="273" width="10" style="184" bestFit="1" customWidth="1"/>
    <col min="274" max="274" width="14.5" style="184" bestFit="1" customWidth="1"/>
    <col min="275" max="276" width="13.125" style="184" bestFit="1" customWidth="1"/>
    <col min="277" max="277" width="9.5" style="184" bestFit="1" customWidth="1"/>
    <col min="278" max="278" width="13.75" style="184" bestFit="1" customWidth="1"/>
    <col min="279" max="279" width="9.5" style="184" bestFit="1" customWidth="1"/>
    <col min="280" max="281" width="12.25" style="184" bestFit="1" customWidth="1"/>
    <col min="282" max="282" width="14.5" style="184" bestFit="1" customWidth="1"/>
    <col min="283" max="283" width="13.125" style="184" bestFit="1" customWidth="1"/>
    <col min="284" max="284" width="14.5" style="184" bestFit="1" customWidth="1"/>
    <col min="285" max="512" width="9" style="184"/>
    <col min="513" max="513" width="4.5" style="184" customWidth="1"/>
    <col min="514" max="514" width="12.75" style="184" bestFit="1" customWidth="1"/>
    <col min="515" max="515" width="0" style="184" hidden="1" customWidth="1"/>
    <col min="516" max="517" width="9.625" style="184" bestFit="1" customWidth="1"/>
    <col min="518" max="518" width="15.625" style="184" bestFit="1" customWidth="1"/>
    <col min="519" max="520" width="13.125" style="184" bestFit="1" customWidth="1"/>
    <col min="521" max="521" width="13.125" style="184" customWidth="1"/>
    <col min="522" max="524" width="0" style="184" hidden="1" customWidth="1"/>
    <col min="525" max="526" width="15.875" style="184" bestFit="1" customWidth="1"/>
    <col min="527" max="529" width="10" style="184" bestFit="1" customWidth="1"/>
    <col min="530" max="530" width="14.5" style="184" bestFit="1" customWidth="1"/>
    <col min="531" max="532" width="13.125" style="184" bestFit="1" customWidth="1"/>
    <col min="533" max="533" width="9.5" style="184" bestFit="1" customWidth="1"/>
    <col min="534" max="534" width="13.75" style="184" bestFit="1" customWidth="1"/>
    <col min="535" max="535" width="9.5" style="184" bestFit="1" customWidth="1"/>
    <col min="536" max="537" width="12.25" style="184" bestFit="1" customWidth="1"/>
    <col min="538" max="538" width="14.5" style="184" bestFit="1" customWidth="1"/>
    <col min="539" max="539" width="13.125" style="184" bestFit="1" customWidth="1"/>
    <col min="540" max="540" width="14.5" style="184" bestFit="1" customWidth="1"/>
    <col min="541" max="768" width="9" style="184"/>
    <col min="769" max="769" width="4.5" style="184" customWidth="1"/>
    <col min="770" max="770" width="12.75" style="184" bestFit="1" customWidth="1"/>
    <col min="771" max="771" width="0" style="184" hidden="1" customWidth="1"/>
    <col min="772" max="773" width="9.625" style="184" bestFit="1" customWidth="1"/>
    <col min="774" max="774" width="15.625" style="184" bestFit="1" customWidth="1"/>
    <col min="775" max="776" width="13.125" style="184" bestFit="1" customWidth="1"/>
    <col min="777" max="777" width="13.125" style="184" customWidth="1"/>
    <col min="778" max="780" width="0" style="184" hidden="1" customWidth="1"/>
    <col min="781" max="782" width="15.875" style="184" bestFit="1" customWidth="1"/>
    <col min="783" max="785" width="10" style="184" bestFit="1" customWidth="1"/>
    <col min="786" max="786" width="14.5" style="184" bestFit="1" customWidth="1"/>
    <col min="787" max="788" width="13.125" style="184" bestFit="1" customWidth="1"/>
    <col min="789" max="789" width="9.5" style="184" bestFit="1" customWidth="1"/>
    <col min="790" max="790" width="13.75" style="184" bestFit="1" customWidth="1"/>
    <col min="791" max="791" width="9.5" style="184" bestFit="1" customWidth="1"/>
    <col min="792" max="793" width="12.25" style="184" bestFit="1" customWidth="1"/>
    <col min="794" max="794" width="14.5" style="184" bestFit="1" customWidth="1"/>
    <col min="795" max="795" width="13.125" style="184" bestFit="1" customWidth="1"/>
    <col min="796" max="796" width="14.5" style="184" bestFit="1" customWidth="1"/>
    <col min="797" max="1024" width="9" style="184"/>
    <col min="1025" max="1025" width="4.5" style="184" customWidth="1"/>
    <col min="1026" max="1026" width="12.75" style="184" bestFit="1" customWidth="1"/>
    <col min="1027" max="1027" width="0" style="184" hidden="1" customWidth="1"/>
    <col min="1028" max="1029" width="9.625" style="184" bestFit="1" customWidth="1"/>
    <col min="1030" max="1030" width="15.625" style="184" bestFit="1" customWidth="1"/>
    <col min="1031" max="1032" width="13.125" style="184" bestFit="1" customWidth="1"/>
    <col min="1033" max="1033" width="13.125" style="184" customWidth="1"/>
    <col min="1034" max="1036" width="0" style="184" hidden="1" customWidth="1"/>
    <col min="1037" max="1038" width="15.875" style="184" bestFit="1" customWidth="1"/>
    <col min="1039" max="1041" width="10" style="184" bestFit="1" customWidth="1"/>
    <col min="1042" max="1042" width="14.5" style="184" bestFit="1" customWidth="1"/>
    <col min="1043" max="1044" width="13.125" style="184" bestFit="1" customWidth="1"/>
    <col min="1045" max="1045" width="9.5" style="184" bestFit="1" customWidth="1"/>
    <col min="1046" max="1046" width="13.75" style="184" bestFit="1" customWidth="1"/>
    <col min="1047" max="1047" width="9.5" style="184" bestFit="1" customWidth="1"/>
    <col min="1048" max="1049" width="12.25" style="184" bestFit="1" customWidth="1"/>
    <col min="1050" max="1050" width="14.5" style="184" bestFit="1" customWidth="1"/>
    <col min="1051" max="1051" width="13.125" style="184" bestFit="1" customWidth="1"/>
    <col min="1052" max="1052" width="14.5" style="184" bestFit="1" customWidth="1"/>
    <col min="1053" max="1280" width="9" style="184"/>
    <col min="1281" max="1281" width="4.5" style="184" customWidth="1"/>
    <col min="1282" max="1282" width="12.75" style="184" bestFit="1" customWidth="1"/>
    <col min="1283" max="1283" width="0" style="184" hidden="1" customWidth="1"/>
    <col min="1284" max="1285" width="9.625" style="184" bestFit="1" customWidth="1"/>
    <col min="1286" max="1286" width="15.625" style="184" bestFit="1" customWidth="1"/>
    <col min="1287" max="1288" width="13.125" style="184" bestFit="1" customWidth="1"/>
    <col min="1289" max="1289" width="13.125" style="184" customWidth="1"/>
    <col min="1290" max="1292" width="0" style="184" hidden="1" customWidth="1"/>
    <col min="1293" max="1294" width="15.875" style="184" bestFit="1" customWidth="1"/>
    <col min="1295" max="1297" width="10" style="184" bestFit="1" customWidth="1"/>
    <col min="1298" max="1298" width="14.5" style="184" bestFit="1" customWidth="1"/>
    <col min="1299" max="1300" width="13.125" style="184" bestFit="1" customWidth="1"/>
    <col min="1301" max="1301" width="9.5" style="184" bestFit="1" customWidth="1"/>
    <col min="1302" max="1302" width="13.75" style="184" bestFit="1" customWidth="1"/>
    <col min="1303" max="1303" width="9.5" style="184" bestFit="1" customWidth="1"/>
    <col min="1304" max="1305" width="12.25" style="184" bestFit="1" customWidth="1"/>
    <col min="1306" max="1306" width="14.5" style="184" bestFit="1" customWidth="1"/>
    <col min="1307" max="1307" width="13.125" style="184" bestFit="1" customWidth="1"/>
    <col min="1308" max="1308" width="14.5" style="184" bestFit="1" customWidth="1"/>
    <col min="1309" max="1536" width="9" style="184"/>
    <col min="1537" max="1537" width="4.5" style="184" customWidth="1"/>
    <col min="1538" max="1538" width="12.75" style="184" bestFit="1" customWidth="1"/>
    <col min="1539" max="1539" width="0" style="184" hidden="1" customWidth="1"/>
    <col min="1540" max="1541" width="9.625" style="184" bestFit="1" customWidth="1"/>
    <col min="1542" max="1542" width="15.625" style="184" bestFit="1" customWidth="1"/>
    <col min="1543" max="1544" width="13.125" style="184" bestFit="1" customWidth="1"/>
    <col min="1545" max="1545" width="13.125" style="184" customWidth="1"/>
    <col min="1546" max="1548" width="0" style="184" hidden="1" customWidth="1"/>
    <col min="1549" max="1550" width="15.875" style="184" bestFit="1" customWidth="1"/>
    <col min="1551" max="1553" width="10" style="184" bestFit="1" customWidth="1"/>
    <col min="1554" max="1554" width="14.5" style="184" bestFit="1" customWidth="1"/>
    <col min="1555" max="1556" width="13.125" style="184" bestFit="1" customWidth="1"/>
    <col min="1557" max="1557" width="9.5" style="184" bestFit="1" customWidth="1"/>
    <col min="1558" max="1558" width="13.75" style="184" bestFit="1" customWidth="1"/>
    <col min="1559" max="1559" width="9.5" style="184" bestFit="1" customWidth="1"/>
    <col min="1560" max="1561" width="12.25" style="184" bestFit="1" customWidth="1"/>
    <col min="1562" max="1562" width="14.5" style="184" bestFit="1" customWidth="1"/>
    <col min="1563" max="1563" width="13.125" style="184" bestFit="1" customWidth="1"/>
    <col min="1564" max="1564" width="14.5" style="184" bestFit="1" customWidth="1"/>
    <col min="1565" max="1792" width="9" style="184"/>
    <col min="1793" max="1793" width="4.5" style="184" customWidth="1"/>
    <col min="1794" max="1794" width="12.75" style="184" bestFit="1" customWidth="1"/>
    <col min="1795" max="1795" width="0" style="184" hidden="1" customWidth="1"/>
    <col min="1796" max="1797" width="9.625" style="184" bestFit="1" customWidth="1"/>
    <col min="1798" max="1798" width="15.625" style="184" bestFit="1" customWidth="1"/>
    <col min="1799" max="1800" width="13.125" style="184" bestFit="1" customWidth="1"/>
    <col min="1801" max="1801" width="13.125" style="184" customWidth="1"/>
    <col min="1802" max="1804" width="0" style="184" hidden="1" customWidth="1"/>
    <col min="1805" max="1806" width="15.875" style="184" bestFit="1" customWidth="1"/>
    <col min="1807" max="1809" width="10" style="184" bestFit="1" customWidth="1"/>
    <col min="1810" max="1810" width="14.5" style="184" bestFit="1" customWidth="1"/>
    <col min="1811" max="1812" width="13.125" style="184" bestFit="1" customWidth="1"/>
    <col min="1813" max="1813" width="9.5" style="184" bestFit="1" customWidth="1"/>
    <col min="1814" max="1814" width="13.75" style="184" bestFit="1" customWidth="1"/>
    <col min="1815" max="1815" width="9.5" style="184" bestFit="1" customWidth="1"/>
    <col min="1816" max="1817" width="12.25" style="184" bestFit="1" customWidth="1"/>
    <col min="1818" max="1818" width="14.5" style="184" bestFit="1" customWidth="1"/>
    <col min="1819" max="1819" width="13.125" style="184" bestFit="1" customWidth="1"/>
    <col min="1820" max="1820" width="14.5" style="184" bestFit="1" customWidth="1"/>
    <col min="1821" max="2048" width="9" style="184"/>
    <col min="2049" max="2049" width="4.5" style="184" customWidth="1"/>
    <col min="2050" max="2050" width="12.75" style="184" bestFit="1" customWidth="1"/>
    <col min="2051" max="2051" width="0" style="184" hidden="1" customWidth="1"/>
    <col min="2052" max="2053" width="9.625" style="184" bestFit="1" customWidth="1"/>
    <col min="2054" max="2054" width="15.625" style="184" bestFit="1" customWidth="1"/>
    <col min="2055" max="2056" width="13.125" style="184" bestFit="1" customWidth="1"/>
    <col min="2057" max="2057" width="13.125" style="184" customWidth="1"/>
    <col min="2058" max="2060" width="0" style="184" hidden="1" customWidth="1"/>
    <col min="2061" max="2062" width="15.875" style="184" bestFit="1" customWidth="1"/>
    <col min="2063" max="2065" width="10" style="184" bestFit="1" customWidth="1"/>
    <col min="2066" max="2066" width="14.5" style="184" bestFit="1" customWidth="1"/>
    <col min="2067" max="2068" width="13.125" style="184" bestFit="1" customWidth="1"/>
    <col min="2069" max="2069" width="9.5" style="184" bestFit="1" customWidth="1"/>
    <col min="2070" max="2070" width="13.75" style="184" bestFit="1" customWidth="1"/>
    <col min="2071" max="2071" width="9.5" style="184" bestFit="1" customWidth="1"/>
    <col min="2072" max="2073" width="12.25" style="184" bestFit="1" customWidth="1"/>
    <col min="2074" max="2074" width="14.5" style="184" bestFit="1" customWidth="1"/>
    <col min="2075" max="2075" width="13.125" style="184" bestFit="1" customWidth="1"/>
    <col min="2076" max="2076" width="14.5" style="184" bestFit="1" customWidth="1"/>
    <col min="2077" max="2304" width="9" style="184"/>
    <col min="2305" max="2305" width="4.5" style="184" customWidth="1"/>
    <col min="2306" max="2306" width="12.75" style="184" bestFit="1" customWidth="1"/>
    <col min="2307" max="2307" width="0" style="184" hidden="1" customWidth="1"/>
    <col min="2308" max="2309" width="9.625" style="184" bestFit="1" customWidth="1"/>
    <col min="2310" max="2310" width="15.625" style="184" bestFit="1" customWidth="1"/>
    <col min="2311" max="2312" width="13.125" style="184" bestFit="1" customWidth="1"/>
    <col min="2313" max="2313" width="13.125" style="184" customWidth="1"/>
    <col min="2314" max="2316" width="0" style="184" hidden="1" customWidth="1"/>
    <col min="2317" max="2318" width="15.875" style="184" bestFit="1" customWidth="1"/>
    <col min="2319" max="2321" width="10" style="184" bestFit="1" customWidth="1"/>
    <col min="2322" max="2322" width="14.5" style="184" bestFit="1" customWidth="1"/>
    <col min="2323" max="2324" width="13.125" style="184" bestFit="1" customWidth="1"/>
    <col min="2325" max="2325" width="9.5" style="184" bestFit="1" customWidth="1"/>
    <col min="2326" max="2326" width="13.75" style="184" bestFit="1" customWidth="1"/>
    <col min="2327" max="2327" width="9.5" style="184" bestFit="1" customWidth="1"/>
    <col min="2328" max="2329" width="12.25" style="184" bestFit="1" customWidth="1"/>
    <col min="2330" max="2330" width="14.5" style="184" bestFit="1" customWidth="1"/>
    <col min="2331" max="2331" width="13.125" style="184" bestFit="1" customWidth="1"/>
    <col min="2332" max="2332" width="14.5" style="184" bestFit="1" customWidth="1"/>
    <col min="2333" max="2560" width="9" style="184"/>
    <col min="2561" max="2561" width="4.5" style="184" customWidth="1"/>
    <col min="2562" max="2562" width="12.75" style="184" bestFit="1" customWidth="1"/>
    <col min="2563" max="2563" width="0" style="184" hidden="1" customWidth="1"/>
    <col min="2564" max="2565" width="9.625" style="184" bestFit="1" customWidth="1"/>
    <col min="2566" max="2566" width="15.625" style="184" bestFit="1" customWidth="1"/>
    <col min="2567" max="2568" width="13.125" style="184" bestFit="1" customWidth="1"/>
    <col min="2569" max="2569" width="13.125" style="184" customWidth="1"/>
    <col min="2570" max="2572" width="0" style="184" hidden="1" customWidth="1"/>
    <col min="2573" max="2574" width="15.875" style="184" bestFit="1" customWidth="1"/>
    <col min="2575" max="2577" width="10" style="184" bestFit="1" customWidth="1"/>
    <col min="2578" max="2578" width="14.5" style="184" bestFit="1" customWidth="1"/>
    <col min="2579" max="2580" width="13.125" style="184" bestFit="1" customWidth="1"/>
    <col min="2581" max="2581" width="9.5" style="184" bestFit="1" customWidth="1"/>
    <col min="2582" max="2582" width="13.75" style="184" bestFit="1" customWidth="1"/>
    <col min="2583" max="2583" width="9.5" style="184" bestFit="1" customWidth="1"/>
    <col min="2584" max="2585" width="12.25" style="184" bestFit="1" customWidth="1"/>
    <col min="2586" max="2586" width="14.5" style="184" bestFit="1" customWidth="1"/>
    <col min="2587" max="2587" width="13.125" style="184" bestFit="1" customWidth="1"/>
    <col min="2588" max="2588" width="14.5" style="184" bestFit="1" customWidth="1"/>
    <col min="2589" max="2816" width="9" style="184"/>
    <col min="2817" max="2817" width="4.5" style="184" customWidth="1"/>
    <col min="2818" max="2818" width="12.75" style="184" bestFit="1" customWidth="1"/>
    <col min="2819" max="2819" width="0" style="184" hidden="1" customWidth="1"/>
    <col min="2820" max="2821" width="9.625" style="184" bestFit="1" customWidth="1"/>
    <col min="2822" max="2822" width="15.625" style="184" bestFit="1" customWidth="1"/>
    <col min="2823" max="2824" width="13.125" style="184" bestFit="1" customWidth="1"/>
    <col min="2825" max="2825" width="13.125" style="184" customWidth="1"/>
    <col min="2826" max="2828" width="0" style="184" hidden="1" customWidth="1"/>
    <col min="2829" max="2830" width="15.875" style="184" bestFit="1" customWidth="1"/>
    <col min="2831" max="2833" width="10" style="184" bestFit="1" customWidth="1"/>
    <col min="2834" max="2834" width="14.5" style="184" bestFit="1" customWidth="1"/>
    <col min="2835" max="2836" width="13.125" style="184" bestFit="1" customWidth="1"/>
    <col min="2837" max="2837" width="9.5" style="184" bestFit="1" customWidth="1"/>
    <col min="2838" max="2838" width="13.75" style="184" bestFit="1" customWidth="1"/>
    <col min="2839" max="2839" width="9.5" style="184" bestFit="1" customWidth="1"/>
    <col min="2840" max="2841" width="12.25" style="184" bestFit="1" customWidth="1"/>
    <col min="2842" max="2842" width="14.5" style="184" bestFit="1" customWidth="1"/>
    <col min="2843" max="2843" width="13.125" style="184" bestFit="1" customWidth="1"/>
    <col min="2844" max="2844" width="14.5" style="184" bestFit="1" customWidth="1"/>
    <col min="2845" max="3072" width="9" style="184"/>
    <col min="3073" max="3073" width="4.5" style="184" customWidth="1"/>
    <col min="3074" max="3074" width="12.75" style="184" bestFit="1" customWidth="1"/>
    <col min="3075" max="3075" width="0" style="184" hidden="1" customWidth="1"/>
    <col min="3076" max="3077" width="9.625" style="184" bestFit="1" customWidth="1"/>
    <col min="3078" max="3078" width="15.625" style="184" bestFit="1" customWidth="1"/>
    <col min="3079" max="3080" width="13.125" style="184" bestFit="1" customWidth="1"/>
    <col min="3081" max="3081" width="13.125" style="184" customWidth="1"/>
    <col min="3082" max="3084" width="0" style="184" hidden="1" customWidth="1"/>
    <col min="3085" max="3086" width="15.875" style="184" bestFit="1" customWidth="1"/>
    <col min="3087" max="3089" width="10" style="184" bestFit="1" customWidth="1"/>
    <col min="3090" max="3090" width="14.5" style="184" bestFit="1" customWidth="1"/>
    <col min="3091" max="3092" width="13.125" style="184" bestFit="1" customWidth="1"/>
    <col min="3093" max="3093" width="9.5" style="184" bestFit="1" customWidth="1"/>
    <col min="3094" max="3094" width="13.75" style="184" bestFit="1" customWidth="1"/>
    <col min="3095" max="3095" width="9.5" style="184" bestFit="1" customWidth="1"/>
    <col min="3096" max="3097" width="12.25" style="184" bestFit="1" customWidth="1"/>
    <col min="3098" max="3098" width="14.5" style="184" bestFit="1" customWidth="1"/>
    <col min="3099" max="3099" width="13.125" style="184" bestFit="1" customWidth="1"/>
    <col min="3100" max="3100" width="14.5" style="184" bestFit="1" customWidth="1"/>
    <col min="3101" max="3328" width="9" style="184"/>
    <col min="3329" max="3329" width="4.5" style="184" customWidth="1"/>
    <col min="3330" max="3330" width="12.75" style="184" bestFit="1" customWidth="1"/>
    <col min="3331" max="3331" width="0" style="184" hidden="1" customWidth="1"/>
    <col min="3332" max="3333" width="9.625" style="184" bestFit="1" customWidth="1"/>
    <col min="3334" max="3334" width="15.625" style="184" bestFit="1" customWidth="1"/>
    <col min="3335" max="3336" width="13.125" style="184" bestFit="1" customWidth="1"/>
    <col min="3337" max="3337" width="13.125" style="184" customWidth="1"/>
    <col min="3338" max="3340" width="0" style="184" hidden="1" customWidth="1"/>
    <col min="3341" max="3342" width="15.875" style="184" bestFit="1" customWidth="1"/>
    <col min="3343" max="3345" width="10" style="184" bestFit="1" customWidth="1"/>
    <col min="3346" max="3346" width="14.5" style="184" bestFit="1" customWidth="1"/>
    <col min="3347" max="3348" width="13.125" style="184" bestFit="1" customWidth="1"/>
    <col min="3349" max="3349" width="9.5" style="184" bestFit="1" customWidth="1"/>
    <col min="3350" max="3350" width="13.75" style="184" bestFit="1" customWidth="1"/>
    <col min="3351" max="3351" width="9.5" style="184" bestFit="1" customWidth="1"/>
    <col min="3352" max="3353" width="12.25" style="184" bestFit="1" customWidth="1"/>
    <col min="3354" max="3354" width="14.5" style="184" bestFit="1" customWidth="1"/>
    <col min="3355" max="3355" width="13.125" style="184" bestFit="1" customWidth="1"/>
    <col min="3356" max="3356" width="14.5" style="184" bestFit="1" customWidth="1"/>
    <col min="3357" max="3584" width="9" style="184"/>
    <col min="3585" max="3585" width="4.5" style="184" customWidth="1"/>
    <col min="3586" max="3586" width="12.75" style="184" bestFit="1" customWidth="1"/>
    <col min="3587" max="3587" width="0" style="184" hidden="1" customWidth="1"/>
    <col min="3588" max="3589" width="9.625" style="184" bestFit="1" customWidth="1"/>
    <col min="3590" max="3590" width="15.625" style="184" bestFit="1" customWidth="1"/>
    <col min="3591" max="3592" width="13.125" style="184" bestFit="1" customWidth="1"/>
    <col min="3593" max="3593" width="13.125" style="184" customWidth="1"/>
    <col min="3594" max="3596" width="0" style="184" hidden="1" customWidth="1"/>
    <col min="3597" max="3598" width="15.875" style="184" bestFit="1" customWidth="1"/>
    <col min="3599" max="3601" width="10" style="184" bestFit="1" customWidth="1"/>
    <col min="3602" max="3602" width="14.5" style="184" bestFit="1" customWidth="1"/>
    <col min="3603" max="3604" width="13.125" style="184" bestFit="1" customWidth="1"/>
    <col min="3605" max="3605" width="9.5" style="184" bestFit="1" customWidth="1"/>
    <col min="3606" max="3606" width="13.75" style="184" bestFit="1" customWidth="1"/>
    <col min="3607" max="3607" width="9.5" style="184" bestFit="1" customWidth="1"/>
    <col min="3608" max="3609" width="12.25" style="184" bestFit="1" customWidth="1"/>
    <col min="3610" max="3610" width="14.5" style="184" bestFit="1" customWidth="1"/>
    <col min="3611" max="3611" width="13.125" style="184" bestFit="1" customWidth="1"/>
    <col min="3612" max="3612" width="14.5" style="184" bestFit="1" customWidth="1"/>
    <col min="3613" max="3840" width="9" style="184"/>
    <col min="3841" max="3841" width="4.5" style="184" customWidth="1"/>
    <col min="3842" max="3842" width="12.75" style="184" bestFit="1" customWidth="1"/>
    <col min="3843" max="3843" width="0" style="184" hidden="1" customWidth="1"/>
    <col min="3844" max="3845" width="9.625" style="184" bestFit="1" customWidth="1"/>
    <col min="3846" max="3846" width="15.625" style="184" bestFit="1" customWidth="1"/>
    <col min="3847" max="3848" width="13.125" style="184" bestFit="1" customWidth="1"/>
    <col min="3849" max="3849" width="13.125" style="184" customWidth="1"/>
    <col min="3850" max="3852" width="0" style="184" hidden="1" customWidth="1"/>
    <col min="3853" max="3854" width="15.875" style="184" bestFit="1" customWidth="1"/>
    <col min="3855" max="3857" width="10" style="184" bestFit="1" customWidth="1"/>
    <col min="3858" max="3858" width="14.5" style="184" bestFit="1" customWidth="1"/>
    <col min="3859" max="3860" width="13.125" style="184" bestFit="1" customWidth="1"/>
    <col min="3861" max="3861" width="9.5" style="184" bestFit="1" customWidth="1"/>
    <col min="3862" max="3862" width="13.75" style="184" bestFit="1" customWidth="1"/>
    <col min="3863" max="3863" width="9.5" style="184" bestFit="1" customWidth="1"/>
    <col min="3864" max="3865" width="12.25" style="184" bestFit="1" customWidth="1"/>
    <col min="3866" max="3866" width="14.5" style="184" bestFit="1" customWidth="1"/>
    <col min="3867" max="3867" width="13.125" style="184" bestFit="1" customWidth="1"/>
    <col min="3868" max="3868" width="14.5" style="184" bestFit="1" customWidth="1"/>
    <col min="3869" max="4096" width="9" style="184"/>
    <col min="4097" max="4097" width="4.5" style="184" customWidth="1"/>
    <col min="4098" max="4098" width="12.75" style="184" bestFit="1" customWidth="1"/>
    <col min="4099" max="4099" width="0" style="184" hidden="1" customWidth="1"/>
    <col min="4100" max="4101" width="9.625" style="184" bestFit="1" customWidth="1"/>
    <col min="4102" max="4102" width="15.625" style="184" bestFit="1" customWidth="1"/>
    <col min="4103" max="4104" width="13.125" style="184" bestFit="1" customWidth="1"/>
    <col min="4105" max="4105" width="13.125" style="184" customWidth="1"/>
    <col min="4106" max="4108" width="0" style="184" hidden="1" customWidth="1"/>
    <col min="4109" max="4110" width="15.875" style="184" bestFit="1" customWidth="1"/>
    <col min="4111" max="4113" width="10" style="184" bestFit="1" customWidth="1"/>
    <col min="4114" max="4114" width="14.5" style="184" bestFit="1" customWidth="1"/>
    <col min="4115" max="4116" width="13.125" style="184" bestFit="1" customWidth="1"/>
    <col min="4117" max="4117" width="9.5" style="184" bestFit="1" customWidth="1"/>
    <col min="4118" max="4118" width="13.75" style="184" bestFit="1" customWidth="1"/>
    <col min="4119" max="4119" width="9.5" style="184" bestFit="1" customWidth="1"/>
    <col min="4120" max="4121" width="12.25" style="184" bestFit="1" customWidth="1"/>
    <col min="4122" max="4122" width="14.5" style="184" bestFit="1" customWidth="1"/>
    <col min="4123" max="4123" width="13.125" style="184" bestFit="1" customWidth="1"/>
    <col min="4124" max="4124" width="14.5" style="184" bestFit="1" customWidth="1"/>
    <col min="4125" max="4352" width="9" style="184"/>
    <col min="4353" max="4353" width="4.5" style="184" customWidth="1"/>
    <col min="4354" max="4354" width="12.75" style="184" bestFit="1" customWidth="1"/>
    <col min="4355" max="4355" width="0" style="184" hidden="1" customWidth="1"/>
    <col min="4356" max="4357" width="9.625" style="184" bestFit="1" customWidth="1"/>
    <col min="4358" max="4358" width="15.625" style="184" bestFit="1" customWidth="1"/>
    <col min="4359" max="4360" width="13.125" style="184" bestFit="1" customWidth="1"/>
    <col min="4361" max="4361" width="13.125" style="184" customWidth="1"/>
    <col min="4362" max="4364" width="0" style="184" hidden="1" customWidth="1"/>
    <col min="4365" max="4366" width="15.875" style="184" bestFit="1" customWidth="1"/>
    <col min="4367" max="4369" width="10" style="184" bestFit="1" customWidth="1"/>
    <col min="4370" max="4370" width="14.5" style="184" bestFit="1" customWidth="1"/>
    <col min="4371" max="4372" width="13.125" style="184" bestFit="1" customWidth="1"/>
    <col min="4373" max="4373" width="9.5" style="184" bestFit="1" customWidth="1"/>
    <col min="4374" max="4374" width="13.75" style="184" bestFit="1" customWidth="1"/>
    <col min="4375" max="4375" width="9.5" style="184" bestFit="1" customWidth="1"/>
    <col min="4376" max="4377" width="12.25" style="184" bestFit="1" customWidth="1"/>
    <col min="4378" max="4378" width="14.5" style="184" bestFit="1" customWidth="1"/>
    <col min="4379" max="4379" width="13.125" style="184" bestFit="1" customWidth="1"/>
    <col min="4380" max="4380" width="14.5" style="184" bestFit="1" customWidth="1"/>
    <col min="4381" max="4608" width="9" style="184"/>
    <col min="4609" max="4609" width="4.5" style="184" customWidth="1"/>
    <col min="4610" max="4610" width="12.75" style="184" bestFit="1" customWidth="1"/>
    <col min="4611" max="4611" width="0" style="184" hidden="1" customWidth="1"/>
    <col min="4612" max="4613" width="9.625" style="184" bestFit="1" customWidth="1"/>
    <col min="4614" max="4614" width="15.625" style="184" bestFit="1" customWidth="1"/>
    <col min="4615" max="4616" width="13.125" style="184" bestFit="1" customWidth="1"/>
    <col min="4617" max="4617" width="13.125" style="184" customWidth="1"/>
    <col min="4618" max="4620" width="0" style="184" hidden="1" customWidth="1"/>
    <col min="4621" max="4622" width="15.875" style="184" bestFit="1" customWidth="1"/>
    <col min="4623" max="4625" width="10" style="184" bestFit="1" customWidth="1"/>
    <col min="4626" max="4626" width="14.5" style="184" bestFit="1" customWidth="1"/>
    <col min="4627" max="4628" width="13.125" style="184" bestFit="1" customWidth="1"/>
    <col min="4629" max="4629" width="9.5" style="184" bestFit="1" customWidth="1"/>
    <col min="4630" max="4630" width="13.75" style="184" bestFit="1" customWidth="1"/>
    <col min="4631" max="4631" width="9.5" style="184" bestFit="1" customWidth="1"/>
    <col min="4632" max="4633" width="12.25" style="184" bestFit="1" customWidth="1"/>
    <col min="4634" max="4634" width="14.5" style="184" bestFit="1" customWidth="1"/>
    <col min="4635" max="4635" width="13.125" style="184" bestFit="1" customWidth="1"/>
    <col min="4636" max="4636" width="14.5" style="184" bestFit="1" customWidth="1"/>
    <col min="4637" max="4864" width="9" style="184"/>
    <col min="4865" max="4865" width="4.5" style="184" customWidth="1"/>
    <col min="4866" max="4866" width="12.75" style="184" bestFit="1" customWidth="1"/>
    <col min="4867" max="4867" width="0" style="184" hidden="1" customWidth="1"/>
    <col min="4868" max="4869" width="9.625" style="184" bestFit="1" customWidth="1"/>
    <col min="4870" max="4870" width="15.625" style="184" bestFit="1" customWidth="1"/>
    <col min="4871" max="4872" width="13.125" style="184" bestFit="1" customWidth="1"/>
    <col min="4873" max="4873" width="13.125" style="184" customWidth="1"/>
    <col min="4874" max="4876" width="0" style="184" hidden="1" customWidth="1"/>
    <col min="4877" max="4878" width="15.875" style="184" bestFit="1" customWidth="1"/>
    <col min="4879" max="4881" width="10" style="184" bestFit="1" customWidth="1"/>
    <col min="4882" max="4882" width="14.5" style="184" bestFit="1" customWidth="1"/>
    <col min="4883" max="4884" width="13.125" style="184" bestFit="1" customWidth="1"/>
    <col min="4885" max="4885" width="9.5" style="184" bestFit="1" customWidth="1"/>
    <col min="4886" max="4886" width="13.75" style="184" bestFit="1" customWidth="1"/>
    <col min="4887" max="4887" width="9.5" style="184" bestFit="1" customWidth="1"/>
    <col min="4888" max="4889" width="12.25" style="184" bestFit="1" customWidth="1"/>
    <col min="4890" max="4890" width="14.5" style="184" bestFit="1" customWidth="1"/>
    <col min="4891" max="4891" width="13.125" style="184" bestFit="1" customWidth="1"/>
    <col min="4892" max="4892" width="14.5" style="184" bestFit="1" customWidth="1"/>
    <col min="4893" max="5120" width="9" style="184"/>
    <col min="5121" max="5121" width="4.5" style="184" customWidth="1"/>
    <col min="5122" max="5122" width="12.75" style="184" bestFit="1" customWidth="1"/>
    <col min="5123" max="5123" width="0" style="184" hidden="1" customWidth="1"/>
    <col min="5124" max="5125" width="9.625" style="184" bestFit="1" customWidth="1"/>
    <col min="5126" max="5126" width="15.625" style="184" bestFit="1" customWidth="1"/>
    <col min="5127" max="5128" width="13.125" style="184" bestFit="1" customWidth="1"/>
    <col min="5129" max="5129" width="13.125" style="184" customWidth="1"/>
    <col min="5130" max="5132" width="0" style="184" hidden="1" customWidth="1"/>
    <col min="5133" max="5134" width="15.875" style="184" bestFit="1" customWidth="1"/>
    <col min="5135" max="5137" width="10" style="184" bestFit="1" customWidth="1"/>
    <col min="5138" max="5138" width="14.5" style="184" bestFit="1" customWidth="1"/>
    <col min="5139" max="5140" width="13.125" style="184" bestFit="1" customWidth="1"/>
    <col min="5141" max="5141" width="9.5" style="184" bestFit="1" customWidth="1"/>
    <col min="5142" max="5142" width="13.75" style="184" bestFit="1" customWidth="1"/>
    <col min="5143" max="5143" width="9.5" style="184" bestFit="1" customWidth="1"/>
    <col min="5144" max="5145" width="12.25" style="184" bestFit="1" customWidth="1"/>
    <col min="5146" max="5146" width="14.5" style="184" bestFit="1" customWidth="1"/>
    <col min="5147" max="5147" width="13.125" style="184" bestFit="1" customWidth="1"/>
    <col min="5148" max="5148" width="14.5" style="184" bestFit="1" customWidth="1"/>
    <col min="5149" max="5376" width="9" style="184"/>
    <col min="5377" max="5377" width="4.5" style="184" customWidth="1"/>
    <col min="5378" max="5378" width="12.75" style="184" bestFit="1" customWidth="1"/>
    <col min="5379" max="5379" width="0" style="184" hidden="1" customWidth="1"/>
    <col min="5380" max="5381" width="9.625" style="184" bestFit="1" customWidth="1"/>
    <col min="5382" max="5382" width="15.625" style="184" bestFit="1" customWidth="1"/>
    <col min="5383" max="5384" width="13.125" style="184" bestFit="1" customWidth="1"/>
    <col min="5385" max="5385" width="13.125" style="184" customWidth="1"/>
    <col min="5386" max="5388" width="0" style="184" hidden="1" customWidth="1"/>
    <col min="5389" max="5390" width="15.875" style="184" bestFit="1" customWidth="1"/>
    <col min="5391" max="5393" width="10" style="184" bestFit="1" customWidth="1"/>
    <col min="5394" max="5394" width="14.5" style="184" bestFit="1" customWidth="1"/>
    <col min="5395" max="5396" width="13.125" style="184" bestFit="1" customWidth="1"/>
    <col min="5397" max="5397" width="9.5" style="184" bestFit="1" customWidth="1"/>
    <col min="5398" max="5398" width="13.75" style="184" bestFit="1" customWidth="1"/>
    <col min="5399" max="5399" width="9.5" style="184" bestFit="1" customWidth="1"/>
    <col min="5400" max="5401" width="12.25" style="184" bestFit="1" customWidth="1"/>
    <col min="5402" max="5402" width="14.5" style="184" bestFit="1" customWidth="1"/>
    <col min="5403" max="5403" width="13.125" style="184" bestFit="1" customWidth="1"/>
    <col min="5404" max="5404" width="14.5" style="184" bestFit="1" customWidth="1"/>
    <col min="5405" max="5632" width="9" style="184"/>
    <col min="5633" max="5633" width="4.5" style="184" customWidth="1"/>
    <col min="5634" max="5634" width="12.75" style="184" bestFit="1" customWidth="1"/>
    <col min="5635" max="5635" width="0" style="184" hidden="1" customWidth="1"/>
    <col min="5636" max="5637" width="9.625" style="184" bestFit="1" customWidth="1"/>
    <col min="5638" max="5638" width="15.625" style="184" bestFit="1" customWidth="1"/>
    <col min="5639" max="5640" width="13.125" style="184" bestFit="1" customWidth="1"/>
    <col min="5641" max="5641" width="13.125" style="184" customWidth="1"/>
    <col min="5642" max="5644" width="0" style="184" hidden="1" customWidth="1"/>
    <col min="5645" max="5646" width="15.875" style="184" bestFit="1" customWidth="1"/>
    <col min="5647" max="5649" width="10" style="184" bestFit="1" customWidth="1"/>
    <col min="5650" max="5650" width="14.5" style="184" bestFit="1" customWidth="1"/>
    <col min="5651" max="5652" width="13.125" style="184" bestFit="1" customWidth="1"/>
    <col min="5653" max="5653" width="9.5" style="184" bestFit="1" customWidth="1"/>
    <col min="5654" max="5654" width="13.75" style="184" bestFit="1" customWidth="1"/>
    <col min="5655" max="5655" width="9.5" style="184" bestFit="1" customWidth="1"/>
    <col min="5656" max="5657" width="12.25" style="184" bestFit="1" customWidth="1"/>
    <col min="5658" max="5658" width="14.5" style="184" bestFit="1" customWidth="1"/>
    <col min="5659" max="5659" width="13.125" style="184" bestFit="1" customWidth="1"/>
    <col min="5660" max="5660" width="14.5" style="184" bestFit="1" customWidth="1"/>
    <col min="5661" max="5888" width="9" style="184"/>
    <col min="5889" max="5889" width="4.5" style="184" customWidth="1"/>
    <col min="5890" max="5890" width="12.75" style="184" bestFit="1" customWidth="1"/>
    <col min="5891" max="5891" width="0" style="184" hidden="1" customWidth="1"/>
    <col min="5892" max="5893" width="9.625" style="184" bestFit="1" customWidth="1"/>
    <col min="5894" max="5894" width="15.625" style="184" bestFit="1" customWidth="1"/>
    <col min="5895" max="5896" width="13.125" style="184" bestFit="1" customWidth="1"/>
    <col min="5897" max="5897" width="13.125" style="184" customWidth="1"/>
    <col min="5898" max="5900" width="0" style="184" hidden="1" customWidth="1"/>
    <col min="5901" max="5902" width="15.875" style="184" bestFit="1" customWidth="1"/>
    <col min="5903" max="5905" width="10" style="184" bestFit="1" customWidth="1"/>
    <col min="5906" max="5906" width="14.5" style="184" bestFit="1" customWidth="1"/>
    <col min="5907" max="5908" width="13.125" style="184" bestFit="1" customWidth="1"/>
    <col min="5909" max="5909" width="9.5" style="184" bestFit="1" customWidth="1"/>
    <col min="5910" max="5910" width="13.75" style="184" bestFit="1" customWidth="1"/>
    <col min="5911" max="5911" width="9.5" style="184" bestFit="1" customWidth="1"/>
    <col min="5912" max="5913" width="12.25" style="184" bestFit="1" customWidth="1"/>
    <col min="5914" max="5914" width="14.5" style="184" bestFit="1" customWidth="1"/>
    <col min="5915" max="5915" width="13.125" style="184" bestFit="1" customWidth="1"/>
    <col min="5916" max="5916" width="14.5" style="184" bestFit="1" customWidth="1"/>
    <col min="5917" max="6144" width="9" style="184"/>
    <col min="6145" max="6145" width="4.5" style="184" customWidth="1"/>
    <col min="6146" max="6146" width="12.75" style="184" bestFit="1" customWidth="1"/>
    <col min="6147" max="6147" width="0" style="184" hidden="1" customWidth="1"/>
    <col min="6148" max="6149" width="9.625" style="184" bestFit="1" customWidth="1"/>
    <col min="6150" max="6150" width="15.625" style="184" bestFit="1" customWidth="1"/>
    <col min="6151" max="6152" width="13.125" style="184" bestFit="1" customWidth="1"/>
    <col min="6153" max="6153" width="13.125" style="184" customWidth="1"/>
    <col min="6154" max="6156" width="0" style="184" hidden="1" customWidth="1"/>
    <col min="6157" max="6158" width="15.875" style="184" bestFit="1" customWidth="1"/>
    <col min="6159" max="6161" width="10" style="184" bestFit="1" customWidth="1"/>
    <col min="6162" max="6162" width="14.5" style="184" bestFit="1" customWidth="1"/>
    <col min="6163" max="6164" width="13.125" style="184" bestFit="1" customWidth="1"/>
    <col min="6165" max="6165" width="9.5" style="184" bestFit="1" customWidth="1"/>
    <col min="6166" max="6166" width="13.75" style="184" bestFit="1" customWidth="1"/>
    <col min="6167" max="6167" width="9.5" style="184" bestFit="1" customWidth="1"/>
    <col min="6168" max="6169" width="12.25" style="184" bestFit="1" customWidth="1"/>
    <col min="6170" max="6170" width="14.5" style="184" bestFit="1" customWidth="1"/>
    <col min="6171" max="6171" width="13.125" style="184" bestFit="1" customWidth="1"/>
    <col min="6172" max="6172" width="14.5" style="184" bestFit="1" customWidth="1"/>
    <col min="6173" max="6400" width="9" style="184"/>
    <col min="6401" max="6401" width="4.5" style="184" customWidth="1"/>
    <col min="6402" max="6402" width="12.75" style="184" bestFit="1" customWidth="1"/>
    <col min="6403" max="6403" width="0" style="184" hidden="1" customWidth="1"/>
    <col min="6404" max="6405" width="9.625" style="184" bestFit="1" customWidth="1"/>
    <col min="6406" max="6406" width="15.625" style="184" bestFit="1" customWidth="1"/>
    <col min="6407" max="6408" width="13.125" style="184" bestFit="1" customWidth="1"/>
    <col min="6409" max="6409" width="13.125" style="184" customWidth="1"/>
    <col min="6410" max="6412" width="0" style="184" hidden="1" customWidth="1"/>
    <col min="6413" max="6414" width="15.875" style="184" bestFit="1" customWidth="1"/>
    <col min="6415" max="6417" width="10" style="184" bestFit="1" customWidth="1"/>
    <col min="6418" max="6418" width="14.5" style="184" bestFit="1" customWidth="1"/>
    <col min="6419" max="6420" width="13.125" style="184" bestFit="1" customWidth="1"/>
    <col min="6421" max="6421" width="9.5" style="184" bestFit="1" customWidth="1"/>
    <col min="6422" max="6422" width="13.75" style="184" bestFit="1" customWidth="1"/>
    <col min="6423" max="6423" width="9.5" style="184" bestFit="1" customWidth="1"/>
    <col min="6424" max="6425" width="12.25" style="184" bestFit="1" customWidth="1"/>
    <col min="6426" max="6426" width="14.5" style="184" bestFit="1" customWidth="1"/>
    <col min="6427" max="6427" width="13.125" style="184" bestFit="1" customWidth="1"/>
    <col min="6428" max="6428" width="14.5" style="184" bestFit="1" customWidth="1"/>
    <col min="6429" max="6656" width="9" style="184"/>
    <col min="6657" max="6657" width="4.5" style="184" customWidth="1"/>
    <col min="6658" max="6658" width="12.75" style="184" bestFit="1" customWidth="1"/>
    <col min="6659" max="6659" width="0" style="184" hidden="1" customWidth="1"/>
    <col min="6660" max="6661" width="9.625" style="184" bestFit="1" customWidth="1"/>
    <col min="6662" max="6662" width="15.625" style="184" bestFit="1" customWidth="1"/>
    <col min="6663" max="6664" width="13.125" style="184" bestFit="1" customWidth="1"/>
    <col min="6665" max="6665" width="13.125" style="184" customWidth="1"/>
    <col min="6666" max="6668" width="0" style="184" hidden="1" customWidth="1"/>
    <col min="6669" max="6670" width="15.875" style="184" bestFit="1" customWidth="1"/>
    <col min="6671" max="6673" width="10" style="184" bestFit="1" customWidth="1"/>
    <col min="6674" max="6674" width="14.5" style="184" bestFit="1" customWidth="1"/>
    <col min="6675" max="6676" width="13.125" style="184" bestFit="1" customWidth="1"/>
    <col min="6677" max="6677" width="9.5" style="184" bestFit="1" customWidth="1"/>
    <col min="6678" max="6678" width="13.75" style="184" bestFit="1" customWidth="1"/>
    <col min="6679" max="6679" width="9.5" style="184" bestFit="1" customWidth="1"/>
    <col min="6680" max="6681" width="12.25" style="184" bestFit="1" customWidth="1"/>
    <col min="6682" max="6682" width="14.5" style="184" bestFit="1" customWidth="1"/>
    <col min="6683" max="6683" width="13.125" style="184" bestFit="1" customWidth="1"/>
    <col min="6684" max="6684" width="14.5" style="184" bestFit="1" customWidth="1"/>
    <col min="6685" max="6912" width="9" style="184"/>
    <col min="6913" max="6913" width="4.5" style="184" customWidth="1"/>
    <col min="6914" max="6914" width="12.75" style="184" bestFit="1" customWidth="1"/>
    <col min="6915" max="6915" width="0" style="184" hidden="1" customWidth="1"/>
    <col min="6916" max="6917" width="9.625" style="184" bestFit="1" customWidth="1"/>
    <col min="6918" max="6918" width="15.625" style="184" bestFit="1" customWidth="1"/>
    <col min="6919" max="6920" width="13.125" style="184" bestFit="1" customWidth="1"/>
    <col min="6921" max="6921" width="13.125" style="184" customWidth="1"/>
    <col min="6922" max="6924" width="0" style="184" hidden="1" customWidth="1"/>
    <col min="6925" max="6926" width="15.875" style="184" bestFit="1" customWidth="1"/>
    <col min="6927" max="6929" width="10" style="184" bestFit="1" customWidth="1"/>
    <col min="6930" max="6930" width="14.5" style="184" bestFit="1" customWidth="1"/>
    <col min="6931" max="6932" width="13.125" style="184" bestFit="1" customWidth="1"/>
    <col min="6933" max="6933" width="9.5" style="184" bestFit="1" customWidth="1"/>
    <col min="6934" max="6934" width="13.75" style="184" bestFit="1" customWidth="1"/>
    <col min="6935" max="6935" width="9.5" style="184" bestFit="1" customWidth="1"/>
    <col min="6936" max="6937" width="12.25" style="184" bestFit="1" customWidth="1"/>
    <col min="6938" max="6938" width="14.5" style="184" bestFit="1" customWidth="1"/>
    <col min="6939" max="6939" width="13.125" style="184" bestFit="1" customWidth="1"/>
    <col min="6940" max="6940" width="14.5" style="184" bestFit="1" customWidth="1"/>
    <col min="6941" max="7168" width="9" style="184"/>
    <col min="7169" max="7169" width="4.5" style="184" customWidth="1"/>
    <col min="7170" max="7170" width="12.75" style="184" bestFit="1" customWidth="1"/>
    <col min="7171" max="7171" width="0" style="184" hidden="1" customWidth="1"/>
    <col min="7172" max="7173" width="9.625" style="184" bestFit="1" customWidth="1"/>
    <col min="7174" max="7174" width="15.625" style="184" bestFit="1" customWidth="1"/>
    <col min="7175" max="7176" width="13.125" style="184" bestFit="1" customWidth="1"/>
    <col min="7177" max="7177" width="13.125" style="184" customWidth="1"/>
    <col min="7178" max="7180" width="0" style="184" hidden="1" customWidth="1"/>
    <col min="7181" max="7182" width="15.875" style="184" bestFit="1" customWidth="1"/>
    <col min="7183" max="7185" width="10" style="184" bestFit="1" customWidth="1"/>
    <col min="7186" max="7186" width="14.5" style="184" bestFit="1" customWidth="1"/>
    <col min="7187" max="7188" width="13.125" style="184" bestFit="1" customWidth="1"/>
    <col min="7189" max="7189" width="9.5" style="184" bestFit="1" customWidth="1"/>
    <col min="7190" max="7190" width="13.75" style="184" bestFit="1" customWidth="1"/>
    <col min="7191" max="7191" width="9.5" style="184" bestFit="1" customWidth="1"/>
    <col min="7192" max="7193" width="12.25" style="184" bestFit="1" customWidth="1"/>
    <col min="7194" max="7194" width="14.5" style="184" bestFit="1" customWidth="1"/>
    <col min="7195" max="7195" width="13.125" style="184" bestFit="1" customWidth="1"/>
    <col min="7196" max="7196" width="14.5" style="184" bestFit="1" customWidth="1"/>
    <col min="7197" max="7424" width="9" style="184"/>
    <col min="7425" max="7425" width="4.5" style="184" customWidth="1"/>
    <col min="7426" max="7426" width="12.75" style="184" bestFit="1" customWidth="1"/>
    <col min="7427" max="7427" width="0" style="184" hidden="1" customWidth="1"/>
    <col min="7428" max="7429" width="9.625" style="184" bestFit="1" customWidth="1"/>
    <col min="7430" max="7430" width="15.625" style="184" bestFit="1" customWidth="1"/>
    <col min="7431" max="7432" width="13.125" style="184" bestFit="1" customWidth="1"/>
    <col min="7433" max="7433" width="13.125" style="184" customWidth="1"/>
    <col min="7434" max="7436" width="0" style="184" hidden="1" customWidth="1"/>
    <col min="7437" max="7438" width="15.875" style="184" bestFit="1" customWidth="1"/>
    <col min="7439" max="7441" width="10" style="184" bestFit="1" customWidth="1"/>
    <col min="7442" max="7442" width="14.5" style="184" bestFit="1" customWidth="1"/>
    <col min="7443" max="7444" width="13.125" style="184" bestFit="1" customWidth="1"/>
    <col min="7445" max="7445" width="9.5" style="184" bestFit="1" customWidth="1"/>
    <col min="7446" max="7446" width="13.75" style="184" bestFit="1" customWidth="1"/>
    <col min="7447" max="7447" width="9.5" style="184" bestFit="1" customWidth="1"/>
    <col min="7448" max="7449" width="12.25" style="184" bestFit="1" customWidth="1"/>
    <col min="7450" max="7450" width="14.5" style="184" bestFit="1" customWidth="1"/>
    <col min="7451" max="7451" width="13.125" style="184" bestFit="1" customWidth="1"/>
    <col min="7452" max="7452" width="14.5" style="184" bestFit="1" customWidth="1"/>
    <col min="7453" max="7680" width="9" style="184"/>
    <col min="7681" max="7681" width="4.5" style="184" customWidth="1"/>
    <col min="7682" max="7682" width="12.75" style="184" bestFit="1" customWidth="1"/>
    <col min="7683" max="7683" width="0" style="184" hidden="1" customWidth="1"/>
    <col min="7684" max="7685" width="9.625" style="184" bestFit="1" customWidth="1"/>
    <col min="7686" max="7686" width="15.625" style="184" bestFit="1" customWidth="1"/>
    <col min="7687" max="7688" width="13.125" style="184" bestFit="1" customWidth="1"/>
    <col min="7689" max="7689" width="13.125" style="184" customWidth="1"/>
    <col min="7690" max="7692" width="0" style="184" hidden="1" customWidth="1"/>
    <col min="7693" max="7694" width="15.875" style="184" bestFit="1" customWidth="1"/>
    <col min="7695" max="7697" width="10" style="184" bestFit="1" customWidth="1"/>
    <col min="7698" max="7698" width="14.5" style="184" bestFit="1" customWidth="1"/>
    <col min="7699" max="7700" width="13.125" style="184" bestFit="1" customWidth="1"/>
    <col min="7701" max="7701" width="9.5" style="184" bestFit="1" customWidth="1"/>
    <col min="7702" max="7702" width="13.75" style="184" bestFit="1" customWidth="1"/>
    <col min="7703" max="7703" width="9.5" style="184" bestFit="1" customWidth="1"/>
    <col min="7704" max="7705" width="12.25" style="184" bestFit="1" customWidth="1"/>
    <col min="7706" max="7706" width="14.5" style="184" bestFit="1" customWidth="1"/>
    <col min="7707" max="7707" width="13.125" style="184" bestFit="1" customWidth="1"/>
    <col min="7708" max="7708" width="14.5" style="184" bestFit="1" customWidth="1"/>
    <col min="7709" max="7936" width="9" style="184"/>
    <col min="7937" max="7937" width="4.5" style="184" customWidth="1"/>
    <col min="7938" max="7938" width="12.75" style="184" bestFit="1" customWidth="1"/>
    <col min="7939" max="7939" width="0" style="184" hidden="1" customWidth="1"/>
    <col min="7940" max="7941" width="9.625" style="184" bestFit="1" customWidth="1"/>
    <col min="7942" max="7942" width="15.625" style="184" bestFit="1" customWidth="1"/>
    <col min="7943" max="7944" width="13.125" style="184" bestFit="1" customWidth="1"/>
    <col min="7945" max="7945" width="13.125" style="184" customWidth="1"/>
    <col min="7946" max="7948" width="0" style="184" hidden="1" customWidth="1"/>
    <col min="7949" max="7950" width="15.875" style="184" bestFit="1" customWidth="1"/>
    <col min="7951" max="7953" width="10" style="184" bestFit="1" customWidth="1"/>
    <col min="7954" max="7954" width="14.5" style="184" bestFit="1" customWidth="1"/>
    <col min="7955" max="7956" width="13.125" style="184" bestFit="1" customWidth="1"/>
    <col min="7957" max="7957" width="9.5" style="184" bestFit="1" customWidth="1"/>
    <col min="7958" max="7958" width="13.75" style="184" bestFit="1" customWidth="1"/>
    <col min="7959" max="7959" width="9.5" style="184" bestFit="1" customWidth="1"/>
    <col min="7960" max="7961" width="12.25" style="184" bestFit="1" customWidth="1"/>
    <col min="7962" max="7962" width="14.5" style="184" bestFit="1" customWidth="1"/>
    <col min="7963" max="7963" width="13.125" style="184" bestFit="1" customWidth="1"/>
    <col min="7964" max="7964" width="14.5" style="184" bestFit="1" customWidth="1"/>
    <col min="7965" max="8192" width="9" style="184"/>
    <col min="8193" max="8193" width="4.5" style="184" customWidth="1"/>
    <col min="8194" max="8194" width="12.75" style="184" bestFit="1" customWidth="1"/>
    <col min="8195" max="8195" width="0" style="184" hidden="1" customWidth="1"/>
    <col min="8196" max="8197" width="9.625" style="184" bestFit="1" customWidth="1"/>
    <col min="8198" max="8198" width="15.625" style="184" bestFit="1" customWidth="1"/>
    <col min="8199" max="8200" width="13.125" style="184" bestFit="1" customWidth="1"/>
    <col min="8201" max="8201" width="13.125" style="184" customWidth="1"/>
    <col min="8202" max="8204" width="0" style="184" hidden="1" customWidth="1"/>
    <col min="8205" max="8206" width="15.875" style="184" bestFit="1" customWidth="1"/>
    <col min="8207" max="8209" width="10" style="184" bestFit="1" customWidth="1"/>
    <col min="8210" max="8210" width="14.5" style="184" bestFit="1" customWidth="1"/>
    <col min="8211" max="8212" width="13.125" style="184" bestFit="1" customWidth="1"/>
    <col min="8213" max="8213" width="9.5" style="184" bestFit="1" customWidth="1"/>
    <col min="8214" max="8214" width="13.75" style="184" bestFit="1" customWidth="1"/>
    <col min="8215" max="8215" width="9.5" style="184" bestFit="1" customWidth="1"/>
    <col min="8216" max="8217" width="12.25" style="184" bestFit="1" customWidth="1"/>
    <col min="8218" max="8218" width="14.5" style="184" bestFit="1" customWidth="1"/>
    <col min="8219" max="8219" width="13.125" style="184" bestFit="1" customWidth="1"/>
    <col min="8220" max="8220" width="14.5" style="184" bestFit="1" customWidth="1"/>
    <col min="8221" max="8448" width="9" style="184"/>
    <col min="8449" max="8449" width="4.5" style="184" customWidth="1"/>
    <col min="8450" max="8450" width="12.75" style="184" bestFit="1" customWidth="1"/>
    <col min="8451" max="8451" width="0" style="184" hidden="1" customWidth="1"/>
    <col min="8452" max="8453" width="9.625" style="184" bestFit="1" customWidth="1"/>
    <col min="8454" max="8454" width="15.625" style="184" bestFit="1" customWidth="1"/>
    <col min="8455" max="8456" width="13.125" style="184" bestFit="1" customWidth="1"/>
    <col min="8457" max="8457" width="13.125" style="184" customWidth="1"/>
    <col min="8458" max="8460" width="0" style="184" hidden="1" customWidth="1"/>
    <col min="8461" max="8462" width="15.875" style="184" bestFit="1" customWidth="1"/>
    <col min="8463" max="8465" width="10" style="184" bestFit="1" customWidth="1"/>
    <col min="8466" max="8466" width="14.5" style="184" bestFit="1" customWidth="1"/>
    <col min="8467" max="8468" width="13.125" style="184" bestFit="1" customWidth="1"/>
    <col min="8469" max="8469" width="9.5" style="184" bestFit="1" customWidth="1"/>
    <col min="8470" max="8470" width="13.75" style="184" bestFit="1" customWidth="1"/>
    <col min="8471" max="8471" width="9.5" style="184" bestFit="1" customWidth="1"/>
    <col min="8472" max="8473" width="12.25" style="184" bestFit="1" customWidth="1"/>
    <col min="8474" max="8474" width="14.5" style="184" bestFit="1" customWidth="1"/>
    <col min="8475" max="8475" width="13.125" style="184" bestFit="1" customWidth="1"/>
    <col min="8476" max="8476" width="14.5" style="184" bestFit="1" customWidth="1"/>
    <col min="8477" max="8704" width="9" style="184"/>
    <col min="8705" max="8705" width="4.5" style="184" customWidth="1"/>
    <col min="8706" max="8706" width="12.75" style="184" bestFit="1" customWidth="1"/>
    <col min="8707" max="8707" width="0" style="184" hidden="1" customWidth="1"/>
    <col min="8708" max="8709" width="9.625" style="184" bestFit="1" customWidth="1"/>
    <col min="8710" max="8710" width="15.625" style="184" bestFit="1" customWidth="1"/>
    <col min="8711" max="8712" width="13.125" style="184" bestFit="1" customWidth="1"/>
    <col min="8713" max="8713" width="13.125" style="184" customWidth="1"/>
    <col min="8714" max="8716" width="0" style="184" hidden="1" customWidth="1"/>
    <col min="8717" max="8718" width="15.875" style="184" bestFit="1" customWidth="1"/>
    <col min="8719" max="8721" width="10" style="184" bestFit="1" customWidth="1"/>
    <col min="8722" max="8722" width="14.5" style="184" bestFit="1" customWidth="1"/>
    <col min="8723" max="8724" width="13.125" style="184" bestFit="1" customWidth="1"/>
    <col min="8725" max="8725" width="9.5" style="184" bestFit="1" customWidth="1"/>
    <col min="8726" max="8726" width="13.75" style="184" bestFit="1" customWidth="1"/>
    <col min="8727" max="8727" width="9.5" style="184" bestFit="1" customWidth="1"/>
    <col min="8728" max="8729" width="12.25" style="184" bestFit="1" customWidth="1"/>
    <col min="8730" max="8730" width="14.5" style="184" bestFit="1" customWidth="1"/>
    <col min="8731" max="8731" width="13.125" style="184" bestFit="1" customWidth="1"/>
    <col min="8732" max="8732" width="14.5" style="184" bestFit="1" customWidth="1"/>
    <col min="8733" max="8960" width="9" style="184"/>
    <col min="8961" max="8961" width="4.5" style="184" customWidth="1"/>
    <col min="8962" max="8962" width="12.75" style="184" bestFit="1" customWidth="1"/>
    <col min="8963" max="8963" width="0" style="184" hidden="1" customWidth="1"/>
    <col min="8964" max="8965" width="9.625" style="184" bestFit="1" customWidth="1"/>
    <col min="8966" max="8966" width="15.625" style="184" bestFit="1" customWidth="1"/>
    <col min="8967" max="8968" width="13.125" style="184" bestFit="1" customWidth="1"/>
    <col min="8969" max="8969" width="13.125" style="184" customWidth="1"/>
    <col min="8970" max="8972" width="0" style="184" hidden="1" customWidth="1"/>
    <col min="8973" max="8974" width="15.875" style="184" bestFit="1" customWidth="1"/>
    <col min="8975" max="8977" width="10" style="184" bestFit="1" customWidth="1"/>
    <col min="8978" max="8978" width="14.5" style="184" bestFit="1" customWidth="1"/>
    <col min="8979" max="8980" width="13.125" style="184" bestFit="1" customWidth="1"/>
    <col min="8981" max="8981" width="9.5" style="184" bestFit="1" customWidth="1"/>
    <col min="8982" max="8982" width="13.75" style="184" bestFit="1" customWidth="1"/>
    <col min="8983" max="8983" width="9.5" style="184" bestFit="1" customWidth="1"/>
    <col min="8984" max="8985" width="12.25" style="184" bestFit="1" customWidth="1"/>
    <col min="8986" max="8986" width="14.5" style="184" bestFit="1" customWidth="1"/>
    <col min="8987" max="8987" width="13.125" style="184" bestFit="1" customWidth="1"/>
    <col min="8988" max="8988" width="14.5" style="184" bestFit="1" customWidth="1"/>
    <col min="8989" max="9216" width="9" style="184"/>
    <col min="9217" max="9217" width="4.5" style="184" customWidth="1"/>
    <col min="9218" max="9218" width="12.75" style="184" bestFit="1" customWidth="1"/>
    <col min="9219" max="9219" width="0" style="184" hidden="1" customWidth="1"/>
    <col min="9220" max="9221" width="9.625" style="184" bestFit="1" customWidth="1"/>
    <col min="9222" max="9222" width="15.625" style="184" bestFit="1" customWidth="1"/>
    <col min="9223" max="9224" width="13.125" style="184" bestFit="1" customWidth="1"/>
    <col min="9225" max="9225" width="13.125" style="184" customWidth="1"/>
    <col min="9226" max="9228" width="0" style="184" hidden="1" customWidth="1"/>
    <col min="9229" max="9230" width="15.875" style="184" bestFit="1" customWidth="1"/>
    <col min="9231" max="9233" width="10" style="184" bestFit="1" customWidth="1"/>
    <col min="9234" max="9234" width="14.5" style="184" bestFit="1" customWidth="1"/>
    <col min="9235" max="9236" width="13.125" style="184" bestFit="1" customWidth="1"/>
    <col min="9237" max="9237" width="9.5" style="184" bestFit="1" customWidth="1"/>
    <col min="9238" max="9238" width="13.75" style="184" bestFit="1" customWidth="1"/>
    <col min="9239" max="9239" width="9.5" style="184" bestFit="1" customWidth="1"/>
    <col min="9240" max="9241" width="12.25" style="184" bestFit="1" customWidth="1"/>
    <col min="9242" max="9242" width="14.5" style="184" bestFit="1" customWidth="1"/>
    <col min="9243" max="9243" width="13.125" style="184" bestFit="1" customWidth="1"/>
    <col min="9244" max="9244" width="14.5" style="184" bestFit="1" customWidth="1"/>
    <col min="9245" max="9472" width="9" style="184"/>
    <col min="9473" max="9473" width="4.5" style="184" customWidth="1"/>
    <col min="9474" max="9474" width="12.75" style="184" bestFit="1" customWidth="1"/>
    <col min="9475" max="9475" width="0" style="184" hidden="1" customWidth="1"/>
    <col min="9476" max="9477" width="9.625" style="184" bestFit="1" customWidth="1"/>
    <col min="9478" max="9478" width="15.625" style="184" bestFit="1" customWidth="1"/>
    <col min="9479" max="9480" width="13.125" style="184" bestFit="1" customWidth="1"/>
    <col min="9481" max="9481" width="13.125" style="184" customWidth="1"/>
    <col min="9482" max="9484" width="0" style="184" hidden="1" customWidth="1"/>
    <col min="9485" max="9486" width="15.875" style="184" bestFit="1" customWidth="1"/>
    <col min="9487" max="9489" width="10" style="184" bestFit="1" customWidth="1"/>
    <col min="9490" max="9490" width="14.5" style="184" bestFit="1" customWidth="1"/>
    <col min="9491" max="9492" width="13.125" style="184" bestFit="1" customWidth="1"/>
    <col min="9493" max="9493" width="9.5" style="184" bestFit="1" customWidth="1"/>
    <col min="9494" max="9494" width="13.75" style="184" bestFit="1" customWidth="1"/>
    <col min="9495" max="9495" width="9.5" style="184" bestFit="1" customWidth="1"/>
    <col min="9496" max="9497" width="12.25" style="184" bestFit="1" customWidth="1"/>
    <col min="9498" max="9498" width="14.5" style="184" bestFit="1" customWidth="1"/>
    <col min="9499" max="9499" width="13.125" style="184" bestFit="1" customWidth="1"/>
    <col min="9500" max="9500" width="14.5" style="184" bestFit="1" customWidth="1"/>
    <col min="9501" max="9728" width="9" style="184"/>
    <col min="9729" max="9729" width="4.5" style="184" customWidth="1"/>
    <col min="9730" max="9730" width="12.75" style="184" bestFit="1" customWidth="1"/>
    <col min="9731" max="9731" width="0" style="184" hidden="1" customWidth="1"/>
    <col min="9732" max="9733" width="9.625" style="184" bestFit="1" customWidth="1"/>
    <col min="9734" max="9734" width="15.625" style="184" bestFit="1" customWidth="1"/>
    <col min="9735" max="9736" width="13.125" style="184" bestFit="1" customWidth="1"/>
    <col min="9737" max="9737" width="13.125" style="184" customWidth="1"/>
    <col min="9738" max="9740" width="0" style="184" hidden="1" customWidth="1"/>
    <col min="9741" max="9742" width="15.875" style="184" bestFit="1" customWidth="1"/>
    <col min="9743" max="9745" width="10" style="184" bestFit="1" customWidth="1"/>
    <col min="9746" max="9746" width="14.5" style="184" bestFit="1" customWidth="1"/>
    <col min="9747" max="9748" width="13.125" style="184" bestFit="1" customWidth="1"/>
    <col min="9749" max="9749" width="9.5" style="184" bestFit="1" customWidth="1"/>
    <col min="9750" max="9750" width="13.75" style="184" bestFit="1" customWidth="1"/>
    <col min="9751" max="9751" width="9.5" style="184" bestFit="1" customWidth="1"/>
    <col min="9752" max="9753" width="12.25" style="184" bestFit="1" customWidth="1"/>
    <col min="9754" max="9754" width="14.5" style="184" bestFit="1" customWidth="1"/>
    <col min="9755" max="9755" width="13.125" style="184" bestFit="1" customWidth="1"/>
    <col min="9756" max="9756" width="14.5" style="184" bestFit="1" customWidth="1"/>
    <col min="9757" max="9984" width="9" style="184"/>
    <col min="9985" max="9985" width="4.5" style="184" customWidth="1"/>
    <col min="9986" max="9986" width="12.75" style="184" bestFit="1" customWidth="1"/>
    <col min="9987" max="9987" width="0" style="184" hidden="1" customWidth="1"/>
    <col min="9988" max="9989" width="9.625" style="184" bestFit="1" customWidth="1"/>
    <col min="9990" max="9990" width="15.625" style="184" bestFit="1" customWidth="1"/>
    <col min="9991" max="9992" width="13.125" style="184" bestFit="1" customWidth="1"/>
    <col min="9993" max="9993" width="13.125" style="184" customWidth="1"/>
    <col min="9994" max="9996" width="0" style="184" hidden="1" customWidth="1"/>
    <col min="9997" max="9998" width="15.875" style="184" bestFit="1" customWidth="1"/>
    <col min="9999" max="10001" width="10" style="184" bestFit="1" customWidth="1"/>
    <col min="10002" max="10002" width="14.5" style="184" bestFit="1" customWidth="1"/>
    <col min="10003" max="10004" width="13.125" style="184" bestFit="1" customWidth="1"/>
    <col min="10005" max="10005" width="9.5" style="184" bestFit="1" customWidth="1"/>
    <col min="10006" max="10006" width="13.75" style="184" bestFit="1" customWidth="1"/>
    <col min="10007" max="10007" width="9.5" style="184" bestFit="1" customWidth="1"/>
    <col min="10008" max="10009" width="12.25" style="184" bestFit="1" customWidth="1"/>
    <col min="10010" max="10010" width="14.5" style="184" bestFit="1" customWidth="1"/>
    <col min="10011" max="10011" width="13.125" style="184" bestFit="1" customWidth="1"/>
    <col min="10012" max="10012" width="14.5" style="184" bestFit="1" customWidth="1"/>
    <col min="10013" max="10240" width="9" style="184"/>
    <col min="10241" max="10241" width="4.5" style="184" customWidth="1"/>
    <col min="10242" max="10242" width="12.75" style="184" bestFit="1" customWidth="1"/>
    <col min="10243" max="10243" width="0" style="184" hidden="1" customWidth="1"/>
    <col min="10244" max="10245" width="9.625" style="184" bestFit="1" customWidth="1"/>
    <col min="10246" max="10246" width="15.625" style="184" bestFit="1" customWidth="1"/>
    <col min="10247" max="10248" width="13.125" style="184" bestFit="1" customWidth="1"/>
    <col min="10249" max="10249" width="13.125" style="184" customWidth="1"/>
    <col min="10250" max="10252" width="0" style="184" hidden="1" customWidth="1"/>
    <col min="10253" max="10254" width="15.875" style="184" bestFit="1" customWidth="1"/>
    <col min="10255" max="10257" width="10" style="184" bestFit="1" customWidth="1"/>
    <col min="10258" max="10258" width="14.5" style="184" bestFit="1" customWidth="1"/>
    <col min="10259" max="10260" width="13.125" style="184" bestFit="1" customWidth="1"/>
    <col min="10261" max="10261" width="9.5" style="184" bestFit="1" customWidth="1"/>
    <col min="10262" max="10262" width="13.75" style="184" bestFit="1" customWidth="1"/>
    <col min="10263" max="10263" width="9.5" style="184" bestFit="1" customWidth="1"/>
    <col min="10264" max="10265" width="12.25" style="184" bestFit="1" customWidth="1"/>
    <col min="10266" max="10266" width="14.5" style="184" bestFit="1" customWidth="1"/>
    <col min="10267" max="10267" width="13.125" style="184" bestFit="1" customWidth="1"/>
    <col min="10268" max="10268" width="14.5" style="184" bestFit="1" customWidth="1"/>
    <col min="10269" max="10496" width="9" style="184"/>
    <col min="10497" max="10497" width="4.5" style="184" customWidth="1"/>
    <col min="10498" max="10498" width="12.75" style="184" bestFit="1" customWidth="1"/>
    <col min="10499" max="10499" width="0" style="184" hidden="1" customWidth="1"/>
    <col min="10500" max="10501" width="9.625" style="184" bestFit="1" customWidth="1"/>
    <col min="10502" max="10502" width="15.625" style="184" bestFit="1" customWidth="1"/>
    <col min="10503" max="10504" width="13.125" style="184" bestFit="1" customWidth="1"/>
    <col min="10505" max="10505" width="13.125" style="184" customWidth="1"/>
    <col min="10506" max="10508" width="0" style="184" hidden="1" customWidth="1"/>
    <col min="10509" max="10510" width="15.875" style="184" bestFit="1" customWidth="1"/>
    <col min="10511" max="10513" width="10" style="184" bestFit="1" customWidth="1"/>
    <col min="10514" max="10514" width="14.5" style="184" bestFit="1" customWidth="1"/>
    <col min="10515" max="10516" width="13.125" style="184" bestFit="1" customWidth="1"/>
    <col min="10517" max="10517" width="9.5" style="184" bestFit="1" customWidth="1"/>
    <col min="10518" max="10518" width="13.75" style="184" bestFit="1" customWidth="1"/>
    <col min="10519" max="10519" width="9.5" style="184" bestFit="1" customWidth="1"/>
    <col min="10520" max="10521" width="12.25" style="184" bestFit="1" customWidth="1"/>
    <col min="10522" max="10522" width="14.5" style="184" bestFit="1" customWidth="1"/>
    <col min="10523" max="10523" width="13.125" style="184" bestFit="1" customWidth="1"/>
    <col min="10524" max="10524" width="14.5" style="184" bestFit="1" customWidth="1"/>
    <col min="10525" max="10752" width="9" style="184"/>
    <col min="10753" max="10753" width="4.5" style="184" customWidth="1"/>
    <col min="10754" max="10754" width="12.75" style="184" bestFit="1" customWidth="1"/>
    <col min="10755" max="10755" width="0" style="184" hidden="1" customWidth="1"/>
    <col min="10756" max="10757" width="9.625" style="184" bestFit="1" customWidth="1"/>
    <col min="10758" max="10758" width="15.625" style="184" bestFit="1" customWidth="1"/>
    <col min="10759" max="10760" width="13.125" style="184" bestFit="1" customWidth="1"/>
    <col min="10761" max="10761" width="13.125" style="184" customWidth="1"/>
    <col min="10762" max="10764" width="0" style="184" hidden="1" customWidth="1"/>
    <col min="10765" max="10766" width="15.875" style="184" bestFit="1" customWidth="1"/>
    <col min="10767" max="10769" width="10" style="184" bestFit="1" customWidth="1"/>
    <col min="10770" max="10770" width="14.5" style="184" bestFit="1" customWidth="1"/>
    <col min="10771" max="10772" width="13.125" style="184" bestFit="1" customWidth="1"/>
    <col min="10773" max="10773" width="9.5" style="184" bestFit="1" customWidth="1"/>
    <col min="10774" max="10774" width="13.75" style="184" bestFit="1" customWidth="1"/>
    <col min="10775" max="10775" width="9.5" style="184" bestFit="1" customWidth="1"/>
    <col min="10776" max="10777" width="12.25" style="184" bestFit="1" customWidth="1"/>
    <col min="10778" max="10778" width="14.5" style="184" bestFit="1" customWidth="1"/>
    <col min="10779" max="10779" width="13.125" style="184" bestFit="1" customWidth="1"/>
    <col min="10780" max="10780" width="14.5" style="184" bestFit="1" customWidth="1"/>
    <col min="10781" max="11008" width="9" style="184"/>
    <col min="11009" max="11009" width="4.5" style="184" customWidth="1"/>
    <col min="11010" max="11010" width="12.75" style="184" bestFit="1" customWidth="1"/>
    <col min="11011" max="11011" width="0" style="184" hidden="1" customWidth="1"/>
    <col min="11012" max="11013" width="9.625" style="184" bestFit="1" customWidth="1"/>
    <col min="11014" max="11014" width="15.625" style="184" bestFit="1" customWidth="1"/>
    <col min="11015" max="11016" width="13.125" style="184" bestFit="1" customWidth="1"/>
    <col min="11017" max="11017" width="13.125" style="184" customWidth="1"/>
    <col min="11018" max="11020" width="0" style="184" hidden="1" customWidth="1"/>
    <col min="11021" max="11022" width="15.875" style="184" bestFit="1" customWidth="1"/>
    <col min="11023" max="11025" width="10" style="184" bestFit="1" customWidth="1"/>
    <col min="11026" max="11026" width="14.5" style="184" bestFit="1" customWidth="1"/>
    <col min="11027" max="11028" width="13.125" style="184" bestFit="1" customWidth="1"/>
    <col min="11029" max="11029" width="9.5" style="184" bestFit="1" customWidth="1"/>
    <col min="11030" max="11030" width="13.75" style="184" bestFit="1" customWidth="1"/>
    <col min="11031" max="11031" width="9.5" style="184" bestFit="1" customWidth="1"/>
    <col min="11032" max="11033" width="12.25" style="184" bestFit="1" customWidth="1"/>
    <col min="11034" max="11034" width="14.5" style="184" bestFit="1" customWidth="1"/>
    <col min="11035" max="11035" width="13.125" style="184" bestFit="1" customWidth="1"/>
    <col min="11036" max="11036" width="14.5" style="184" bestFit="1" customWidth="1"/>
    <col min="11037" max="11264" width="9" style="184"/>
    <col min="11265" max="11265" width="4.5" style="184" customWidth="1"/>
    <col min="11266" max="11266" width="12.75" style="184" bestFit="1" customWidth="1"/>
    <col min="11267" max="11267" width="0" style="184" hidden="1" customWidth="1"/>
    <col min="11268" max="11269" width="9.625" style="184" bestFit="1" customWidth="1"/>
    <col min="11270" max="11270" width="15.625" style="184" bestFit="1" customWidth="1"/>
    <col min="11271" max="11272" width="13.125" style="184" bestFit="1" customWidth="1"/>
    <col min="11273" max="11273" width="13.125" style="184" customWidth="1"/>
    <col min="11274" max="11276" width="0" style="184" hidden="1" customWidth="1"/>
    <col min="11277" max="11278" width="15.875" style="184" bestFit="1" customWidth="1"/>
    <col min="11279" max="11281" width="10" style="184" bestFit="1" customWidth="1"/>
    <col min="11282" max="11282" width="14.5" style="184" bestFit="1" customWidth="1"/>
    <col min="11283" max="11284" width="13.125" style="184" bestFit="1" customWidth="1"/>
    <col min="11285" max="11285" width="9.5" style="184" bestFit="1" customWidth="1"/>
    <col min="11286" max="11286" width="13.75" style="184" bestFit="1" customWidth="1"/>
    <col min="11287" max="11287" width="9.5" style="184" bestFit="1" customWidth="1"/>
    <col min="11288" max="11289" width="12.25" style="184" bestFit="1" customWidth="1"/>
    <col min="11290" max="11290" width="14.5" style="184" bestFit="1" customWidth="1"/>
    <col min="11291" max="11291" width="13.125" style="184" bestFit="1" customWidth="1"/>
    <col min="11292" max="11292" width="14.5" style="184" bestFit="1" customWidth="1"/>
    <col min="11293" max="11520" width="9" style="184"/>
    <col min="11521" max="11521" width="4.5" style="184" customWidth="1"/>
    <col min="11522" max="11522" width="12.75" style="184" bestFit="1" customWidth="1"/>
    <col min="11523" max="11523" width="0" style="184" hidden="1" customWidth="1"/>
    <col min="11524" max="11525" width="9.625" style="184" bestFit="1" customWidth="1"/>
    <col min="11526" max="11526" width="15.625" style="184" bestFit="1" customWidth="1"/>
    <col min="11527" max="11528" width="13.125" style="184" bestFit="1" customWidth="1"/>
    <col min="11529" max="11529" width="13.125" style="184" customWidth="1"/>
    <col min="11530" max="11532" width="0" style="184" hidden="1" customWidth="1"/>
    <col min="11533" max="11534" width="15.875" style="184" bestFit="1" customWidth="1"/>
    <col min="11535" max="11537" width="10" style="184" bestFit="1" customWidth="1"/>
    <col min="11538" max="11538" width="14.5" style="184" bestFit="1" customWidth="1"/>
    <col min="11539" max="11540" width="13.125" style="184" bestFit="1" customWidth="1"/>
    <col min="11541" max="11541" width="9.5" style="184" bestFit="1" customWidth="1"/>
    <col min="11542" max="11542" width="13.75" style="184" bestFit="1" customWidth="1"/>
    <col min="11543" max="11543" width="9.5" style="184" bestFit="1" customWidth="1"/>
    <col min="11544" max="11545" width="12.25" style="184" bestFit="1" customWidth="1"/>
    <col min="11546" max="11546" width="14.5" style="184" bestFit="1" customWidth="1"/>
    <col min="11547" max="11547" width="13.125" style="184" bestFit="1" customWidth="1"/>
    <col min="11548" max="11548" width="14.5" style="184" bestFit="1" customWidth="1"/>
    <col min="11549" max="11776" width="9" style="184"/>
    <col min="11777" max="11777" width="4.5" style="184" customWidth="1"/>
    <col min="11778" max="11778" width="12.75" style="184" bestFit="1" customWidth="1"/>
    <col min="11779" max="11779" width="0" style="184" hidden="1" customWidth="1"/>
    <col min="11780" max="11781" width="9.625" style="184" bestFit="1" customWidth="1"/>
    <col min="11782" max="11782" width="15.625" style="184" bestFit="1" customWidth="1"/>
    <col min="11783" max="11784" width="13.125" style="184" bestFit="1" customWidth="1"/>
    <col min="11785" max="11785" width="13.125" style="184" customWidth="1"/>
    <col min="11786" max="11788" width="0" style="184" hidden="1" customWidth="1"/>
    <col min="11789" max="11790" width="15.875" style="184" bestFit="1" customWidth="1"/>
    <col min="11791" max="11793" width="10" style="184" bestFit="1" customWidth="1"/>
    <col min="11794" max="11794" width="14.5" style="184" bestFit="1" customWidth="1"/>
    <col min="11795" max="11796" width="13.125" style="184" bestFit="1" customWidth="1"/>
    <col min="11797" max="11797" width="9.5" style="184" bestFit="1" customWidth="1"/>
    <col min="11798" max="11798" width="13.75" style="184" bestFit="1" customWidth="1"/>
    <col min="11799" max="11799" width="9.5" style="184" bestFit="1" customWidth="1"/>
    <col min="11800" max="11801" width="12.25" style="184" bestFit="1" customWidth="1"/>
    <col min="11802" max="11802" width="14.5" style="184" bestFit="1" customWidth="1"/>
    <col min="11803" max="11803" width="13.125" style="184" bestFit="1" customWidth="1"/>
    <col min="11804" max="11804" width="14.5" style="184" bestFit="1" customWidth="1"/>
    <col min="11805" max="12032" width="9" style="184"/>
    <col min="12033" max="12033" width="4.5" style="184" customWidth="1"/>
    <col min="12034" max="12034" width="12.75" style="184" bestFit="1" customWidth="1"/>
    <col min="12035" max="12035" width="0" style="184" hidden="1" customWidth="1"/>
    <col min="12036" max="12037" width="9.625" style="184" bestFit="1" customWidth="1"/>
    <col min="12038" max="12038" width="15.625" style="184" bestFit="1" customWidth="1"/>
    <col min="12039" max="12040" width="13.125" style="184" bestFit="1" customWidth="1"/>
    <col min="12041" max="12041" width="13.125" style="184" customWidth="1"/>
    <col min="12042" max="12044" width="0" style="184" hidden="1" customWidth="1"/>
    <col min="12045" max="12046" width="15.875" style="184" bestFit="1" customWidth="1"/>
    <col min="12047" max="12049" width="10" style="184" bestFit="1" customWidth="1"/>
    <col min="12050" max="12050" width="14.5" style="184" bestFit="1" customWidth="1"/>
    <col min="12051" max="12052" width="13.125" style="184" bestFit="1" customWidth="1"/>
    <col min="12053" max="12053" width="9.5" style="184" bestFit="1" customWidth="1"/>
    <col min="12054" max="12054" width="13.75" style="184" bestFit="1" customWidth="1"/>
    <col min="12055" max="12055" width="9.5" style="184" bestFit="1" customWidth="1"/>
    <col min="12056" max="12057" width="12.25" style="184" bestFit="1" customWidth="1"/>
    <col min="12058" max="12058" width="14.5" style="184" bestFit="1" customWidth="1"/>
    <col min="12059" max="12059" width="13.125" style="184" bestFit="1" customWidth="1"/>
    <col min="12060" max="12060" width="14.5" style="184" bestFit="1" customWidth="1"/>
    <col min="12061" max="12288" width="9" style="184"/>
    <col min="12289" max="12289" width="4.5" style="184" customWidth="1"/>
    <col min="12290" max="12290" width="12.75" style="184" bestFit="1" customWidth="1"/>
    <col min="12291" max="12291" width="0" style="184" hidden="1" customWidth="1"/>
    <col min="12292" max="12293" width="9.625" style="184" bestFit="1" customWidth="1"/>
    <col min="12294" max="12294" width="15.625" style="184" bestFit="1" customWidth="1"/>
    <col min="12295" max="12296" width="13.125" style="184" bestFit="1" customWidth="1"/>
    <col min="12297" max="12297" width="13.125" style="184" customWidth="1"/>
    <col min="12298" max="12300" width="0" style="184" hidden="1" customWidth="1"/>
    <col min="12301" max="12302" width="15.875" style="184" bestFit="1" customWidth="1"/>
    <col min="12303" max="12305" width="10" style="184" bestFit="1" customWidth="1"/>
    <col min="12306" max="12306" width="14.5" style="184" bestFit="1" customWidth="1"/>
    <col min="12307" max="12308" width="13.125" style="184" bestFit="1" customWidth="1"/>
    <col min="12309" max="12309" width="9.5" style="184" bestFit="1" customWidth="1"/>
    <col min="12310" max="12310" width="13.75" style="184" bestFit="1" customWidth="1"/>
    <col min="12311" max="12311" width="9.5" style="184" bestFit="1" customWidth="1"/>
    <col min="12312" max="12313" width="12.25" style="184" bestFit="1" customWidth="1"/>
    <col min="12314" max="12314" width="14.5" style="184" bestFit="1" customWidth="1"/>
    <col min="12315" max="12315" width="13.125" style="184" bestFit="1" customWidth="1"/>
    <col min="12316" max="12316" width="14.5" style="184" bestFit="1" customWidth="1"/>
    <col min="12317" max="12544" width="9" style="184"/>
    <col min="12545" max="12545" width="4.5" style="184" customWidth="1"/>
    <col min="12546" max="12546" width="12.75" style="184" bestFit="1" customWidth="1"/>
    <col min="12547" max="12547" width="0" style="184" hidden="1" customWidth="1"/>
    <col min="12548" max="12549" width="9.625" style="184" bestFit="1" customWidth="1"/>
    <col min="12550" max="12550" width="15.625" style="184" bestFit="1" customWidth="1"/>
    <col min="12551" max="12552" width="13.125" style="184" bestFit="1" customWidth="1"/>
    <col min="12553" max="12553" width="13.125" style="184" customWidth="1"/>
    <col min="12554" max="12556" width="0" style="184" hidden="1" customWidth="1"/>
    <col min="12557" max="12558" width="15.875" style="184" bestFit="1" customWidth="1"/>
    <col min="12559" max="12561" width="10" style="184" bestFit="1" customWidth="1"/>
    <col min="12562" max="12562" width="14.5" style="184" bestFit="1" customWidth="1"/>
    <col min="12563" max="12564" width="13.125" style="184" bestFit="1" customWidth="1"/>
    <col min="12565" max="12565" width="9.5" style="184" bestFit="1" customWidth="1"/>
    <col min="12566" max="12566" width="13.75" style="184" bestFit="1" customWidth="1"/>
    <col min="12567" max="12567" width="9.5" style="184" bestFit="1" customWidth="1"/>
    <col min="12568" max="12569" width="12.25" style="184" bestFit="1" customWidth="1"/>
    <col min="12570" max="12570" width="14.5" style="184" bestFit="1" customWidth="1"/>
    <col min="12571" max="12571" width="13.125" style="184" bestFit="1" customWidth="1"/>
    <col min="12572" max="12572" width="14.5" style="184" bestFit="1" customWidth="1"/>
    <col min="12573" max="12800" width="9" style="184"/>
    <col min="12801" max="12801" width="4.5" style="184" customWidth="1"/>
    <col min="12802" max="12802" width="12.75" style="184" bestFit="1" customWidth="1"/>
    <col min="12803" max="12803" width="0" style="184" hidden="1" customWidth="1"/>
    <col min="12804" max="12805" width="9.625" style="184" bestFit="1" customWidth="1"/>
    <col min="12806" max="12806" width="15.625" style="184" bestFit="1" customWidth="1"/>
    <col min="12807" max="12808" width="13.125" style="184" bestFit="1" customWidth="1"/>
    <col min="12809" max="12809" width="13.125" style="184" customWidth="1"/>
    <col min="12810" max="12812" width="0" style="184" hidden="1" customWidth="1"/>
    <col min="12813" max="12814" width="15.875" style="184" bestFit="1" customWidth="1"/>
    <col min="12815" max="12817" width="10" style="184" bestFit="1" customWidth="1"/>
    <col min="12818" max="12818" width="14.5" style="184" bestFit="1" customWidth="1"/>
    <col min="12819" max="12820" width="13.125" style="184" bestFit="1" customWidth="1"/>
    <col min="12821" max="12821" width="9.5" style="184" bestFit="1" customWidth="1"/>
    <col min="12822" max="12822" width="13.75" style="184" bestFit="1" customWidth="1"/>
    <col min="12823" max="12823" width="9.5" style="184" bestFit="1" customWidth="1"/>
    <col min="12824" max="12825" width="12.25" style="184" bestFit="1" customWidth="1"/>
    <col min="12826" max="12826" width="14.5" style="184" bestFit="1" customWidth="1"/>
    <col min="12827" max="12827" width="13.125" style="184" bestFit="1" customWidth="1"/>
    <col min="12828" max="12828" width="14.5" style="184" bestFit="1" customWidth="1"/>
    <col min="12829" max="13056" width="9" style="184"/>
    <col min="13057" max="13057" width="4.5" style="184" customWidth="1"/>
    <col min="13058" max="13058" width="12.75" style="184" bestFit="1" customWidth="1"/>
    <col min="13059" max="13059" width="0" style="184" hidden="1" customWidth="1"/>
    <col min="13060" max="13061" width="9.625" style="184" bestFit="1" customWidth="1"/>
    <col min="13062" max="13062" width="15.625" style="184" bestFit="1" customWidth="1"/>
    <col min="13063" max="13064" width="13.125" style="184" bestFit="1" customWidth="1"/>
    <col min="13065" max="13065" width="13.125" style="184" customWidth="1"/>
    <col min="13066" max="13068" width="0" style="184" hidden="1" customWidth="1"/>
    <col min="13069" max="13070" width="15.875" style="184" bestFit="1" customWidth="1"/>
    <col min="13071" max="13073" width="10" style="184" bestFit="1" customWidth="1"/>
    <col min="13074" max="13074" width="14.5" style="184" bestFit="1" customWidth="1"/>
    <col min="13075" max="13076" width="13.125" style="184" bestFit="1" customWidth="1"/>
    <col min="13077" max="13077" width="9.5" style="184" bestFit="1" customWidth="1"/>
    <col min="13078" max="13078" width="13.75" style="184" bestFit="1" customWidth="1"/>
    <col min="13079" max="13079" width="9.5" style="184" bestFit="1" customWidth="1"/>
    <col min="13080" max="13081" width="12.25" style="184" bestFit="1" customWidth="1"/>
    <col min="13082" max="13082" width="14.5" style="184" bestFit="1" customWidth="1"/>
    <col min="13083" max="13083" width="13.125" style="184" bestFit="1" customWidth="1"/>
    <col min="13084" max="13084" width="14.5" style="184" bestFit="1" customWidth="1"/>
    <col min="13085" max="13312" width="9" style="184"/>
    <col min="13313" max="13313" width="4.5" style="184" customWidth="1"/>
    <col min="13314" max="13314" width="12.75" style="184" bestFit="1" customWidth="1"/>
    <col min="13315" max="13315" width="0" style="184" hidden="1" customWidth="1"/>
    <col min="13316" max="13317" width="9.625" style="184" bestFit="1" customWidth="1"/>
    <col min="13318" max="13318" width="15.625" style="184" bestFit="1" customWidth="1"/>
    <col min="13319" max="13320" width="13.125" style="184" bestFit="1" customWidth="1"/>
    <col min="13321" max="13321" width="13.125" style="184" customWidth="1"/>
    <col min="13322" max="13324" width="0" style="184" hidden="1" customWidth="1"/>
    <col min="13325" max="13326" width="15.875" style="184" bestFit="1" customWidth="1"/>
    <col min="13327" max="13329" width="10" style="184" bestFit="1" customWidth="1"/>
    <col min="13330" max="13330" width="14.5" style="184" bestFit="1" customWidth="1"/>
    <col min="13331" max="13332" width="13.125" style="184" bestFit="1" customWidth="1"/>
    <col min="13333" max="13333" width="9.5" style="184" bestFit="1" customWidth="1"/>
    <col min="13334" max="13334" width="13.75" style="184" bestFit="1" customWidth="1"/>
    <col min="13335" max="13335" width="9.5" style="184" bestFit="1" customWidth="1"/>
    <col min="13336" max="13337" width="12.25" style="184" bestFit="1" customWidth="1"/>
    <col min="13338" max="13338" width="14.5" style="184" bestFit="1" customWidth="1"/>
    <col min="13339" max="13339" width="13.125" style="184" bestFit="1" customWidth="1"/>
    <col min="13340" max="13340" width="14.5" style="184" bestFit="1" customWidth="1"/>
    <col min="13341" max="13568" width="9" style="184"/>
    <col min="13569" max="13569" width="4.5" style="184" customWidth="1"/>
    <col min="13570" max="13570" width="12.75" style="184" bestFit="1" customWidth="1"/>
    <col min="13571" max="13571" width="0" style="184" hidden="1" customWidth="1"/>
    <col min="13572" max="13573" width="9.625" style="184" bestFit="1" customWidth="1"/>
    <col min="13574" max="13574" width="15.625" style="184" bestFit="1" customWidth="1"/>
    <col min="13575" max="13576" width="13.125" style="184" bestFit="1" customWidth="1"/>
    <col min="13577" max="13577" width="13.125" style="184" customWidth="1"/>
    <col min="13578" max="13580" width="0" style="184" hidden="1" customWidth="1"/>
    <col min="13581" max="13582" width="15.875" style="184" bestFit="1" customWidth="1"/>
    <col min="13583" max="13585" width="10" style="184" bestFit="1" customWidth="1"/>
    <col min="13586" max="13586" width="14.5" style="184" bestFit="1" customWidth="1"/>
    <col min="13587" max="13588" width="13.125" style="184" bestFit="1" customWidth="1"/>
    <col min="13589" max="13589" width="9.5" style="184" bestFit="1" customWidth="1"/>
    <col min="13590" max="13590" width="13.75" style="184" bestFit="1" customWidth="1"/>
    <col min="13591" max="13591" width="9.5" style="184" bestFit="1" customWidth="1"/>
    <col min="13592" max="13593" width="12.25" style="184" bestFit="1" customWidth="1"/>
    <col min="13594" max="13594" width="14.5" style="184" bestFit="1" customWidth="1"/>
    <col min="13595" max="13595" width="13.125" style="184" bestFit="1" customWidth="1"/>
    <col min="13596" max="13596" width="14.5" style="184" bestFit="1" customWidth="1"/>
    <col min="13597" max="13824" width="9" style="184"/>
    <col min="13825" max="13825" width="4.5" style="184" customWidth="1"/>
    <col min="13826" max="13826" width="12.75" style="184" bestFit="1" customWidth="1"/>
    <col min="13827" max="13827" width="0" style="184" hidden="1" customWidth="1"/>
    <col min="13828" max="13829" width="9.625" style="184" bestFit="1" customWidth="1"/>
    <col min="13830" max="13830" width="15.625" style="184" bestFit="1" customWidth="1"/>
    <col min="13831" max="13832" width="13.125" style="184" bestFit="1" customWidth="1"/>
    <col min="13833" max="13833" width="13.125" style="184" customWidth="1"/>
    <col min="13834" max="13836" width="0" style="184" hidden="1" customWidth="1"/>
    <col min="13837" max="13838" width="15.875" style="184" bestFit="1" customWidth="1"/>
    <col min="13839" max="13841" width="10" style="184" bestFit="1" customWidth="1"/>
    <col min="13842" max="13842" width="14.5" style="184" bestFit="1" customWidth="1"/>
    <col min="13843" max="13844" width="13.125" style="184" bestFit="1" customWidth="1"/>
    <col min="13845" max="13845" width="9.5" style="184" bestFit="1" customWidth="1"/>
    <col min="13846" max="13846" width="13.75" style="184" bestFit="1" customWidth="1"/>
    <col min="13847" max="13847" width="9.5" style="184" bestFit="1" customWidth="1"/>
    <col min="13848" max="13849" width="12.25" style="184" bestFit="1" customWidth="1"/>
    <col min="13850" max="13850" width="14.5" style="184" bestFit="1" customWidth="1"/>
    <col min="13851" max="13851" width="13.125" style="184" bestFit="1" customWidth="1"/>
    <col min="13852" max="13852" width="14.5" style="184" bestFit="1" customWidth="1"/>
    <col min="13853" max="14080" width="9" style="184"/>
    <col min="14081" max="14081" width="4.5" style="184" customWidth="1"/>
    <col min="14082" max="14082" width="12.75" style="184" bestFit="1" customWidth="1"/>
    <col min="14083" max="14083" width="0" style="184" hidden="1" customWidth="1"/>
    <col min="14084" max="14085" width="9.625" style="184" bestFit="1" customWidth="1"/>
    <col min="14086" max="14086" width="15.625" style="184" bestFit="1" customWidth="1"/>
    <col min="14087" max="14088" width="13.125" style="184" bestFit="1" customWidth="1"/>
    <col min="14089" max="14089" width="13.125" style="184" customWidth="1"/>
    <col min="14090" max="14092" width="0" style="184" hidden="1" customWidth="1"/>
    <col min="14093" max="14094" width="15.875" style="184" bestFit="1" customWidth="1"/>
    <col min="14095" max="14097" width="10" style="184" bestFit="1" customWidth="1"/>
    <col min="14098" max="14098" width="14.5" style="184" bestFit="1" customWidth="1"/>
    <col min="14099" max="14100" width="13.125" style="184" bestFit="1" customWidth="1"/>
    <col min="14101" max="14101" width="9.5" style="184" bestFit="1" customWidth="1"/>
    <col min="14102" max="14102" width="13.75" style="184" bestFit="1" customWidth="1"/>
    <col min="14103" max="14103" width="9.5" style="184" bestFit="1" customWidth="1"/>
    <col min="14104" max="14105" width="12.25" style="184" bestFit="1" customWidth="1"/>
    <col min="14106" max="14106" width="14.5" style="184" bestFit="1" customWidth="1"/>
    <col min="14107" max="14107" width="13.125" style="184" bestFit="1" customWidth="1"/>
    <col min="14108" max="14108" width="14.5" style="184" bestFit="1" customWidth="1"/>
    <col min="14109" max="14336" width="9" style="184"/>
    <col min="14337" max="14337" width="4.5" style="184" customWidth="1"/>
    <col min="14338" max="14338" width="12.75" style="184" bestFit="1" customWidth="1"/>
    <col min="14339" max="14339" width="0" style="184" hidden="1" customWidth="1"/>
    <col min="14340" max="14341" width="9.625" style="184" bestFit="1" customWidth="1"/>
    <col min="14342" max="14342" width="15.625" style="184" bestFit="1" customWidth="1"/>
    <col min="14343" max="14344" width="13.125" style="184" bestFit="1" customWidth="1"/>
    <col min="14345" max="14345" width="13.125" style="184" customWidth="1"/>
    <col min="14346" max="14348" width="0" style="184" hidden="1" customWidth="1"/>
    <col min="14349" max="14350" width="15.875" style="184" bestFit="1" customWidth="1"/>
    <col min="14351" max="14353" width="10" style="184" bestFit="1" customWidth="1"/>
    <col min="14354" max="14354" width="14.5" style="184" bestFit="1" customWidth="1"/>
    <col min="14355" max="14356" width="13.125" style="184" bestFit="1" customWidth="1"/>
    <col min="14357" max="14357" width="9.5" style="184" bestFit="1" customWidth="1"/>
    <col min="14358" max="14358" width="13.75" style="184" bestFit="1" customWidth="1"/>
    <col min="14359" max="14359" width="9.5" style="184" bestFit="1" customWidth="1"/>
    <col min="14360" max="14361" width="12.25" style="184" bestFit="1" customWidth="1"/>
    <col min="14362" max="14362" width="14.5" style="184" bestFit="1" customWidth="1"/>
    <col min="14363" max="14363" width="13.125" style="184" bestFit="1" customWidth="1"/>
    <col min="14364" max="14364" width="14.5" style="184" bestFit="1" customWidth="1"/>
    <col min="14365" max="14592" width="9" style="184"/>
    <col min="14593" max="14593" width="4.5" style="184" customWidth="1"/>
    <col min="14594" max="14594" width="12.75" style="184" bestFit="1" customWidth="1"/>
    <col min="14595" max="14595" width="0" style="184" hidden="1" customWidth="1"/>
    <col min="14596" max="14597" width="9.625" style="184" bestFit="1" customWidth="1"/>
    <col min="14598" max="14598" width="15.625" style="184" bestFit="1" customWidth="1"/>
    <col min="14599" max="14600" width="13.125" style="184" bestFit="1" customWidth="1"/>
    <col min="14601" max="14601" width="13.125" style="184" customWidth="1"/>
    <col min="14602" max="14604" width="0" style="184" hidden="1" customWidth="1"/>
    <col min="14605" max="14606" width="15.875" style="184" bestFit="1" customWidth="1"/>
    <col min="14607" max="14609" width="10" style="184" bestFit="1" customWidth="1"/>
    <col min="14610" max="14610" width="14.5" style="184" bestFit="1" customWidth="1"/>
    <col min="14611" max="14612" width="13.125" style="184" bestFit="1" customWidth="1"/>
    <col min="14613" max="14613" width="9.5" style="184" bestFit="1" customWidth="1"/>
    <col min="14614" max="14614" width="13.75" style="184" bestFit="1" customWidth="1"/>
    <col min="14615" max="14615" width="9.5" style="184" bestFit="1" customWidth="1"/>
    <col min="14616" max="14617" width="12.25" style="184" bestFit="1" customWidth="1"/>
    <col min="14618" max="14618" width="14.5" style="184" bestFit="1" customWidth="1"/>
    <col min="14619" max="14619" width="13.125" style="184" bestFit="1" customWidth="1"/>
    <col min="14620" max="14620" width="14.5" style="184" bestFit="1" customWidth="1"/>
    <col min="14621" max="14848" width="9" style="184"/>
    <col min="14849" max="14849" width="4.5" style="184" customWidth="1"/>
    <col min="14850" max="14850" width="12.75" style="184" bestFit="1" customWidth="1"/>
    <col min="14851" max="14851" width="0" style="184" hidden="1" customWidth="1"/>
    <col min="14852" max="14853" width="9.625" style="184" bestFit="1" customWidth="1"/>
    <col min="14854" max="14854" width="15.625" style="184" bestFit="1" customWidth="1"/>
    <col min="14855" max="14856" width="13.125" style="184" bestFit="1" customWidth="1"/>
    <col min="14857" max="14857" width="13.125" style="184" customWidth="1"/>
    <col min="14858" max="14860" width="0" style="184" hidden="1" customWidth="1"/>
    <col min="14861" max="14862" width="15.875" style="184" bestFit="1" customWidth="1"/>
    <col min="14863" max="14865" width="10" style="184" bestFit="1" customWidth="1"/>
    <col min="14866" max="14866" width="14.5" style="184" bestFit="1" customWidth="1"/>
    <col min="14867" max="14868" width="13.125" style="184" bestFit="1" customWidth="1"/>
    <col min="14869" max="14869" width="9.5" style="184" bestFit="1" customWidth="1"/>
    <col min="14870" max="14870" width="13.75" style="184" bestFit="1" customWidth="1"/>
    <col min="14871" max="14871" width="9.5" style="184" bestFit="1" customWidth="1"/>
    <col min="14872" max="14873" width="12.25" style="184" bestFit="1" customWidth="1"/>
    <col min="14874" max="14874" width="14.5" style="184" bestFit="1" customWidth="1"/>
    <col min="14875" max="14875" width="13.125" style="184" bestFit="1" customWidth="1"/>
    <col min="14876" max="14876" width="14.5" style="184" bestFit="1" customWidth="1"/>
    <col min="14877" max="15104" width="9" style="184"/>
    <col min="15105" max="15105" width="4.5" style="184" customWidth="1"/>
    <col min="15106" max="15106" width="12.75" style="184" bestFit="1" customWidth="1"/>
    <col min="15107" max="15107" width="0" style="184" hidden="1" customWidth="1"/>
    <col min="15108" max="15109" width="9.625" style="184" bestFit="1" customWidth="1"/>
    <col min="15110" max="15110" width="15.625" style="184" bestFit="1" customWidth="1"/>
    <col min="15111" max="15112" width="13.125" style="184" bestFit="1" customWidth="1"/>
    <col min="15113" max="15113" width="13.125" style="184" customWidth="1"/>
    <col min="15114" max="15116" width="0" style="184" hidden="1" customWidth="1"/>
    <col min="15117" max="15118" width="15.875" style="184" bestFit="1" customWidth="1"/>
    <col min="15119" max="15121" width="10" style="184" bestFit="1" customWidth="1"/>
    <col min="15122" max="15122" width="14.5" style="184" bestFit="1" customWidth="1"/>
    <col min="15123" max="15124" width="13.125" style="184" bestFit="1" customWidth="1"/>
    <col min="15125" max="15125" width="9.5" style="184" bestFit="1" customWidth="1"/>
    <col min="15126" max="15126" width="13.75" style="184" bestFit="1" customWidth="1"/>
    <col min="15127" max="15127" width="9.5" style="184" bestFit="1" customWidth="1"/>
    <col min="15128" max="15129" width="12.25" style="184" bestFit="1" customWidth="1"/>
    <col min="15130" max="15130" width="14.5" style="184" bestFit="1" customWidth="1"/>
    <col min="15131" max="15131" width="13.125" style="184" bestFit="1" customWidth="1"/>
    <col min="15132" max="15132" width="14.5" style="184" bestFit="1" customWidth="1"/>
    <col min="15133" max="15360" width="9" style="184"/>
    <col min="15361" max="15361" width="4.5" style="184" customWidth="1"/>
    <col min="15362" max="15362" width="12.75" style="184" bestFit="1" customWidth="1"/>
    <col min="15363" max="15363" width="0" style="184" hidden="1" customWidth="1"/>
    <col min="15364" max="15365" width="9.625" style="184" bestFit="1" customWidth="1"/>
    <col min="15366" max="15366" width="15.625" style="184" bestFit="1" customWidth="1"/>
    <col min="15367" max="15368" width="13.125" style="184" bestFit="1" customWidth="1"/>
    <col min="15369" max="15369" width="13.125" style="184" customWidth="1"/>
    <col min="15370" max="15372" width="0" style="184" hidden="1" customWidth="1"/>
    <col min="15373" max="15374" width="15.875" style="184" bestFit="1" customWidth="1"/>
    <col min="15375" max="15377" width="10" style="184" bestFit="1" customWidth="1"/>
    <col min="15378" max="15378" width="14.5" style="184" bestFit="1" customWidth="1"/>
    <col min="15379" max="15380" width="13.125" style="184" bestFit="1" customWidth="1"/>
    <col min="15381" max="15381" width="9.5" style="184" bestFit="1" customWidth="1"/>
    <col min="15382" max="15382" width="13.75" style="184" bestFit="1" customWidth="1"/>
    <col min="15383" max="15383" width="9.5" style="184" bestFit="1" customWidth="1"/>
    <col min="15384" max="15385" width="12.25" style="184" bestFit="1" customWidth="1"/>
    <col min="15386" max="15386" width="14.5" style="184" bestFit="1" customWidth="1"/>
    <col min="15387" max="15387" width="13.125" style="184" bestFit="1" customWidth="1"/>
    <col min="15388" max="15388" width="14.5" style="184" bestFit="1" customWidth="1"/>
    <col min="15389" max="15616" width="9" style="184"/>
    <col min="15617" max="15617" width="4.5" style="184" customWidth="1"/>
    <col min="15618" max="15618" width="12.75" style="184" bestFit="1" customWidth="1"/>
    <col min="15619" max="15619" width="0" style="184" hidden="1" customWidth="1"/>
    <col min="15620" max="15621" width="9.625" style="184" bestFit="1" customWidth="1"/>
    <col min="15622" max="15622" width="15.625" style="184" bestFit="1" customWidth="1"/>
    <col min="15623" max="15624" width="13.125" style="184" bestFit="1" customWidth="1"/>
    <col min="15625" max="15625" width="13.125" style="184" customWidth="1"/>
    <col min="15626" max="15628" width="0" style="184" hidden="1" customWidth="1"/>
    <col min="15629" max="15630" width="15.875" style="184" bestFit="1" customWidth="1"/>
    <col min="15631" max="15633" width="10" style="184" bestFit="1" customWidth="1"/>
    <col min="15634" max="15634" width="14.5" style="184" bestFit="1" customWidth="1"/>
    <col min="15635" max="15636" width="13.125" style="184" bestFit="1" customWidth="1"/>
    <col min="15637" max="15637" width="9.5" style="184" bestFit="1" customWidth="1"/>
    <col min="15638" max="15638" width="13.75" style="184" bestFit="1" customWidth="1"/>
    <col min="15639" max="15639" width="9.5" style="184" bestFit="1" customWidth="1"/>
    <col min="15640" max="15641" width="12.25" style="184" bestFit="1" customWidth="1"/>
    <col min="15642" max="15642" width="14.5" style="184" bestFit="1" customWidth="1"/>
    <col min="15643" max="15643" width="13.125" style="184" bestFit="1" customWidth="1"/>
    <col min="15644" max="15644" width="14.5" style="184" bestFit="1" customWidth="1"/>
    <col min="15645" max="15872" width="9" style="184"/>
    <col min="15873" max="15873" width="4.5" style="184" customWidth="1"/>
    <col min="15874" max="15874" width="12.75" style="184" bestFit="1" customWidth="1"/>
    <col min="15875" max="15875" width="0" style="184" hidden="1" customWidth="1"/>
    <col min="15876" max="15877" width="9.625" style="184" bestFit="1" customWidth="1"/>
    <col min="15878" max="15878" width="15.625" style="184" bestFit="1" customWidth="1"/>
    <col min="15879" max="15880" width="13.125" style="184" bestFit="1" customWidth="1"/>
    <col min="15881" max="15881" width="13.125" style="184" customWidth="1"/>
    <col min="15882" max="15884" width="0" style="184" hidden="1" customWidth="1"/>
    <col min="15885" max="15886" width="15.875" style="184" bestFit="1" customWidth="1"/>
    <col min="15887" max="15889" width="10" style="184" bestFit="1" customWidth="1"/>
    <col min="15890" max="15890" width="14.5" style="184" bestFit="1" customWidth="1"/>
    <col min="15891" max="15892" width="13.125" style="184" bestFit="1" customWidth="1"/>
    <col min="15893" max="15893" width="9.5" style="184" bestFit="1" customWidth="1"/>
    <col min="15894" max="15894" width="13.75" style="184" bestFit="1" customWidth="1"/>
    <col min="15895" max="15895" width="9.5" style="184" bestFit="1" customWidth="1"/>
    <col min="15896" max="15897" width="12.25" style="184" bestFit="1" customWidth="1"/>
    <col min="15898" max="15898" width="14.5" style="184" bestFit="1" customWidth="1"/>
    <col min="15899" max="15899" width="13.125" style="184" bestFit="1" customWidth="1"/>
    <col min="15900" max="15900" width="14.5" style="184" bestFit="1" customWidth="1"/>
    <col min="15901" max="16128" width="9" style="184"/>
    <col min="16129" max="16129" width="4.5" style="184" customWidth="1"/>
    <col min="16130" max="16130" width="12.75" style="184" bestFit="1" customWidth="1"/>
    <col min="16131" max="16131" width="0" style="184" hidden="1" customWidth="1"/>
    <col min="16132" max="16133" width="9.625" style="184" bestFit="1" customWidth="1"/>
    <col min="16134" max="16134" width="15.625" style="184" bestFit="1" customWidth="1"/>
    <col min="16135" max="16136" width="13.125" style="184" bestFit="1" customWidth="1"/>
    <col min="16137" max="16137" width="13.125" style="184" customWidth="1"/>
    <col min="16138" max="16140" width="0" style="184" hidden="1" customWidth="1"/>
    <col min="16141" max="16142" width="15.875" style="184" bestFit="1" customWidth="1"/>
    <col min="16143" max="16145" width="10" style="184" bestFit="1" customWidth="1"/>
    <col min="16146" max="16146" width="14.5" style="184" bestFit="1" customWidth="1"/>
    <col min="16147" max="16148" width="13.125" style="184" bestFit="1" customWidth="1"/>
    <col min="16149" max="16149" width="9.5" style="184" bestFit="1" customWidth="1"/>
    <col min="16150" max="16150" width="13.75" style="184" bestFit="1" customWidth="1"/>
    <col min="16151" max="16151" width="9.5" style="184" bestFit="1" customWidth="1"/>
    <col min="16152" max="16153" width="12.25" style="184" bestFit="1" customWidth="1"/>
    <col min="16154" max="16154" width="14.5" style="184" bestFit="1" customWidth="1"/>
    <col min="16155" max="16155" width="13.125" style="184" bestFit="1" customWidth="1"/>
    <col min="16156" max="16156" width="14.5" style="184" bestFit="1" customWidth="1"/>
    <col min="16157" max="16384" width="9" style="184"/>
  </cols>
  <sheetData>
    <row r="1" spans="1:37" ht="46.5" customHeight="1" thickBot="1">
      <c r="A1" s="364">
        <f ca="1">TODAY()</f>
        <v>46118</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5"/>
      <c r="AE1" s="182"/>
      <c r="AF1" s="182"/>
      <c r="AG1" s="183" t="s">
        <v>51</v>
      </c>
      <c r="AH1" s="183" t="s">
        <v>51</v>
      </c>
      <c r="AI1" s="183">
        <v>0.9</v>
      </c>
      <c r="AJ1" s="357"/>
      <c r="AK1" s="357"/>
    </row>
    <row r="2" spans="1:37" ht="35.25" customHeight="1" thickBot="1">
      <c r="A2" s="364"/>
      <c r="B2" s="364"/>
      <c r="C2" s="364"/>
      <c r="D2" s="364"/>
      <c r="E2" s="364"/>
      <c r="F2" s="364"/>
      <c r="G2" s="364"/>
      <c r="H2" s="364"/>
      <c r="I2" s="364"/>
      <c r="J2" s="364"/>
      <c r="K2" s="364"/>
      <c r="L2" s="364"/>
      <c r="M2" s="364"/>
      <c r="N2" s="364"/>
      <c r="O2" s="364"/>
      <c r="P2" s="364"/>
      <c r="Q2" s="364"/>
      <c r="R2" s="364"/>
      <c r="S2" s="364"/>
      <c r="T2" s="364"/>
      <c r="U2" s="364"/>
      <c r="V2" s="364"/>
      <c r="W2" s="364"/>
      <c r="X2" s="364"/>
      <c r="Y2" s="364"/>
      <c r="Z2" s="364"/>
      <c r="AA2" s="364"/>
      <c r="AB2" s="364"/>
      <c r="AC2" s="364"/>
      <c r="AD2" s="365"/>
      <c r="AE2" s="185"/>
      <c r="AF2" s="185"/>
      <c r="AG2" s="357" t="s">
        <v>52</v>
      </c>
      <c r="AH2" s="183" t="s">
        <v>52</v>
      </c>
      <c r="AI2" s="183">
        <v>3.5950000000000002</v>
      </c>
      <c r="AJ2" s="357"/>
      <c r="AK2" s="357"/>
    </row>
    <row r="3" spans="1:37" ht="25.5" customHeight="1" thickBot="1">
      <c r="A3" s="367" t="s">
        <v>296</v>
      </c>
      <c r="B3" s="368"/>
      <c r="C3" s="369"/>
      <c r="D3" s="186"/>
      <c r="E3" s="186"/>
      <c r="F3" s="186"/>
      <c r="G3" s="186"/>
      <c r="H3" s="187"/>
      <c r="J3" s="188"/>
      <c r="K3" s="189"/>
      <c r="L3" s="186"/>
      <c r="M3" s="186"/>
      <c r="N3" s="187"/>
      <c r="P3" s="188"/>
      <c r="Q3" s="189"/>
      <c r="R3" s="186"/>
      <c r="S3" s="186"/>
      <c r="T3" s="186"/>
      <c r="U3" s="186"/>
      <c r="V3" s="186"/>
      <c r="W3" s="186"/>
      <c r="X3" s="190"/>
      <c r="Y3" s="190"/>
      <c r="Z3" s="190"/>
      <c r="AA3" s="190"/>
      <c r="AB3" s="191" t="s">
        <v>91</v>
      </c>
      <c r="AC3" s="192"/>
      <c r="AD3" s="340">
        <v>46082</v>
      </c>
      <c r="AE3" s="193"/>
      <c r="AF3" s="193"/>
      <c r="AG3" s="357"/>
      <c r="AH3" s="183" t="s">
        <v>53</v>
      </c>
      <c r="AI3" s="194">
        <v>0.13139999999999999</v>
      </c>
      <c r="AJ3" s="357"/>
      <c r="AK3" s="357"/>
    </row>
    <row r="4" spans="1:37" ht="50.25" customHeight="1" thickBot="1">
      <c r="A4" s="361" t="s">
        <v>314</v>
      </c>
      <c r="B4" s="362"/>
      <c r="C4" s="363"/>
      <c r="D4" s="195"/>
      <c r="E4" s="195"/>
      <c r="F4" s="195"/>
      <c r="G4" s="195"/>
      <c r="I4" s="187"/>
      <c r="J4" s="195"/>
      <c r="K4" s="195"/>
      <c r="L4" s="195"/>
      <c r="M4" s="195"/>
      <c r="O4" s="187"/>
      <c r="P4" s="195"/>
      <c r="Q4" s="195"/>
      <c r="R4" s="195"/>
      <c r="S4" s="195"/>
      <c r="T4" s="195"/>
      <c r="U4" s="195"/>
      <c r="V4" s="195"/>
      <c r="W4" s="195"/>
      <c r="X4" s="195"/>
      <c r="Y4" s="195"/>
      <c r="Z4" s="195"/>
      <c r="AA4" s="196"/>
      <c r="AB4" s="191" t="s">
        <v>92</v>
      </c>
      <c r="AC4" s="192"/>
      <c r="AD4" s="339" t="s">
        <v>381</v>
      </c>
      <c r="AE4" s="197"/>
      <c r="AF4" s="197"/>
      <c r="AG4" s="366" t="s">
        <v>264</v>
      </c>
      <c r="AH4" s="183" t="s">
        <v>54</v>
      </c>
      <c r="AI4" s="183">
        <v>4.75</v>
      </c>
      <c r="AJ4" s="357"/>
      <c r="AK4" s="357"/>
    </row>
    <row r="5" spans="1:37" s="209" customFormat="1" ht="37.5" customHeight="1" thickBot="1">
      <c r="A5" s="198" t="s">
        <v>73</v>
      </c>
      <c r="B5" s="199" t="s">
        <v>0</v>
      </c>
      <c r="C5" s="199" t="s">
        <v>95</v>
      </c>
      <c r="D5" s="200" t="s">
        <v>43</v>
      </c>
      <c r="E5" s="200" t="s">
        <v>1</v>
      </c>
      <c r="F5" s="201" t="s">
        <v>309</v>
      </c>
      <c r="G5" s="200" t="s">
        <v>2</v>
      </c>
      <c r="H5" s="200" t="s">
        <v>3</v>
      </c>
      <c r="I5" s="200" t="s">
        <v>61</v>
      </c>
      <c r="J5" s="200" t="s">
        <v>256</v>
      </c>
      <c r="K5" s="200" t="s">
        <v>318</v>
      </c>
      <c r="L5" s="200" t="s">
        <v>337</v>
      </c>
      <c r="M5" s="200" t="s">
        <v>49</v>
      </c>
      <c r="N5" s="202" t="s">
        <v>4</v>
      </c>
      <c r="O5" s="202" t="s">
        <v>5</v>
      </c>
      <c r="P5" s="200" t="s">
        <v>6</v>
      </c>
      <c r="Q5" s="200" t="s">
        <v>44</v>
      </c>
      <c r="R5" s="200" t="s">
        <v>50</v>
      </c>
      <c r="S5" s="200" t="s">
        <v>9</v>
      </c>
      <c r="T5" s="200" t="s">
        <v>7</v>
      </c>
      <c r="U5" s="200" t="s">
        <v>8</v>
      </c>
      <c r="V5" s="200"/>
      <c r="W5" s="200" t="s">
        <v>342</v>
      </c>
      <c r="X5" s="200" t="s">
        <v>343</v>
      </c>
      <c r="Y5" s="200" t="s">
        <v>386</v>
      </c>
      <c r="Z5" s="200" t="s">
        <v>387</v>
      </c>
      <c r="AA5" s="200" t="s">
        <v>10</v>
      </c>
      <c r="AB5" s="199" t="s">
        <v>11</v>
      </c>
      <c r="AC5" s="203" t="s">
        <v>89</v>
      </c>
      <c r="AD5" s="204" t="s">
        <v>12</v>
      </c>
      <c r="AE5" s="205" t="s">
        <v>100</v>
      </c>
      <c r="AF5" s="205" t="s">
        <v>101</v>
      </c>
      <c r="AG5" s="366"/>
      <c r="AH5" s="206" t="s">
        <v>55</v>
      </c>
      <c r="AI5" s="207">
        <v>6370000</v>
      </c>
      <c r="AJ5" s="206" t="s">
        <v>56</v>
      </c>
      <c r="AK5" s="208">
        <f>AI5*AI4%</f>
        <v>302575</v>
      </c>
    </row>
    <row r="6" spans="1:37" ht="24.95" customHeight="1" thickBot="1">
      <c r="A6" s="231">
        <f t="shared" ref="A6:A10" si="0">ROW(A6)-5</f>
        <v>1</v>
      </c>
      <c r="B6" s="232" t="str">
        <f>'포괄 급여계산'!B3</f>
        <v>이소연</v>
      </c>
      <c r="C6" s="233">
        <f>'포괄 급여계산'!C3</f>
        <v>8106200000000</v>
      </c>
      <c r="D6" s="234">
        <v>2</v>
      </c>
      <c r="E6" s="235" t="str">
        <f>'포괄 급여계산'!E3</f>
        <v>2024.11.01</v>
      </c>
      <c r="F6" s="236">
        <f ca="1">'포괄 급여계산'!D3</f>
        <v>44</v>
      </c>
      <c r="G6" s="229">
        <f>'포괄 급여계산'!U3</f>
        <v>6475000</v>
      </c>
      <c r="H6" s="229">
        <f>'포괄 급여계산'!X3</f>
        <v>200000</v>
      </c>
      <c r="I6" s="237">
        <f>'포괄 급여계산'!Y3</f>
        <v>200000</v>
      </c>
      <c r="J6" s="237">
        <f>'포괄 급여계산'!Z3</f>
        <v>0</v>
      </c>
      <c r="K6" s="238">
        <f>'포괄 급여계산'!AA3</f>
        <v>0</v>
      </c>
      <c r="L6" s="238">
        <f>'포괄 급여계산'!AC3</f>
        <v>0</v>
      </c>
      <c r="M6" s="238">
        <f>'포괄 급여계산'!V3</f>
        <v>0</v>
      </c>
      <c r="N6" s="230">
        <f t="shared" ref="N6:N15" si="1">SUM(G6:M6)</f>
        <v>6875000</v>
      </c>
      <c r="O6" s="230">
        <f>SUM(G6,J6,K6,L6+M6)</f>
        <v>6475000</v>
      </c>
      <c r="P6" s="244">
        <v>247150</v>
      </c>
      <c r="Q6" s="244">
        <v>32470</v>
      </c>
      <c r="R6" s="244">
        <v>302570</v>
      </c>
      <c r="S6" s="238">
        <v>0</v>
      </c>
      <c r="T6" s="238" cm="1">
        <f t="array" ref="T6">IFERROR(INDEX(간이세액표!$D:$O,MATCH(O6/1000, 간이세액표!$A:$A, 1),
   D6), 0)</f>
        <v>562470</v>
      </c>
      <c r="U6" s="238">
        <f t="shared" ref="U6:U13" si="2">ROUNDDOWN(T6*10%,-1)</f>
        <v>56240</v>
      </c>
      <c r="V6" s="210"/>
      <c r="W6" s="210"/>
      <c r="X6" s="210"/>
      <c r="Y6" s="210"/>
      <c r="Z6" s="210"/>
      <c r="AA6" s="238">
        <f t="shared" ref="AA6:AA15" si="3">SUM(G6:M6)</f>
        <v>6875000</v>
      </c>
      <c r="AB6" s="241">
        <f>SUM(P6:Z6)</f>
        <v>1200900</v>
      </c>
      <c r="AC6" s="238"/>
      <c r="AD6" s="242">
        <f>AA6-AB6</f>
        <v>5674100</v>
      </c>
      <c r="AE6" s="212" t="s">
        <v>96</v>
      </c>
      <c r="AF6" s="212" t="s">
        <v>96</v>
      </c>
      <c r="AG6" s="366"/>
      <c r="AH6" s="213" t="s">
        <v>262</v>
      </c>
      <c r="AI6" s="214">
        <v>400000</v>
      </c>
      <c r="AJ6" s="215" t="s">
        <v>263</v>
      </c>
      <c r="AK6" s="208">
        <f>AI6*AI4%</f>
        <v>19000</v>
      </c>
    </row>
    <row r="7" spans="1:37" ht="24.95" customHeight="1">
      <c r="A7" s="231">
        <f t="shared" si="0"/>
        <v>2</v>
      </c>
      <c r="B7" s="232" t="str">
        <f>'포괄 급여계산'!B4</f>
        <v>문준호</v>
      </c>
      <c r="C7" s="233">
        <f>'포괄 급여계산'!C4</f>
        <v>7805200000000</v>
      </c>
      <c r="D7" s="234">
        <v>2</v>
      </c>
      <c r="E7" s="235" t="str">
        <f>'포괄 급여계산'!E4</f>
        <v>2023.09.04</v>
      </c>
      <c r="F7" s="236">
        <f ca="1">'포괄 급여계산'!D4</f>
        <v>47</v>
      </c>
      <c r="G7" s="229">
        <f>'포괄 급여계산'!U4</f>
        <v>6875000</v>
      </c>
      <c r="H7" s="229">
        <f>'포괄 급여계산'!X4</f>
        <v>0</v>
      </c>
      <c r="I7" s="237">
        <f>'포괄 급여계산'!Y4</f>
        <v>0</v>
      </c>
      <c r="J7" s="237">
        <f>'포괄 급여계산'!Z4</f>
        <v>0</v>
      </c>
      <c r="K7" s="238">
        <f>'포괄 급여계산'!AA4</f>
        <v>0</v>
      </c>
      <c r="L7" s="238">
        <f>'포괄 급여계산'!AC4</f>
        <v>15000</v>
      </c>
      <c r="M7" s="238">
        <f>'포괄 급여계산'!V4</f>
        <v>0</v>
      </c>
      <c r="N7" s="230">
        <f t="shared" si="1"/>
        <v>6890000</v>
      </c>
      <c r="O7" s="230">
        <f t="shared" ref="O7:O15" si="4">SUM(G7,J7,K7,L7+M7)</f>
        <v>6890000</v>
      </c>
      <c r="P7" s="244">
        <v>247690</v>
      </c>
      <c r="Q7" s="244">
        <v>32540</v>
      </c>
      <c r="R7" s="244">
        <v>302570</v>
      </c>
      <c r="S7" s="238">
        <v>0</v>
      </c>
      <c r="T7" s="238" cm="1">
        <f t="array" ref="T7">IFERROR(INDEX(간이세액표!$D:$O,MATCH(O7/1000, 간이세액표!$A:$A, 1),
   D7), 0)</f>
        <v>657220</v>
      </c>
      <c r="U7" s="238">
        <f t="shared" si="2"/>
        <v>65720</v>
      </c>
      <c r="V7" s="210"/>
      <c r="W7" s="211"/>
      <c r="X7" s="211"/>
      <c r="Y7" s="211"/>
      <c r="Z7" s="210"/>
      <c r="AA7" s="238">
        <f t="shared" si="3"/>
        <v>6890000</v>
      </c>
      <c r="AB7" s="241">
        <f t="shared" ref="AB7:AB15" si="5">SUM(P7:Z7)</f>
        <v>1305740</v>
      </c>
      <c r="AC7" s="238"/>
      <c r="AD7" s="242">
        <f t="shared" ref="AD7:AD15" si="6">AA7-AB7</f>
        <v>5584260</v>
      </c>
      <c r="AE7" s="212" t="s">
        <v>96</v>
      </c>
      <c r="AF7" s="212" t="s">
        <v>96</v>
      </c>
      <c r="AG7" s="216"/>
      <c r="AH7" s="216"/>
      <c r="AI7" s="216"/>
      <c r="AJ7" s="216"/>
      <c r="AK7" s="216"/>
    </row>
    <row r="8" spans="1:37" ht="24.75" customHeight="1">
      <c r="A8" s="231">
        <f t="shared" si="0"/>
        <v>3</v>
      </c>
      <c r="B8" s="232" t="str">
        <f>'포괄 급여계산'!B5</f>
        <v>하동명</v>
      </c>
      <c r="C8" s="233">
        <f>'포괄 급여계산'!C5</f>
        <v>9805180000000</v>
      </c>
      <c r="D8" s="234">
        <v>1</v>
      </c>
      <c r="E8" s="235" t="str">
        <f>'포괄 급여계산'!E5</f>
        <v>2025.08.04</v>
      </c>
      <c r="F8" s="236">
        <f ca="1">'포괄 급여계산'!D5</f>
        <v>27</v>
      </c>
      <c r="G8" s="229">
        <f>'포괄 급여계산'!U5</f>
        <v>2834021.2585347849</v>
      </c>
      <c r="H8" s="229">
        <f>'포괄 급여계산'!X5</f>
        <v>200000</v>
      </c>
      <c r="I8" s="237">
        <f>'포괄 급여계산'!Y5</f>
        <v>0</v>
      </c>
      <c r="J8" s="237">
        <f>'포괄 급여계산'!Z5</f>
        <v>899318.74146521499</v>
      </c>
      <c r="K8" s="238">
        <f>'포괄 급여계산'!AA5</f>
        <v>0</v>
      </c>
      <c r="L8" s="238">
        <f>'포괄 급여계산'!AC5</f>
        <v>0</v>
      </c>
      <c r="M8" s="238">
        <f>'포괄 급여계산'!V5</f>
        <v>0</v>
      </c>
      <c r="N8" s="230">
        <f t="shared" si="1"/>
        <v>3933340</v>
      </c>
      <c r="O8" s="230">
        <f t="shared" si="4"/>
        <v>3733340</v>
      </c>
      <c r="P8" s="244">
        <v>122230</v>
      </c>
      <c r="Q8" s="244">
        <v>16060</v>
      </c>
      <c r="R8" s="244">
        <v>161500</v>
      </c>
      <c r="S8" s="238">
        <f t="shared" ref="S8:S15" ca="1" si="7">IF(F8 &gt;= 65, 0, ROUNDDOWN(O8 * 0.9%, -1))</f>
        <v>33600</v>
      </c>
      <c r="T8" s="238" cm="1">
        <f t="array" ref="T8">IFERROR(INDEX(간이세액표!$D:$O,MATCH(O8/1000, 간이세액표!$A:$A, 1),
   D8), 0)</f>
        <v>154110</v>
      </c>
      <c r="U8" s="238">
        <f t="shared" si="2"/>
        <v>15410</v>
      </c>
      <c r="V8" s="210"/>
      <c r="W8" s="211"/>
      <c r="X8" s="211"/>
      <c r="Y8" s="211"/>
      <c r="Z8" s="210"/>
      <c r="AA8" s="238">
        <f t="shared" si="3"/>
        <v>3933340</v>
      </c>
      <c r="AB8" s="241">
        <f t="shared" ca="1" si="5"/>
        <v>502910</v>
      </c>
      <c r="AC8" s="238"/>
      <c r="AD8" s="243">
        <f t="shared" ca="1" si="6"/>
        <v>3430430</v>
      </c>
      <c r="AE8" s="212" t="s">
        <v>96</v>
      </c>
      <c r="AF8" s="212" t="s">
        <v>96</v>
      </c>
      <c r="AG8" s="216"/>
      <c r="AH8" s="216"/>
      <c r="AI8" s="216"/>
      <c r="AJ8" s="216"/>
      <c r="AK8" s="217"/>
    </row>
    <row r="9" spans="1:37" ht="24.95" customHeight="1">
      <c r="A9" s="231">
        <f t="shared" si="0"/>
        <v>4</v>
      </c>
      <c r="B9" s="232" t="str">
        <f>'포괄 급여계산'!B6</f>
        <v>정휘범</v>
      </c>
      <c r="C9" s="233" t="str">
        <f>'포괄 급여계산'!C6</f>
        <v>000420-3861929</v>
      </c>
      <c r="D9" s="234">
        <v>1</v>
      </c>
      <c r="E9" s="235" t="str">
        <f>'포괄 급여계산'!E6</f>
        <v>2025.03.24</v>
      </c>
      <c r="F9" s="236">
        <f ca="1">'포괄 급여계산'!D6</f>
        <v>25</v>
      </c>
      <c r="G9" s="229">
        <v>505001</v>
      </c>
      <c r="H9" s="229">
        <v>51613</v>
      </c>
      <c r="I9" s="237">
        <f>'포괄 급여계산'!Y6</f>
        <v>0</v>
      </c>
      <c r="J9" s="237">
        <v>86788</v>
      </c>
      <c r="K9" s="238">
        <f>'포괄 급여계산'!AA6</f>
        <v>0</v>
      </c>
      <c r="L9" s="238">
        <f>'포괄 급여계산'!AC6</f>
        <v>0</v>
      </c>
      <c r="M9" s="238">
        <f>'포괄 급여계산'!V6</f>
        <v>0</v>
      </c>
      <c r="N9" s="230">
        <f t="shared" si="1"/>
        <v>643402</v>
      </c>
      <c r="O9" s="230">
        <f t="shared" si="4"/>
        <v>591789</v>
      </c>
      <c r="P9" s="244"/>
      <c r="Q9" s="244"/>
      <c r="R9" s="244"/>
      <c r="S9" s="238">
        <v>0</v>
      </c>
      <c r="T9" s="238" cm="1">
        <f t="array" ref="T9">IFERROR(INDEX(간이세액표!$D:$O,MATCH(O9/1000, 간이세액표!$A:$A, 1),
   D9), 0)</f>
        <v>0</v>
      </c>
      <c r="U9" s="238">
        <f t="shared" ref="U9" si="8">ROUNDDOWN(T9*10%,-1)</f>
        <v>0</v>
      </c>
      <c r="V9" s="210"/>
      <c r="W9" s="211"/>
      <c r="X9" s="211"/>
      <c r="Y9" s="211"/>
      <c r="Z9" s="210"/>
      <c r="AA9" s="238">
        <f t="shared" si="3"/>
        <v>643402</v>
      </c>
      <c r="AB9" s="241">
        <f t="shared" si="5"/>
        <v>0</v>
      </c>
      <c r="AC9" s="238"/>
      <c r="AD9" s="242">
        <f t="shared" si="6"/>
        <v>643402</v>
      </c>
      <c r="AE9" s="212" t="s">
        <v>96</v>
      </c>
      <c r="AF9" s="212" t="s">
        <v>96</v>
      </c>
      <c r="AG9" s="216"/>
      <c r="AH9" s="216"/>
      <c r="AI9" s="216"/>
      <c r="AJ9" s="216"/>
      <c r="AK9" s="216"/>
    </row>
    <row r="10" spans="1:37" ht="24.95" customHeight="1">
      <c r="A10" s="231">
        <f t="shared" si="0"/>
        <v>5</v>
      </c>
      <c r="B10" s="234">
        <f>'포괄 급여계산'!B7</f>
        <v>0</v>
      </c>
      <c r="C10" s="233">
        <f>'포괄 급여계산'!C7</f>
        <v>0</v>
      </c>
      <c r="D10" s="234">
        <v>1</v>
      </c>
      <c r="E10" s="235">
        <f>'포괄 급여계산'!E7</f>
        <v>0</v>
      </c>
      <c r="F10" s="236" t="str">
        <f ca="1">'포괄 급여계산'!D7</f>
        <v/>
      </c>
      <c r="G10" s="229" t="str">
        <f>'포괄 급여계산'!U7</f>
        <v/>
      </c>
      <c r="H10" s="229">
        <f>'포괄 급여계산'!X7</f>
        <v>0</v>
      </c>
      <c r="I10" s="237">
        <f>'포괄 급여계산'!Y7</f>
        <v>0</v>
      </c>
      <c r="J10" s="237" t="str">
        <f>'포괄 급여계산'!Z7</f>
        <v/>
      </c>
      <c r="K10" s="238" t="str">
        <f>'포괄 급여계산'!AA7</f>
        <v/>
      </c>
      <c r="L10" s="238">
        <f>'포괄 급여계산'!AC7</f>
        <v>0</v>
      </c>
      <c r="M10" s="238">
        <f>'포괄 급여계산'!V7</f>
        <v>0</v>
      </c>
      <c r="N10" s="230">
        <f t="shared" si="1"/>
        <v>0</v>
      </c>
      <c r="O10" s="230">
        <f t="shared" si="4"/>
        <v>0</v>
      </c>
      <c r="P10" s="244"/>
      <c r="Q10" s="244"/>
      <c r="R10" s="244"/>
      <c r="S10" s="238">
        <f t="shared" ca="1" si="7"/>
        <v>0</v>
      </c>
      <c r="T10" s="238" cm="1">
        <f t="array" ref="T10">IFERROR(INDEX(간이세액표!$D:$O,MATCH(O10/1000, 간이세액표!$A:$A, 1),
   D10), 0)</f>
        <v>0</v>
      </c>
      <c r="U10" s="238">
        <f t="shared" ref="U10" si="9">ROUNDDOWN(T10*10%,-1)</f>
        <v>0</v>
      </c>
      <c r="V10" s="217"/>
      <c r="W10" s="211"/>
      <c r="X10" s="211"/>
      <c r="Y10" s="211"/>
      <c r="Z10" s="210"/>
      <c r="AA10" s="238">
        <f t="shared" si="3"/>
        <v>0</v>
      </c>
      <c r="AB10" s="241">
        <f t="shared" ca="1" si="5"/>
        <v>0</v>
      </c>
      <c r="AC10" s="238"/>
      <c r="AD10" s="242">
        <f ca="1">AA10-AB10</f>
        <v>0</v>
      </c>
      <c r="AE10" s="212" t="s">
        <v>96</v>
      </c>
      <c r="AF10" s="212" t="s">
        <v>96</v>
      </c>
      <c r="AG10" s="216"/>
      <c r="AH10" s="216"/>
      <c r="AI10" s="216"/>
      <c r="AJ10" s="216"/>
      <c r="AK10" s="216"/>
    </row>
    <row r="11" spans="1:37" ht="24.95" customHeight="1" thickBot="1">
      <c r="A11" s="231">
        <v>6</v>
      </c>
      <c r="B11" s="234">
        <f>'포괄 급여계산'!B8</f>
        <v>0</v>
      </c>
      <c r="C11" s="233">
        <f>'포괄 급여계산'!C8</f>
        <v>0</v>
      </c>
      <c r="D11" s="239">
        <v>1</v>
      </c>
      <c r="E11" s="235">
        <f>'포괄 급여계산'!E8</f>
        <v>0</v>
      </c>
      <c r="F11" s="236" t="str">
        <f ca="1">'포괄 급여계산'!D8</f>
        <v/>
      </c>
      <c r="G11" s="229"/>
      <c r="H11" s="229"/>
      <c r="I11" s="237"/>
      <c r="J11" s="237"/>
      <c r="K11" s="238" t="str">
        <f>'포괄 급여계산'!AA8</f>
        <v/>
      </c>
      <c r="L11" s="238">
        <f>'포괄 급여계산'!AC8</f>
        <v>0</v>
      </c>
      <c r="M11" s="238">
        <f>'포괄 급여계산'!V8</f>
        <v>0</v>
      </c>
      <c r="N11" s="230">
        <f t="shared" ref="N11" si="10">SUM(G11:M11)</f>
        <v>0</v>
      </c>
      <c r="O11" s="230">
        <f t="shared" si="4"/>
        <v>0</v>
      </c>
      <c r="P11" s="244"/>
      <c r="Q11" s="244"/>
      <c r="R11" s="244"/>
      <c r="S11" s="238">
        <f t="shared" ca="1" si="7"/>
        <v>0</v>
      </c>
      <c r="T11" s="238" cm="1">
        <f t="array" ref="T11">IFERROR(INDEX(간이세액표!$D:$O,MATCH(O11/1000, 간이세액표!$A:$A, 1),
   D11), 0)</f>
        <v>0</v>
      </c>
      <c r="U11" s="238">
        <f t="shared" si="2"/>
        <v>0</v>
      </c>
      <c r="V11" s="210"/>
      <c r="W11" s="211"/>
      <c r="X11" s="211"/>
      <c r="Y11" s="211"/>
      <c r="Z11" s="210"/>
      <c r="AA11" s="238">
        <f t="shared" si="3"/>
        <v>0</v>
      </c>
      <c r="AB11" s="241">
        <f t="shared" ca="1" si="5"/>
        <v>0</v>
      </c>
      <c r="AC11" s="238"/>
      <c r="AD11" s="242">
        <f t="shared" ca="1" si="6"/>
        <v>0</v>
      </c>
      <c r="AE11" s="212" t="s">
        <v>96</v>
      </c>
      <c r="AF11" s="212" t="s">
        <v>96</v>
      </c>
      <c r="AG11" s="216"/>
      <c r="AH11" s="216"/>
      <c r="AI11" s="216"/>
      <c r="AJ11" s="216"/>
      <c r="AK11" s="216"/>
    </row>
    <row r="12" spans="1:37" ht="24.95" hidden="1" customHeight="1">
      <c r="A12" s="231">
        <f t="shared" ref="A12:A15" si="11">ROW(A12)-5</f>
        <v>7</v>
      </c>
      <c r="B12" s="240">
        <f>'포괄 급여계산'!B9</f>
        <v>0</v>
      </c>
      <c r="C12" s="233">
        <f>'포괄 급여계산'!C9</f>
        <v>0</v>
      </c>
      <c r="D12" s="240">
        <v>1</v>
      </c>
      <c r="E12" s="235">
        <f>'포괄 급여계산'!E9</f>
        <v>0</v>
      </c>
      <c r="F12" s="236" t="str">
        <f ca="1">'포괄 급여계산'!D9</f>
        <v/>
      </c>
      <c r="G12" s="229" t="str">
        <f>'포괄 급여계산'!U9</f>
        <v/>
      </c>
      <c r="H12" s="229">
        <f>'포괄 급여계산'!X9</f>
        <v>0</v>
      </c>
      <c r="I12" s="237">
        <f>'포괄 급여계산'!Y9</f>
        <v>0</v>
      </c>
      <c r="J12" s="237" t="str">
        <f>'포괄 급여계산'!Z9</f>
        <v/>
      </c>
      <c r="K12" s="238" t="str">
        <f>'포괄 급여계산'!AA9</f>
        <v/>
      </c>
      <c r="L12" s="238">
        <f>'포괄 급여계산'!AC9</f>
        <v>0</v>
      </c>
      <c r="M12" s="238">
        <f>'포괄 급여계산'!V9</f>
        <v>0</v>
      </c>
      <c r="N12" s="230">
        <f t="shared" si="1"/>
        <v>0</v>
      </c>
      <c r="O12" s="230">
        <f t="shared" si="4"/>
        <v>0</v>
      </c>
      <c r="P12" s="244">
        <f>ROUNDDOWN(O12*7.19%/2,-1)</f>
        <v>0</v>
      </c>
      <c r="Q12" s="244">
        <f>ROUNDDOWN(P12*13.14%,-1)</f>
        <v>0</v>
      </c>
      <c r="R12" s="244">
        <f ca="1">IF(F12 &gt;= 60, 0, ROUNDDOWN(MIN(O12, 6370000) * 4.75%, -1))</f>
        <v>0</v>
      </c>
      <c r="S12" s="238">
        <f t="shared" ca="1" si="7"/>
        <v>0</v>
      </c>
      <c r="T12" s="238" cm="1">
        <f t="array" ref="T12">IFERROR(INDEX(간이세액표!$D:$O,MATCH(O12/1000, 간이세액표!$A:$A, 1),
   D12), 0)</f>
        <v>0</v>
      </c>
      <c r="U12" s="238">
        <f t="shared" si="2"/>
        <v>0</v>
      </c>
      <c r="V12" s="217"/>
      <c r="W12" s="211">
        <v>0</v>
      </c>
      <c r="X12" s="211"/>
      <c r="Y12" s="211"/>
      <c r="Z12" s="210"/>
      <c r="AA12" s="238">
        <f t="shared" si="3"/>
        <v>0</v>
      </c>
      <c r="AB12" s="241">
        <f t="shared" ca="1" si="5"/>
        <v>0</v>
      </c>
      <c r="AC12" s="238"/>
      <c r="AD12" s="242">
        <f t="shared" ca="1" si="6"/>
        <v>0</v>
      </c>
      <c r="AE12" s="212" t="s">
        <v>96</v>
      </c>
      <c r="AF12" s="212" t="s">
        <v>96</v>
      </c>
      <c r="AG12" s="216"/>
      <c r="AH12" s="216"/>
      <c r="AI12" s="216"/>
      <c r="AJ12" s="216"/>
      <c r="AK12" s="216"/>
    </row>
    <row r="13" spans="1:37" ht="24.95" hidden="1" customHeight="1">
      <c r="A13" s="231">
        <f t="shared" si="11"/>
        <v>8</v>
      </c>
      <c r="B13" s="234">
        <f>'포괄 급여계산'!B10</f>
        <v>0</v>
      </c>
      <c r="C13" s="233">
        <f>'포괄 급여계산'!C10</f>
        <v>0</v>
      </c>
      <c r="D13" s="234">
        <v>1</v>
      </c>
      <c r="E13" s="235">
        <f>'포괄 급여계산'!E10</f>
        <v>0</v>
      </c>
      <c r="F13" s="236" t="str">
        <f ca="1">'포괄 급여계산'!D10</f>
        <v/>
      </c>
      <c r="G13" s="229" t="str">
        <f>'포괄 급여계산'!U10</f>
        <v/>
      </c>
      <c r="H13" s="229">
        <f>'포괄 급여계산'!X10</f>
        <v>0</v>
      </c>
      <c r="I13" s="237">
        <f>'포괄 급여계산'!Y10</f>
        <v>0</v>
      </c>
      <c r="J13" s="237" t="str">
        <f>'포괄 급여계산'!Z10</f>
        <v/>
      </c>
      <c r="K13" s="238" t="str">
        <f>'포괄 급여계산'!AA10</f>
        <v/>
      </c>
      <c r="L13" s="238">
        <f>'포괄 급여계산'!AC10</f>
        <v>0</v>
      </c>
      <c r="M13" s="238">
        <f>'포괄 급여계산'!V10</f>
        <v>0</v>
      </c>
      <c r="N13" s="230">
        <f t="shared" si="1"/>
        <v>0</v>
      </c>
      <c r="O13" s="230">
        <f t="shared" si="4"/>
        <v>0</v>
      </c>
      <c r="P13" s="244">
        <f>ROUNDDOWN(O13*7.19%/2,-1)</f>
        <v>0</v>
      </c>
      <c r="Q13" s="244">
        <f>ROUNDDOWN(P13*13.14%,-1)</f>
        <v>0</v>
      </c>
      <c r="R13" s="244">
        <f t="shared" ref="R13:R15" ca="1" si="12">IF(F13 &gt;= 60, 0, ROUNDDOWN(MIN(O13, 6370000) * 4.5%, -1))</f>
        <v>0</v>
      </c>
      <c r="S13" s="238">
        <f t="shared" ca="1" si="7"/>
        <v>0</v>
      </c>
      <c r="T13" s="238" cm="1">
        <f t="array" ref="T13">IFERROR(INDEX(간이세액표!$D:$O,MATCH(O13/1000, 간이세액표!$A:$A, 1),
   D13), 0)</f>
        <v>0</v>
      </c>
      <c r="U13" s="238">
        <f t="shared" si="2"/>
        <v>0</v>
      </c>
      <c r="V13" s="210"/>
      <c r="W13" s="210">
        <v>0</v>
      </c>
      <c r="X13" s="210"/>
      <c r="Y13" s="210"/>
      <c r="Z13" s="210"/>
      <c r="AA13" s="238">
        <f t="shared" si="3"/>
        <v>0</v>
      </c>
      <c r="AB13" s="241">
        <f t="shared" ca="1" si="5"/>
        <v>0</v>
      </c>
      <c r="AC13" s="238"/>
      <c r="AD13" s="242">
        <f t="shared" ca="1" si="6"/>
        <v>0</v>
      </c>
      <c r="AE13" s="212" t="s">
        <v>96</v>
      </c>
      <c r="AF13" s="212" t="s">
        <v>96</v>
      </c>
      <c r="AG13" s="216"/>
      <c r="AH13" s="216"/>
      <c r="AI13" s="216"/>
      <c r="AJ13" s="216"/>
      <c r="AK13" s="216"/>
    </row>
    <row r="14" spans="1:37" ht="24.75" hidden="1" customHeight="1">
      <c r="A14" s="231">
        <f t="shared" si="11"/>
        <v>9</v>
      </c>
      <c r="B14" s="234">
        <f>'포괄 급여계산'!B11</f>
        <v>0</v>
      </c>
      <c r="C14" s="233">
        <f>'포괄 급여계산'!C11</f>
        <v>0</v>
      </c>
      <c r="D14" s="234">
        <v>1</v>
      </c>
      <c r="E14" s="235">
        <f>'포괄 급여계산'!E11</f>
        <v>0</v>
      </c>
      <c r="F14" s="236" t="str">
        <f ca="1">'포괄 급여계산'!D11</f>
        <v/>
      </c>
      <c r="G14" s="229" t="str">
        <f>'포괄 급여계산'!U11</f>
        <v/>
      </c>
      <c r="H14" s="229">
        <f>'포괄 급여계산'!X11</f>
        <v>0</v>
      </c>
      <c r="I14" s="237">
        <f>'포괄 급여계산'!Y11</f>
        <v>0</v>
      </c>
      <c r="J14" s="237" t="str">
        <f>'포괄 급여계산'!Z11</f>
        <v/>
      </c>
      <c r="K14" s="238" t="str">
        <f>'포괄 급여계산'!AA11</f>
        <v/>
      </c>
      <c r="L14" s="238">
        <f>'포괄 급여계산'!AC11</f>
        <v>0</v>
      </c>
      <c r="M14" s="238">
        <f>'포괄 급여계산'!V11</f>
        <v>0</v>
      </c>
      <c r="N14" s="230">
        <f t="shared" si="1"/>
        <v>0</v>
      </c>
      <c r="O14" s="230">
        <f t="shared" si="4"/>
        <v>0</v>
      </c>
      <c r="P14" s="244">
        <f t="shared" ref="P14:P15" si="13">ROUNDDOWN(O14*7.09%/2,-1)</f>
        <v>0</v>
      </c>
      <c r="Q14" s="244">
        <f t="shared" ref="Q14:Q15" si="14">ROUNDDOWN(P14*12.95%,-1)</f>
        <v>0</v>
      </c>
      <c r="R14" s="244">
        <f t="shared" ca="1" si="12"/>
        <v>0</v>
      </c>
      <c r="S14" s="238">
        <f t="shared" ca="1" si="7"/>
        <v>0</v>
      </c>
      <c r="T14" s="238" cm="1">
        <f t="array" ref="T14">IFERROR(INDEX(간이세액표!$D:$O,MATCH(O14/1000, 간이세액표!$A:$A, 1),
   D14), 0)</f>
        <v>0</v>
      </c>
      <c r="U14" s="238">
        <f t="shared" ref="U14:U15" si="15">ROUNDDOWN(T14*10%,-1)</f>
        <v>0</v>
      </c>
      <c r="V14" s="210"/>
      <c r="W14" s="211">
        <v>0</v>
      </c>
      <c r="X14" s="211"/>
      <c r="Y14" s="211"/>
      <c r="Z14" s="210"/>
      <c r="AA14" s="238">
        <f t="shared" si="3"/>
        <v>0</v>
      </c>
      <c r="AB14" s="241">
        <f t="shared" ca="1" si="5"/>
        <v>0</v>
      </c>
      <c r="AC14" s="238"/>
      <c r="AD14" s="242">
        <f t="shared" ca="1" si="6"/>
        <v>0</v>
      </c>
      <c r="AE14" s="212" t="s">
        <v>96</v>
      </c>
      <c r="AF14" s="212" t="s">
        <v>96</v>
      </c>
      <c r="AG14" s="216"/>
      <c r="AH14" s="216"/>
      <c r="AI14" s="216"/>
      <c r="AJ14" s="216"/>
      <c r="AK14" s="216"/>
    </row>
    <row r="15" spans="1:37" ht="24.95" hidden="1" customHeight="1" thickBot="1">
      <c r="A15" s="318">
        <f t="shared" si="11"/>
        <v>10</v>
      </c>
      <c r="B15" s="319">
        <f>'포괄 급여계산'!B12</f>
        <v>0</v>
      </c>
      <c r="C15" s="320">
        <f>'포괄 급여계산'!C12</f>
        <v>0</v>
      </c>
      <c r="D15" s="319">
        <v>1</v>
      </c>
      <c r="E15" s="321">
        <f>'포괄 급여계산'!E12</f>
        <v>0</v>
      </c>
      <c r="F15" s="322" t="str">
        <f ca="1">'포괄 급여계산'!D12</f>
        <v/>
      </c>
      <c r="G15" s="323" t="str">
        <f>'포괄 급여계산'!U12</f>
        <v/>
      </c>
      <c r="H15" s="323">
        <f>'포괄 급여계산'!X12</f>
        <v>0</v>
      </c>
      <c r="I15" s="324">
        <f>'포괄 급여계산'!Y12</f>
        <v>0</v>
      </c>
      <c r="J15" s="324" t="str">
        <f>'포괄 급여계산'!Z12</f>
        <v/>
      </c>
      <c r="K15" s="325" t="str">
        <f>'포괄 급여계산'!AA12</f>
        <v/>
      </c>
      <c r="L15" s="325">
        <f>'포괄 급여계산'!AC12</f>
        <v>0</v>
      </c>
      <c r="M15" s="325">
        <f>'포괄 급여계산'!V12</f>
        <v>0</v>
      </c>
      <c r="N15" s="326">
        <f t="shared" si="1"/>
        <v>0</v>
      </c>
      <c r="O15" s="326">
        <f t="shared" si="4"/>
        <v>0</v>
      </c>
      <c r="P15" s="327">
        <f t="shared" si="13"/>
        <v>0</v>
      </c>
      <c r="Q15" s="327">
        <f t="shared" si="14"/>
        <v>0</v>
      </c>
      <c r="R15" s="327">
        <f t="shared" ca="1" si="12"/>
        <v>0</v>
      </c>
      <c r="S15" s="325">
        <f t="shared" ca="1" si="7"/>
        <v>0</v>
      </c>
      <c r="T15" s="325" cm="1">
        <f t="array" ref="T15">IFERROR(INDEX(간이세액표!$D:$O,MATCH(O15/1000, 간이세액표!$A:$A, 1),
   D15), 0)</f>
        <v>0</v>
      </c>
      <c r="U15" s="325">
        <f t="shared" si="15"/>
        <v>0</v>
      </c>
      <c r="V15" s="328"/>
      <c r="W15" s="329">
        <v>0</v>
      </c>
      <c r="X15" s="329"/>
      <c r="Y15" s="329"/>
      <c r="Z15" s="328"/>
      <c r="AA15" s="325">
        <f t="shared" si="3"/>
        <v>0</v>
      </c>
      <c r="AB15" s="330">
        <f t="shared" ca="1" si="5"/>
        <v>0</v>
      </c>
      <c r="AC15" s="325"/>
      <c r="AD15" s="331">
        <f t="shared" ca="1" si="6"/>
        <v>0</v>
      </c>
      <c r="AE15" s="212" t="s">
        <v>96</v>
      </c>
      <c r="AF15" s="212" t="s">
        <v>96</v>
      </c>
      <c r="AG15" s="216"/>
      <c r="AH15" s="216"/>
      <c r="AI15" s="216"/>
      <c r="AJ15" s="216"/>
      <c r="AK15" s="216"/>
    </row>
    <row r="16" spans="1:37" ht="24.95" customHeight="1" thickBot="1">
      <c r="A16" s="358" t="s">
        <v>60</v>
      </c>
      <c r="B16" s="359"/>
      <c r="C16" s="359"/>
      <c r="D16" s="359"/>
      <c r="E16" s="359"/>
      <c r="F16" s="360"/>
      <c r="G16" s="218">
        <f t="shared" ref="G16:O16" si="16">SUM(G6:G15)</f>
        <v>16689022.258534785</v>
      </c>
      <c r="H16" s="218">
        <f t="shared" si="16"/>
        <v>451613</v>
      </c>
      <c r="I16" s="218">
        <f t="shared" si="16"/>
        <v>200000</v>
      </c>
      <c r="J16" s="218">
        <f t="shared" si="16"/>
        <v>986106.74146521499</v>
      </c>
      <c r="K16" s="218">
        <f t="shared" si="16"/>
        <v>0</v>
      </c>
      <c r="L16" s="218">
        <f t="shared" si="16"/>
        <v>15000</v>
      </c>
      <c r="M16" s="218">
        <f t="shared" si="16"/>
        <v>0</v>
      </c>
      <c r="N16" s="218">
        <f t="shared" si="16"/>
        <v>18341742</v>
      </c>
      <c r="O16" s="218">
        <f t="shared" si="16"/>
        <v>17690129</v>
      </c>
      <c r="P16" s="218">
        <f t="shared" ref="P16:U16" si="17">IFERROR(SUM(P6:P15),0)</f>
        <v>617070</v>
      </c>
      <c r="Q16" s="218">
        <f t="shared" si="17"/>
        <v>81070</v>
      </c>
      <c r="R16" s="218">
        <f t="shared" ca="1" si="17"/>
        <v>766640</v>
      </c>
      <c r="S16" s="218">
        <f t="shared" ca="1" si="17"/>
        <v>33600</v>
      </c>
      <c r="T16" s="218">
        <f t="shared" si="17"/>
        <v>1373800</v>
      </c>
      <c r="U16" s="218">
        <f t="shared" si="17"/>
        <v>137370</v>
      </c>
      <c r="V16" s="218">
        <f>SUM(V6:V10)</f>
        <v>0</v>
      </c>
      <c r="W16" s="218">
        <f>IFERROR(SUM(W6:W15),0)</f>
        <v>0</v>
      </c>
      <c r="X16" s="218">
        <f>IFERROR(SUM(X6:X15),0)</f>
        <v>0</v>
      </c>
      <c r="Y16" s="218">
        <f>SUM(Y6:Y10)</f>
        <v>0</v>
      </c>
      <c r="Z16" s="218"/>
      <c r="AA16" s="218">
        <f>IFERROR(SUM(AA6:AA15),0)</f>
        <v>18341742</v>
      </c>
      <c r="AB16" s="218">
        <f ca="1">IFERROR(SUM(AB6:AB15),0)</f>
        <v>3009550</v>
      </c>
      <c r="AC16" s="218">
        <f>SUM(AC6:AC15)</f>
        <v>0</v>
      </c>
      <c r="AD16" s="332">
        <f ca="1">IFERROR(SUM(AD6:AD15),0)</f>
        <v>15332192</v>
      </c>
      <c r="AE16" s="219"/>
      <c r="AF16" s="219"/>
      <c r="AG16" s="216"/>
      <c r="AH16" s="216"/>
      <c r="AI16" s="216"/>
      <c r="AJ16" s="216"/>
      <c r="AK16" s="216"/>
    </row>
    <row r="17" spans="3:27">
      <c r="P17" s="219"/>
      <c r="Q17" s="219"/>
    </row>
    <row r="18" spans="3:27">
      <c r="AA18" s="219"/>
    </row>
    <row r="19" spans="3:27">
      <c r="G19" s="222"/>
      <c r="H19" s="222"/>
      <c r="J19" s="222"/>
      <c r="P19" s="219"/>
      <c r="AA19" s="219"/>
    </row>
    <row r="20" spans="3:27">
      <c r="K20" s="222"/>
      <c r="M20" s="222"/>
      <c r="P20" s="219"/>
      <c r="Q20" s="219"/>
    </row>
    <row r="21" spans="3:27">
      <c r="C21" s="223"/>
      <c r="D21" s="224"/>
      <c r="E21" s="223"/>
      <c r="F21" s="225"/>
      <c r="G21" s="223"/>
      <c r="K21" s="226"/>
      <c r="M21" s="219"/>
      <c r="O21" s="227"/>
      <c r="Q21" s="219"/>
      <c r="S21" s="220"/>
      <c r="T21" s="220"/>
      <c r="U21" s="220"/>
      <c r="V21" s="220"/>
      <c r="W21" s="220"/>
      <c r="X21" s="220"/>
      <c r="Y21" s="219"/>
    </row>
    <row r="22" spans="3:27">
      <c r="C22" s="223"/>
      <c r="D22" s="224"/>
      <c r="E22" s="228"/>
      <c r="F22" s="225"/>
      <c r="G22" s="223"/>
      <c r="O22" s="222"/>
      <c r="S22" s="220"/>
      <c r="T22" s="317"/>
      <c r="U22" s="317"/>
      <c r="V22" s="317"/>
      <c r="W22" s="317"/>
      <c r="X22" s="317" t="s">
        <v>390</v>
      </c>
      <c r="Y22" s="356" t="s">
        <v>379</v>
      </c>
      <c r="Z22" s="356"/>
    </row>
    <row r="23" spans="3:27">
      <c r="C23" s="223"/>
      <c r="D23" s="224"/>
      <c r="E23" s="223"/>
      <c r="F23" s="225"/>
      <c r="G23" s="223"/>
      <c r="O23" s="222"/>
      <c r="S23" s="220"/>
      <c r="T23" s="317"/>
      <c r="U23" s="317"/>
      <c r="V23" s="317"/>
      <c r="W23" s="317"/>
      <c r="X23" s="317" t="s">
        <v>325</v>
      </c>
      <c r="Y23" s="211">
        <v>114180</v>
      </c>
      <c r="Z23" s="210">
        <v>14760</v>
      </c>
    </row>
    <row r="24" spans="3:27">
      <c r="M24" s="222"/>
      <c r="O24" s="222"/>
      <c r="S24" s="220"/>
      <c r="T24" s="317"/>
      <c r="U24" s="317"/>
      <c r="V24" s="317"/>
      <c r="W24" s="317"/>
      <c r="X24" s="317" t="s">
        <v>328</v>
      </c>
      <c r="Y24" s="211">
        <v>68640</v>
      </c>
      <c r="Z24" s="210">
        <v>8920</v>
      </c>
    </row>
    <row r="25" spans="3:27">
      <c r="M25" s="222"/>
      <c r="O25" s="222"/>
    </row>
    <row r="26" spans="3:27">
      <c r="M26" s="222"/>
      <c r="O26" s="222"/>
    </row>
    <row r="27" spans="3:27">
      <c r="O27" s="222"/>
    </row>
    <row r="28" spans="3:27">
      <c r="O28" s="222"/>
    </row>
    <row r="29" spans="3:27">
      <c r="O29" s="222"/>
    </row>
    <row r="30" spans="3:27">
      <c r="O30" s="222"/>
    </row>
    <row r="31" spans="3:27">
      <c r="O31" s="222"/>
    </row>
  </sheetData>
  <mergeCells count="8">
    <mergeCell ref="Y22:Z22"/>
    <mergeCell ref="AJ1:AK4"/>
    <mergeCell ref="A16:F16"/>
    <mergeCell ref="A4:C4"/>
    <mergeCell ref="A1:AD2"/>
    <mergeCell ref="AG2:AG3"/>
    <mergeCell ref="AG4:AG6"/>
    <mergeCell ref="A3:C3"/>
  </mergeCells>
  <phoneticPr fontId="4" type="noConversion"/>
  <conditionalFormatting sqref="A1 N3 AA3 B5:AF5 AH6 Z6:AA15 AC6:AC15">
    <cfRule type="containsErrors" dxfId="8" priority="65" stopIfTrue="1">
      <formula>ISERROR(A1)</formula>
    </cfRule>
  </conditionalFormatting>
  <conditionalFormatting sqref="B6:Q15">
    <cfRule type="containsErrors" dxfId="7" priority="2" stopIfTrue="1">
      <formula>ISERROR(B6)</formula>
    </cfRule>
  </conditionalFormatting>
  <conditionalFormatting sqref="H3 D4:G4">
    <cfRule type="containsErrors" dxfId="6" priority="5" stopIfTrue="1">
      <formula>ISERROR(D3)</formula>
    </cfRule>
  </conditionalFormatting>
  <conditionalFormatting sqref="I4:M4">
    <cfRule type="containsErrors" dxfId="5" priority="4" stopIfTrue="1">
      <formula>ISERROR(I4)</formula>
    </cfRule>
  </conditionalFormatting>
  <conditionalFormatting sqref="O4:AA4 T6:Y6 U7:V9 T7:T15 U11:V11">
    <cfRule type="containsErrors" dxfId="4" priority="48" stopIfTrue="1">
      <formula>ISERROR(O4)</formula>
    </cfRule>
  </conditionalFormatting>
  <conditionalFormatting sqref="U10">
    <cfRule type="containsErrors" dxfId="3" priority="9" stopIfTrue="1">
      <formula>ISERROR(U10)</formula>
    </cfRule>
  </conditionalFormatting>
  <conditionalFormatting sqref="U12:U15 V13:V15">
    <cfRule type="containsErrors" dxfId="2" priority="24" stopIfTrue="1">
      <formula>ISERROR(U12)</formula>
    </cfRule>
  </conditionalFormatting>
  <conditionalFormatting sqref="W13:Y13">
    <cfRule type="containsErrors" dxfId="1" priority="64" stopIfTrue="1">
      <formula>ISERROR(W13)</formula>
    </cfRule>
  </conditionalFormatting>
  <conditionalFormatting sqref="Z23:Z24">
    <cfRule type="containsErrors" dxfId="0" priority="1" stopIfTrue="1">
      <formula>ISERROR(Z23)</formula>
    </cfRule>
  </conditionalFormatting>
  <pageMargins left="0.25" right="0.25" top="0.75" bottom="0.75" header="0.3" footer="0.3"/>
  <pageSetup paperSize="8" scale="71" fitToHeight="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26EB-C016-4F98-906F-6501BBF55612}">
  <sheetPr>
    <tabColor rgb="FF0000FF"/>
    <pageSetUpPr fitToPage="1"/>
  </sheetPr>
  <dimension ref="A1:M169"/>
  <sheetViews>
    <sheetView view="pageBreakPreview" topLeftCell="A44" zoomScaleNormal="100" zoomScaleSheetLayoutView="100" workbookViewId="0">
      <selection activeCell="F71" sqref="F71:G71"/>
    </sheetView>
  </sheetViews>
  <sheetFormatPr defaultRowHeight="21" customHeight="1"/>
  <cols>
    <col min="1" max="1" width="16.125" style="29" customWidth="1"/>
    <col min="2" max="2" width="18.375" style="29" customWidth="1"/>
    <col min="3" max="3" width="18.625" style="29" customWidth="1"/>
    <col min="4" max="10" width="14.375" style="29" customWidth="1"/>
    <col min="11" max="11" width="9" style="29"/>
    <col min="12" max="12" width="9" style="29" customWidth="1"/>
    <col min="13" max="225" width="9" style="29"/>
    <col min="226" max="226" width="3.25" style="29" customWidth="1"/>
    <col min="227" max="227" width="8.5" style="29" customWidth="1"/>
    <col min="228" max="228" width="20.375" style="29" customWidth="1"/>
    <col min="229" max="229" width="14.125" style="29" customWidth="1"/>
    <col min="230" max="230" width="24.875" style="29" customWidth="1"/>
    <col min="231" max="231" width="14.25" style="29" customWidth="1"/>
    <col min="232" max="241" width="9" style="29"/>
    <col min="242" max="242" width="13.875" style="29" customWidth="1"/>
    <col min="243" max="481" width="9" style="29"/>
    <col min="482" max="482" width="3.25" style="29" customWidth="1"/>
    <col min="483" max="483" width="8.5" style="29" customWidth="1"/>
    <col min="484" max="484" width="20.375" style="29" customWidth="1"/>
    <col min="485" max="485" width="14.125" style="29" customWidth="1"/>
    <col min="486" max="486" width="24.875" style="29" customWidth="1"/>
    <col min="487" max="487" width="14.25" style="29" customWidth="1"/>
    <col min="488" max="497" width="9" style="29"/>
    <col min="498" max="498" width="13.875" style="29" customWidth="1"/>
    <col min="499" max="737" width="9" style="29"/>
    <col min="738" max="738" width="3.25" style="29" customWidth="1"/>
    <col min="739" max="739" width="8.5" style="29" customWidth="1"/>
    <col min="740" max="740" width="20.375" style="29" customWidth="1"/>
    <col min="741" max="741" width="14.125" style="29" customWidth="1"/>
    <col min="742" max="742" width="24.875" style="29" customWidth="1"/>
    <col min="743" max="743" width="14.25" style="29" customWidth="1"/>
    <col min="744" max="753" width="9" style="29"/>
    <col min="754" max="754" width="13.875" style="29" customWidth="1"/>
    <col min="755" max="993" width="9" style="29"/>
    <col min="994" max="994" width="3.25" style="29" customWidth="1"/>
    <col min="995" max="995" width="8.5" style="29" customWidth="1"/>
    <col min="996" max="996" width="20.375" style="29" customWidth="1"/>
    <col min="997" max="997" width="14.125" style="29" customWidth="1"/>
    <col min="998" max="998" width="24.875" style="29" customWidth="1"/>
    <col min="999" max="999" width="14.25" style="29" customWidth="1"/>
    <col min="1000" max="1009" width="9" style="29"/>
    <col min="1010" max="1010" width="13.875" style="29" customWidth="1"/>
    <col min="1011" max="1249" width="9" style="29"/>
    <col min="1250" max="1250" width="3.25" style="29" customWidth="1"/>
    <col min="1251" max="1251" width="8.5" style="29" customWidth="1"/>
    <col min="1252" max="1252" width="20.375" style="29" customWidth="1"/>
    <col min="1253" max="1253" width="14.125" style="29" customWidth="1"/>
    <col min="1254" max="1254" width="24.875" style="29" customWidth="1"/>
    <col min="1255" max="1255" width="14.25" style="29" customWidth="1"/>
    <col min="1256" max="1265" width="9" style="29"/>
    <col min="1266" max="1266" width="13.875" style="29" customWidth="1"/>
    <col min="1267" max="1505" width="9" style="29"/>
    <col min="1506" max="1506" width="3.25" style="29" customWidth="1"/>
    <col min="1507" max="1507" width="8.5" style="29" customWidth="1"/>
    <col min="1508" max="1508" width="20.375" style="29" customWidth="1"/>
    <col min="1509" max="1509" width="14.125" style="29" customWidth="1"/>
    <col min="1510" max="1510" width="24.875" style="29" customWidth="1"/>
    <col min="1511" max="1511" width="14.25" style="29" customWidth="1"/>
    <col min="1512" max="1521" width="9" style="29"/>
    <col min="1522" max="1522" width="13.875" style="29" customWidth="1"/>
    <col min="1523" max="1761" width="9" style="29"/>
    <col min="1762" max="1762" width="3.25" style="29" customWidth="1"/>
    <col min="1763" max="1763" width="8.5" style="29" customWidth="1"/>
    <col min="1764" max="1764" width="20.375" style="29" customWidth="1"/>
    <col min="1765" max="1765" width="14.125" style="29" customWidth="1"/>
    <col min="1766" max="1766" width="24.875" style="29" customWidth="1"/>
    <col min="1767" max="1767" width="14.25" style="29" customWidth="1"/>
    <col min="1768" max="1777" width="9" style="29"/>
    <col min="1778" max="1778" width="13.875" style="29" customWidth="1"/>
    <col min="1779" max="2017" width="9" style="29"/>
    <col min="2018" max="2018" width="3.25" style="29" customWidth="1"/>
    <col min="2019" max="2019" width="8.5" style="29" customWidth="1"/>
    <col min="2020" max="2020" width="20.375" style="29" customWidth="1"/>
    <col min="2021" max="2021" width="14.125" style="29" customWidth="1"/>
    <col min="2022" max="2022" width="24.875" style="29" customWidth="1"/>
    <col min="2023" max="2023" width="14.25" style="29" customWidth="1"/>
    <col min="2024" max="2033" width="9" style="29"/>
    <col min="2034" max="2034" width="13.875" style="29" customWidth="1"/>
    <col min="2035" max="2273" width="9" style="29"/>
    <col min="2274" max="2274" width="3.25" style="29" customWidth="1"/>
    <col min="2275" max="2275" width="8.5" style="29" customWidth="1"/>
    <col min="2276" max="2276" width="20.375" style="29" customWidth="1"/>
    <col min="2277" max="2277" width="14.125" style="29" customWidth="1"/>
    <col min="2278" max="2278" width="24.875" style="29" customWidth="1"/>
    <col min="2279" max="2279" width="14.25" style="29" customWidth="1"/>
    <col min="2280" max="2289" width="9" style="29"/>
    <col min="2290" max="2290" width="13.875" style="29" customWidth="1"/>
    <col min="2291" max="2529" width="9" style="29"/>
    <col min="2530" max="2530" width="3.25" style="29" customWidth="1"/>
    <col min="2531" max="2531" width="8.5" style="29" customWidth="1"/>
    <col min="2532" max="2532" width="20.375" style="29" customWidth="1"/>
    <col min="2533" max="2533" width="14.125" style="29" customWidth="1"/>
    <col min="2534" max="2534" width="24.875" style="29" customWidth="1"/>
    <col min="2535" max="2535" width="14.25" style="29" customWidth="1"/>
    <col min="2536" max="2545" width="9" style="29"/>
    <col min="2546" max="2546" width="13.875" style="29" customWidth="1"/>
    <col min="2547" max="2785" width="9" style="29"/>
    <col min="2786" max="2786" width="3.25" style="29" customWidth="1"/>
    <col min="2787" max="2787" width="8.5" style="29" customWidth="1"/>
    <col min="2788" max="2788" width="20.375" style="29" customWidth="1"/>
    <col min="2789" max="2789" width="14.125" style="29" customWidth="1"/>
    <col min="2790" max="2790" width="24.875" style="29" customWidth="1"/>
    <col min="2791" max="2791" width="14.25" style="29" customWidth="1"/>
    <col min="2792" max="2801" width="9" style="29"/>
    <col min="2802" max="2802" width="13.875" style="29" customWidth="1"/>
    <col min="2803" max="3041" width="9" style="29"/>
    <col min="3042" max="3042" width="3.25" style="29" customWidth="1"/>
    <col min="3043" max="3043" width="8.5" style="29" customWidth="1"/>
    <col min="3044" max="3044" width="20.375" style="29" customWidth="1"/>
    <col min="3045" max="3045" width="14.125" style="29" customWidth="1"/>
    <col min="3046" max="3046" width="24.875" style="29" customWidth="1"/>
    <col min="3047" max="3047" width="14.25" style="29" customWidth="1"/>
    <col min="3048" max="3057" width="9" style="29"/>
    <col min="3058" max="3058" width="13.875" style="29" customWidth="1"/>
    <col min="3059" max="3297" width="9" style="29"/>
    <col min="3298" max="3298" width="3.25" style="29" customWidth="1"/>
    <col min="3299" max="3299" width="8.5" style="29" customWidth="1"/>
    <col min="3300" max="3300" width="20.375" style="29" customWidth="1"/>
    <col min="3301" max="3301" width="14.125" style="29" customWidth="1"/>
    <col min="3302" max="3302" width="24.875" style="29" customWidth="1"/>
    <col min="3303" max="3303" width="14.25" style="29" customWidth="1"/>
    <col min="3304" max="3313" width="9" style="29"/>
    <col min="3314" max="3314" width="13.875" style="29" customWidth="1"/>
    <col min="3315" max="3553" width="9" style="29"/>
    <col min="3554" max="3554" width="3.25" style="29" customWidth="1"/>
    <col min="3555" max="3555" width="8.5" style="29" customWidth="1"/>
    <col min="3556" max="3556" width="20.375" style="29" customWidth="1"/>
    <col min="3557" max="3557" width="14.125" style="29" customWidth="1"/>
    <col min="3558" max="3558" width="24.875" style="29" customWidth="1"/>
    <col min="3559" max="3559" width="14.25" style="29" customWidth="1"/>
    <col min="3560" max="3569" width="9" style="29"/>
    <col min="3570" max="3570" width="13.875" style="29" customWidth="1"/>
    <col min="3571" max="3809" width="9" style="29"/>
    <col min="3810" max="3810" width="3.25" style="29" customWidth="1"/>
    <col min="3811" max="3811" width="8.5" style="29" customWidth="1"/>
    <col min="3812" max="3812" width="20.375" style="29" customWidth="1"/>
    <col min="3813" max="3813" width="14.125" style="29" customWidth="1"/>
    <col min="3814" max="3814" width="24.875" style="29" customWidth="1"/>
    <col min="3815" max="3815" width="14.25" style="29" customWidth="1"/>
    <col min="3816" max="3825" width="9" style="29"/>
    <col min="3826" max="3826" width="13.875" style="29" customWidth="1"/>
    <col min="3827" max="4065" width="9" style="29"/>
    <col min="4066" max="4066" width="3.25" style="29" customWidth="1"/>
    <col min="4067" max="4067" width="8.5" style="29" customWidth="1"/>
    <col min="4068" max="4068" width="20.375" style="29" customWidth="1"/>
    <col min="4069" max="4069" width="14.125" style="29" customWidth="1"/>
    <col min="4070" max="4070" width="24.875" style="29" customWidth="1"/>
    <col min="4071" max="4071" width="14.25" style="29" customWidth="1"/>
    <col min="4072" max="4081" width="9" style="29"/>
    <col min="4082" max="4082" width="13.875" style="29" customWidth="1"/>
    <col min="4083" max="4321" width="9" style="29"/>
    <col min="4322" max="4322" width="3.25" style="29" customWidth="1"/>
    <col min="4323" max="4323" width="8.5" style="29" customWidth="1"/>
    <col min="4324" max="4324" width="20.375" style="29" customWidth="1"/>
    <col min="4325" max="4325" width="14.125" style="29" customWidth="1"/>
    <col min="4326" max="4326" width="24.875" style="29" customWidth="1"/>
    <col min="4327" max="4327" width="14.25" style="29" customWidth="1"/>
    <col min="4328" max="4337" width="9" style="29"/>
    <col min="4338" max="4338" width="13.875" style="29" customWidth="1"/>
    <col min="4339" max="4577" width="9" style="29"/>
    <col min="4578" max="4578" width="3.25" style="29" customWidth="1"/>
    <col min="4579" max="4579" width="8.5" style="29" customWidth="1"/>
    <col min="4580" max="4580" width="20.375" style="29" customWidth="1"/>
    <col min="4581" max="4581" width="14.125" style="29" customWidth="1"/>
    <col min="4582" max="4582" width="24.875" style="29" customWidth="1"/>
    <col min="4583" max="4583" width="14.25" style="29" customWidth="1"/>
    <col min="4584" max="4593" width="9" style="29"/>
    <col min="4594" max="4594" width="13.875" style="29" customWidth="1"/>
    <col min="4595" max="4833" width="9" style="29"/>
    <col min="4834" max="4834" width="3.25" style="29" customWidth="1"/>
    <col min="4835" max="4835" width="8.5" style="29" customWidth="1"/>
    <col min="4836" max="4836" width="20.375" style="29" customWidth="1"/>
    <col min="4837" max="4837" width="14.125" style="29" customWidth="1"/>
    <col min="4838" max="4838" width="24.875" style="29" customWidth="1"/>
    <col min="4839" max="4839" width="14.25" style="29" customWidth="1"/>
    <col min="4840" max="4849" width="9" style="29"/>
    <col min="4850" max="4850" width="13.875" style="29" customWidth="1"/>
    <col min="4851" max="5089" width="9" style="29"/>
    <col min="5090" max="5090" width="3.25" style="29" customWidth="1"/>
    <col min="5091" max="5091" width="8.5" style="29" customWidth="1"/>
    <col min="5092" max="5092" width="20.375" style="29" customWidth="1"/>
    <col min="5093" max="5093" width="14.125" style="29" customWidth="1"/>
    <col min="5094" max="5094" width="24.875" style="29" customWidth="1"/>
    <col min="5095" max="5095" width="14.25" style="29" customWidth="1"/>
    <col min="5096" max="5105" width="9" style="29"/>
    <col min="5106" max="5106" width="13.875" style="29" customWidth="1"/>
    <col min="5107" max="5345" width="9" style="29"/>
    <col min="5346" max="5346" width="3.25" style="29" customWidth="1"/>
    <col min="5347" max="5347" width="8.5" style="29" customWidth="1"/>
    <col min="5348" max="5348" width="20.375" style="29" customWidth="1"/>
    <col min="5349" max="5349" width="14.125" style="29" customWidth="1"/>
    <col min="5350" max="5350" width="24.875" style="29" customWidth="1"/>
    <col min="5351" max="5351" width="14.25" style="29" customWidth="1"/>
    <col min="5352" max="5361" width="9" style="29"/>
    <col min="5362" max="5362" width="13.875" style="29" customWidth="1"/>
    <col min="5363" max="5601" width="9" style="29"/>
    <col min="5602" max="5602" width="3.25" style="29" customWidth="1"/>
    <col min="5603" max="5603" width="8.5" style="29" customWidth="1"/>
    <col min="5604" max="5604" width="20.375" style="29" customWidth="1"/>
    <col min="5605" max="5605" width="14.125" style="29" customWidth="1"/>
    <col min="5606" max="5606" width="24.875" style="29" customWidth="1"/>
    <col min="5607" max="5607" width="14.25" style="29" customWidth="1"/>
    <col min="5608" max="5617" width="9" style="29"/>
    <col min="5618" max="5618" width="13.875" style="29" customWidth="1"/>
    <col min="5619" max="5857" width="9" style="29"/>
    <col min="5858" max="5858" width="3.25" style="29" customWidth="1"/>
    <col min="5859" max="5859" width="8.5" style="29" customWidth="1"/>
    <col min="5860" max="5860" width="20.375" style="29" customWidth="1"/>
    <col min="5861" max="5861" width="14.125" style="29" customWidth="1"/>
    <col min="5862" max="5862" width="24.875" style="29" customWidth="1"/>
    <col min="5863" max="5863" width="14.25" style="29" customWidth="1"/>
    <col min="5864" max="5873" width="9" style="29"/>
    <col min="5874" max="5874" width="13.875" style="29" customWidth="1"/>
    <col min="5875" max="6113" width="9" style="29"/>
    <col min="6114" max="6114" width="3.25" style="29" customWidth="1"/>
    <col min="6115" max="6115" width="8.5" style="29" customWidth="1"/>
    <col min="6116" max="6116" width="20.375" style="29" customWidth="1"/>
    <col min="6117" max="6117" width="14.125" style="29" customWidth="1"/>
    <col min="6118" max="6118" width="24.875" style="29" customWidth="1"/>
    <col min="6119" max="6119" width="14.25" style="29" customWidth="1"/>
    <col min="6120" max="6129" width="9" style="29"/>
    <col min="6130" max="6130" width="13.875" style="29" customWidth="1"/>
    <col min="6131" max="6369" width="9" style="29"/>
    <col min="6370" max="6370" width="3.25" style="29" customWidth="1"/>
    <col min="6371" max="6371" width="8.5" style="29" customWidth="1"/>
    <col min="6372" max="6372" width="20.375" style="29" customWidth="1"/>
    <col min="6373" max="6373" width="14.125" style="29" customWidth="1"/>
    <col min="6374" max="6374" width="24.875" style="29" customWidth="1"/>
    <col min="6375" max="6375" width="14.25" style="29" customWidth="1"/>
    <col min="6376" max="6385" width="9" style="29"/>
    <col min="6386" max="6386" width="13.875" style="29" customWidth="1"/>
    <col min="6387" max="6625" width="9" style="29"/>
    <col min="6626" max="6626" width="3.25" style="29" customWidth="1"/>
    <col min="6627" max="6627" width="8.5" style="29" customWidth="1"/>
    <col min="6628" max="6628" width="20.375" style="29" customWidth="1"/>
    <col min="6629" max="6629" width="14.125" style="29" customWidth="1"/>
    <col min="6630" max="6630" width="24.875" style="29" customWidth="1"/>
    <col min="6631" max="6631" width="14.25" style="29" customWidth="1"/>
    <col min="6632" max="6641" width="9" style="29"/>
    <col min="6642" max="6642" width="13.875" style="29" customWidth="1"/>
    <col min="6643" max="6881" width="9" style="29"/>
    <col min="6882" max="6882" width="3.25" style="29" customWidth="1"/>
    <col min="6883" max="6883" width="8.5" style="29" customWidth="1"/>
    <col min="6884" max="6884" width="20.375" style="29" customWidth="1"/>
    <col min="6885" max="6885" width="14.125" style="29" customWidth="1"/>
    <col min="6886" max="6886" width="24.875" style="29" customWidth="1"/>
    <col min="6887" max="6887" width="14.25" style="29" customWidth="1"/>
    <col min="6888" max="6897" width="9" style="29"/>
    <col min="6898" max="6898" width="13.875" style="29" customWidth="1"/>
    <col min="6899" max="7137" width="9" style="29"/>
    <col min="7138" max="7138" width="3.25" style="29" customWidth="1"/>
    <col min="7139" max="7139" width="8.5" style="29" customWidth="1"/>
    <col min="7140" max="7140" width="20.375" style="29" customWidth="1"/>
    <col min="7141" max="7141" width="14.125" style="29" customWidth="1"/>
    <col min="7142" max="7142" width="24.875" style="29" customWidth="1"/>
    <col min="7143" max="7143" width="14.25" style="29" customWidth="1"/>
    <col min="7144" max="7153" width="9" style="29"/>
    <col min="7154" max="7154" width="13.875" style="29" customWidth="1"/>
    <col min="7155" max="7393" width="9" style="29"/>
    <col min="7394" max="7394" width="3.25" style="29" customWidth="1"/>
    <col min="7395" max="7395" width="8.5" style="29" customWidth="1"/>
    <col min="7396" max="7396" width="20.375" style="29" customWidth="1"/>
    <col min="7397" max="7397" width="14.125" style="29" customWidth="1"/>
    <col min="7398" max="7398" width="24.875" style="29" customWidth="1"/>
    <col min="7399" max="7399" width="14.25" style="29" customWidth="1"/>
    <col min="7400" max="7409" width="9" style="29"/>
    <col min="7410" max="7410" width="13.875" style="29" customWidth="1"/>
    <col min="7411" max="7649" width="9" style="29"/>
    <col min="7650" max="7650" width="3.25" style="29" customWidth="1"/>
    <col min="7651" max="7651" width="8.5" style="29" customWidth="1"/>
    <col min="7652" max="7652" width="20.375" style="29" customWidth="1"/>
    <col min="7653" max="7653" width="14.125" style="29" customWidth="1"/>
    <col min="7654" max="7654" width="24.875" style="29" customWidth="1"/>
    <col min="7655" max="7655" width="14.25" style="29" customWidth="1"/>
    <col min="7656" max="7665" width="9" style="29"/>
    <col min="7666" max="7666" width="13.875" style="29" customWidth="1"/>
    <col min="7667" max="7905" width="9" style="29"/>
    <col min="7906" max="7906" width="3.25" style="29" customWidth="1"/>
    <col min="7907" max="7907" width="8.5" style="29" customWidth="1"/>
    <col min="7908" max="7908" width="20.375" style="29" customWidth="1"/>
    <col min="7909" max="7909" width="14.125" style="29" customWidth="1"/>
    <col min="7910" max="7910" width="24.875" style="29" customWidth="1"/>
    <col min="7911" max="7911" width="14.25" style="29" customWidth="1"/>
    <col min="7912" max="7921" width="9" style="29"/>
    <col min="7922" max="7922" width="13.875" style="29" customWidth="1"/>
    <col min="7923" max="8161" width="9" style="29"/>
    <col min="8162" max="8162" width="3.25" style="29" customWidth="1"/>
    <col min="8163" max="8163" width="8.5" style="29" customWidth="1"/>
    <col min="8164" max="8164" width="20.375" style="29" customWidth="1"/>
    <col min="8165" max="8165" width="14.125" style="29" customWidth="1"/>
    <col min="8166" max="8166" width="24.875" style="29" customWidth="1"/>
    <col min="8167" max="8167" width="14.25" style="29" customWidth="1"/>
    <col min="8168" max="8177" width="9" style="29"/>
    <col min="8178" max="8178" width="13.875" style="29" customWidth="1"/>
    <col min="8179" max="8417" width="9" style="29"/>
    <col min="8418" max="8418" width="3.25" style="29" customWidth="1"/>
    <col min="8419" max="8419" width="8.5" style="29" customWidth="1"/>
    <col min="8420" max="8420" width="20.375" style="29" customWidth="1"/>
    <col min="8421" max="8421" width="14.125" style="29" customWidth="1"/>
    <col min="8422" max="8422" width="24.875" style="29" customWidth="1"/>
    <col min="8423" max="8423" width="14.25" style="29" customWidth="1"/>
    <col min="8424" max="8433" width="9" style="29"/>
    <col min="8434" max="8434" width="13.875" style="29" customWidth="1"/>
    <col min="8435" max="8673" width="9" style="29"/>
    <col min="8674" max="8674" width="3.25" style="29" customWidth="1"/>
    <col min="8675" max="8675" width="8.5" style="29" customWidth="1"/>
    <col min="8676" max="8676" width="20.375" style="29" customWidth="1"/>
    <col min="8677" max="8677" width="14.125" style="29" customWidth="1"/>
    <col min="8678" max="8678" width="24.875" style="29" customWidth="1"/>
    <col min="8679" max="8679" width="14.25" style="29" customWidth="1"/>
    <col min="8680" max="8689" width="9" style="29"/>
    <col min="8690" max="8690" width="13.875" style="29" customWidth="1"/>
    <col min="8691" max="8929" width="9" style="29"/>
    <col min="8930" max="8930" width="3.25" style="29" customWidth="1"/>
    <col min="8931" max="8931" width="8.5" style="29" customWidth="1"/>
    <col min="8932" max="8932" width="20.375" style="29" customWidth="1"/>
    <col min="8933" max="8933" width="14.125" style="29" customWidth="1"/>
    <col min="8934" max="8934" width="24.875" style="29" customWidth="1"/>
    <col min="8935" max="8935" width="14.25" style="29" customWidth="1"/>
    <col min="8936" max="8945" width="9" style="29"/>
    <col min="8946" max="8946" width="13.875" style="29" customWidth="1"/>
    <col min="8947" max="9185" width="9" style="29"/>
    <col min="9186" max="9186" width="3.25" style="29" customWidth="1"/>
    <col min="9187" max="9187" width="8.5" style="29" customWidth="1"/>
    <col min="9188" max="9188" width="20.375" style="29" customWidth="1"/>
    <col min="9189" max="9189" width="14.125" style="29" customWidth="1"/>
    <col min="9190" max="9190" width="24.875" style="29" customWidth="1"/>
    <col min="9191" max="9191" width="14.25" style="29" customWidth="1"/>
    <col min="9192" max="9201" width="9" style="29"/>
    <col min="9202" max="9202" width="13.875" style="29" customWidth="1"/>
    <col min="9203" max="9441" width="9" style="29"/>
    <col min="9442" max="9442" width="3.25" style="29" customWidth="1"/>
    <col min="9443" max="9443" width="8.5" style="29" customWidth="1"/>
    <col min="9444" max="9444" width="20.375" style="29" customWidth="1"/>
    <col min="9445" max="9445" width="14.125" style="29" customWidth="1"/>
    <col min="9446" max="9446" width="24.875" style="29" customWidth="1"/>
    <col min="9447" max="9447" width="14.25" style="29" customWidth="1"/>
    <col min="9448" max="9457" width="9" style="29"/>
    <col min="9458" max="9458" width="13.875" style="29" customWidth="1"/>
    <col min="9459" max="9697" width="9" style="29"/>
    <col min="9698" max="9698" width="3.25" style="29" customWidth="1"/>
    <col min="9699" max="9699" width="8.5" style="29" customWidth="1"/>
    <col min="9700" max="9700" width="20.375" style="29" customWidth="1"/>
    <col min="9701" max="9701" width="14.125" style="29" customWidth="1"/>
    <col min="9702" max="9702" width="24.875" style="29" customWidth="1"/>
    <col min="9703" max="9703" width="14.25" style="29" customWidth="1"/>
    <col min="9704" max="9713" width="9" style="29"/>
    <col min="9714" max="9714" width="13.875" style="29" customWidth="1"/>
    <col min="9715" max="9953" width="9" style="29"/>
    <col min="9954" max="9954" width="3.25" style="29" customWidth="1"/>
    <col min="9955" max="9955" width="8.5" style="29" customWidth="1"/>
    <col min="9956" max="9956" width="20.375" style="29" customWidth="1"/>
    <col min="9957" max="9957" width="14.125" style="29" customWidth="1"/>
    <col min="9958" max="9958" width="24.875" style="29" customWidth="1"/>
    <col min="9959" max="9959" width="14.25" style="29" customWidth="1"/>
    <col min="9960" max="9969" width="9" style="29"/>
    <col min="9970" max="9970" width="13.875" style="29" customWidth="1"/>
    <col min="9971" max="10209" width="9" style="29"/>
    <col min="10210" max="10210" width="3.25" style="29" customWidth="1"/>
    <col min="10211" max="10211" width="8.5" style="29" customWidth="1"/>
    <col min="10212" max="10212" width="20.375" style="29" customWidth="1"/>
    <col min="10213" max="10213" width="14.125" style="29" customWidth="1"/>
    <col min="10214" max="10214" width="24.875" style="29" customWidth="1"/>
    <col min="10215" max="10215" width="14.25" style="29" customWidth="1"/>
    <col min="10216" max="10225" width="9" style="29"/>
    <col min="10226" max="10226" width="13.875" style="29" customWidth="1"/>
    <col min="10227" max="10465" width="9" style="29"/>
    <col min="10466" max="10466" width="3.25" style="29" customWidth="1"/>
    <col min="10467" max="10467" width="8.5" style="29" customWidth="1"/>
    <col min="10468" max="10468" width="20.375" style="29" customWidth="1"/>
    <col min="10469" max="10469" width="14.125" style="29" customWidth="1"/>
    <col min="10470" max="10470" width="24.875" style="29" customWidth="1"/>
    <col min="10471" max="10471" width="14.25" style="29" customWidth="1"/>
    <col min="10472" max="10481" width="9" style="29"/>
    <col min="10482" max="10482" width="13.875" style="29" customWidth="1"/>
    <col min="10483" max="10721" width="9" style="29"/>
    <col min="10722" max="10722" width="3.25" style="29" customWidth="1"/>
    <col min="10723" max="10723" width="8.5" style="29" customWidth="1"/>
    <col min="10724" max="10724" width="20.375" style="29" customWidth="1"/>
    <col min="10725" max="10725" width="14.125" style="29" customWidth="1"/>
    <col min="10726" max="10726" width="24.875" style="29" customWidth="1"/>
    <col min="10727" max="10727" width="14.25" style="29" customWidth="1"/>
    <col min="10728" max="10737" width="9" style="29"/>
    <col min="10738" max="10738" width="13.875" style="29" customWidth="1"/>
    <col min="10739" max="10977" width="9" style="29"/>
    <col min="10978" max="10978" width="3.25" style="29" customWidth="1"/>
    <col min="10979" max="10979" width="8.5" style="29" customWidth="1"/>
    <col min="10980" max="10980" width="20.375" style="29" customWidth="1"/>
    <col min="10981" max="10981" width="14.125" style="29" customWidth="1"/>
    <col min="10982" max="10982" width="24.875" style="29" customWidth="1"/>
    <col min="10983" max="10983" width="14.25" style="29" customWidth="1"/>
    <col min="10984" max="10993" width="9" style="29"/>
    <col min="10994" max="10994" width="13.875" style="29" customWidth="1"/>
    <col min="10995" max="11233" width="9" style="29"/>
    <col min="11234" max="11234" width="3.25" style="29" customWidth="1"/>
    <col min="11235" max="11235" width="8.5" style="29" customWidth="1"/>
    <col min="11236" max="11236" width="20.375" style="29" customWidth="1"/>
    <col min="11237" max="11237" width="14.125" style="29" customWidth="1"/>
    <col min="11238" max="11238" width="24.875" style="29" customWidth="1"/>
    <col min="11239" max="11239" width="14.25" style="29" customWidth="1"/>
    <col min="11240" max="11249" width="9" style="29"/>
    <col min="11250" max="11250" width="13.875" style="29" customWidth="1"/>
    <col min="11251" max="11489" width="9" style="29"/>
    <col min="11490" max="11490" width="3.25" style="29" customWidth="1"/>
    <col min="11491" max="11491" width="8.5" style="29" customWidth="1"/>
    <col min="11492" max="11492" width="20.375" style="29" customWidth="1"/>
    <col min="11493" max="11493" width="14.125" style="29" customWidth="1"/>
    <col min="11494" max="11494" width="24.875" style="29" customWidth="1"/>
    <col min="11495" max="11495" width="14.25" style="29" customWidth="1"/>
    <col min="11496" max="11505" width="9" style="29"/>
    <col min="11506" max="11506" width="13.875" style="29" customWidth="1"/>
    <col min="11507" max="11745" width="9" style="29"/>
    <col min="11746" max="11746" width="3.25" style="29" customWidth="1"/>
    <col min="11747" max="11747" width="8.5" style="29" customWidth="1"/>
    <col min="11748" max="11748" width="20.375" style="29" customWidth="1"/>
    <col min="11749" max="11749" width="14.125" style="29" customWidth="1"/>
    <col min="11750" max="11750" width="24.875" style="29" customWidth="1"/>
    <col min="11751" max="11751" width="14.25" style="29" customWidth="1"/>
    <col min="11752" max="11761" width="9" style="29"/>
    <col min="11762" max="11762" width="13.875" style="29" customWidth="1"/>
    <col min="11763" max="12001" width="9" style="29"/>
    <col min="12002" max="12002" width="3.25" style="29" customWidth="1"/>
    <col min="12003" max="12003" width="8.5" style="29" customWidth="1"/>
    <col min="12004" max="12004" width="20.375" style="29" customWidth="1"/>
    <col min="12005" max="12005" width="14.125" style="29" customWidth="1"/>
    <col min="12006" max="12006" width="24.875" style="29" customWidth="1"/>
    <col min="12007" max="12007" width="14.25" style="29" customWidth="1"/>
    <col min="12008" max="12017" width="9" style="29"/>
    <col min="12018" max="12018" width="13.875" style="29" customWidth="1"/>
    <col min="12019" max="12257" width="9" style="29"/>
    <col min="12258" max="12258" width="3.25" style="29" customWidth="1"/>
    <col min="12259" max="12259" width="8.5" style="29" customWidth="1"/>
    <col min="12260" max="12260" width="20.375" style="29" customWidth="1"/>
    <col min="12261" max="12261" width="14.125" style="29" customWidth="1"/>
    <col min="12262" max="12262" width="24.875" style="29" customWidth="1"/>
    <col min="12263" max="12263" width="14.25" style="29" customWidth="1"/>
    <col min="12264" max="12273" width="9" style="29"/>
    <col min="12274" max="12274" width="13.875" style="29" customWidth="1"/>
    <col min="12275" max="12513" width="9" style="29"/>
    <col min="12514" max="12514" width="3.25" style="29" customWidth="1"/>
    <col min="12515" max="12515" width="8.5" style="29" customWidth="1"/>
    <col min="12516" max="12516" width="20.375" style="29" customWidth="1"/>
    <col min="12517" max="12517" width="14.125" style="29" customWidth="1"/>
    <col min="12518" max="12518" width="24.875" style="29" customWidth="1"/>
    <col min="12519" max="12519" width="14.25" style="29" customWidth="1"/>
    <col min="12520" max="12529" width="9" style="29"/>
    <col min="12530" max="12530" width="13.875" style="29" customWidth="1"/>
    <col min="12531" max="12769" width="9" style="29"/>
    <col min="12770" max="12770" width="3.25" style="29" customWidth="1"/>
    <col min="12771" max="12771" width="8.5" style="29" customWidth="1"/>
    <col min="12772" max="12772" width="20.375" style="29" customWidth="1"/>
    <col min="12773" max="12773" width="14.125" style="29" customWidth="1"/>
    <col min="12774" max="12774" width="24.875" style="29" customWidth="1"/>
    <col min="12775" max="12775" width="14.25" style="29" customWidth="1"/>
    <col min="12776" max="12785" width="9" style="29"/>
    <col min="12786" max="12786" width="13.875" style="29" customWidth="1"/>
    <col min="12787" max="13025" width="9" style="29"/>
    <col min="13026" max="13026" width="3.25" style="29" customWidth="1"/>
    <col min="13027" max="13027" width="8.5" style="29" customWidth="1"/>
    <col min="13028" max="13028" width="20.375" style="29" customWidth="1"/>
    <col min="13029" max="13029" width="14.125" style="29" customWidth="1"/>
    <col min="13030" max="13030" width="24.875" style="29" customWidth="1"/>
    <col min="13031" max="13031" width="14.25" style="29" customWidth="1"/>
    <col min="13032" max="13041" width="9" style="29"/>
    <col min="13042" max="13042" width="13.875" style="29" customWidth="1"/>
    <col min="13043" max="13281" width="9" style="29"/>
    <col min="13282" max="13282" width="3.25" style="29" customWidth="1"/>
    <col min="13283" max="13283" width="8.5" style="29" customWidth="1"/>
    <col min="13284" max="13284" width="20.375" style="29" customWidth="1"/>
    <col min="13285" max="13285" width="14.125" style="29" customWidth="1"/>
    <col min="13286" max="13286" width="24.875" style="29" customWidth="1"/>
    <col min="13287" max="13287" width="14.25" style="29" customWidth="1"/>
    <col min="13288" max="13297" width="9" style="29"/>
    <col min="13298" max="13298" width="13.875" style="29" customWidth="1"/>
    <col min="13299" max="13537" width="9" style="29"/>
    <col min="13538" max="13538" width="3.25" style="29" customWidth="1"/>
    <col min="13539" max="13539" width="8.5" style="29" customWidth="1"/>
    <col min="13540" max="13540" width="20.375" style="29" customWidth="1"/>
    <col min="13541" max="13541" width="14.125" style="29" customWidth="1"/>
    <col min="13542" max="13542" width="24.875" style="29" customWidth="1"/>
    <col min="13543" max="13543" width="14.25" style="29" customWidth="1"/>
    <col min="13544" max="13553" width="9" style="29"/>
    <col min="13554" max="13554" width="13.875" style="29" customWidth="1"/>
    <col min="13555" max="13793" width="9" style="29"/>
    <col min="13794" max="13794" width="3.25" style="29" customWidth="1"/>
    <col min="13795" max="13795" width="8.5" style="29" customWidth="1"/>
    <col min="13796" max="13796" width="20.375" style="29" customWidth="1"/>
    <col min="13797" max="13797" width="14.125" style="29" customWidth="1"/>
    <col min="13798" max="13798" width="24.875" style="29" customWidth="1"/>
    <col min="13799" max="13799" width="14.25" style="29" customWidth="1"/>
    <col min="13800" max="13809" width="9" style="29"/>
    <col min="13810" max="13810" width="13.875" style="29" customWidth="1"/>
    <col min="13811" max="14049" width="9" style="29"/>
    <col min="14050" max="14050" width="3.25" style="29" customWidth="1"/>
    <col min="14051" max="14051" width="8.5" style="29" customWidth="1"/>
    <col min="14052" max="14052" width="20.375" style="29" customWidth="1"/>
    <col min="14053" max="14053" width="14.125" style="29" customWidth="1"/>
    <col min="14054" max="14054" width="24.875" style="29" customWidth="1"/>
    <col min="14055" max="14055" width="14.25" style="29" customWidth="1"/>
    <col min="14056" max="14065" width="9" style="29"/>
    <col min="14066" max="14066" width="13.875" style="29" customWidth="1"/>
    <col min="14067" max="14305" width="9" style="29"/>
    <col min="14306" max="14306" width="3.25" style="29" customWidth="1"/>
    <col min="14307" max="14307" width="8.5" style="29" customWidth="1"/>
    <col min="14308" max="14308" width="20.375" style="29" customWidth="1"/>
    <col min="14309" max="14309" width="14.125" style="29" customWidth="1"/>
    <col min="14310" max="14310" width="24.875" style="29" customWidth="1"/>
    <col min="14311" max="14311" width="14.25" style="29" customWidth="1"/>
    <col min="14312" max="14321" width="9" style="29"/>
    <col min="14322" max="14322" width="13.875" style="29" customWidth="1"/>
    <col min="14323" max="14561" width="9" style="29"/>
    <col min="14562" max="14562" width="3.25" style="29" customWidth="1"/>
    <col min="14563" max="14563" width="8.5" style="29" customWidth="1"/>
    <col min="14564" max="14564" width="20.375" style="29" customWidth="1"/>
    <col min="14565" max="14565" width="14.125" style="29" customWidth="1"/>
    <col min="14566" max="14566" width="24.875" style="29" customWidth="1"/>
    <col min="14567" max="14567" width="14.25" style="29" customWidth="1"/>
    <col min="14568" max="14577" width="9" style="29"/>
    <col min="14578" max="14578" width="13.875" style="29" customWidth="1"/>
    <col min="14579" max="14817" width="9" style="29"/>
    <col min="14818" max="14818" width="3.25" style="29" customWidth="1"/>
    <col min="14819" max="14819" width="8.5" style="29" customWidth="1"/>
    <col min="14820" max="14820" width="20.375" style="29" customWidth="1"/>
    <col min="14821" max="14821" width="14.125" style="29" customWidth="1"/>
    <col min="14822" max="14822" width="24.875" style="29" customWidth="1"/>
    <col min="14823" max="14823" width="14.25" style="29" customWidth="1"/>
    <col min="14824" max="14833" width="9" style="29"/>
    <col min="14834" max="14834" width="13.875" style="29" customWidth="1"/>
    <col min="14835" max="15073" width="9" style="29"/>
    <col min="15074" max="15074" width="3.25" style="29" customWidth="1"/>
    <col min="15075" max="15075" width="8.5" style="29" customWidth="1"/>
    <col min="15076" max="15076" width="20.375" style="29" customWidth="1"/>
    <col min="15077" max="15077" width="14.125" style="29" customWidth="1"/>
    <col min="15078" max="15078" width="24.875" style="29" customWidth="1"/>
    <col min="15079" max="15079" width="14.25" style="29" customWidth="1"/>
    <col min="15080" max="15089" width="9" style="29"/>
    <col min="15090" max="15090" width="13.875" style="29" customWidth="1"/>
    <col min="15091" max="15329" width="9" style="29"/>
    <col min="15330" max="15330" width="3.25" style="29" customWidth="1"/>
    <col min="15331" max="15331" width="8.5" style="29" customWidth="1"/>
    <col min="15332" max="15332" width="20.375" style="29" customWidth="1"/>
    <col min="15333" max="15333" width="14.125" style="29" customWidth="1"/>
    <col min="15334" max="15334" width="24.875" style="29" customWidth="1"/>
    <col min="15335" max="15335" width="14.25" style="29" customWidth="1"/>
    <col min="15336" max="15345" width="9" style="29"/>
    <col min="15346" max="15346" width="13.875" style="29" customWidth="1"/>
    <col min="15347" max="15585" width="9" style="29"/>
    <col min="15586" max="15586" width="3.25" style="29" customWidth="1"/>
    <col min="15587" max="15587" width="8.5" style="29" customWidth="1"/>
    <col min="15588" max="15588" width="20.375" style="29" customWidth="1"/>
    <col min="15589" max="15589" width="14.125" style="29" customWidth="1"/>
    <col min="15590" max="15590" width="24.875" style="29" customWidth="1"/>
    <col min="15591" max="15591" width="14.25" style="29" customWidth="1"/>
    <col min="15592" max="15601" width="9" style="29"/>
    <col min="15602" max="15602" width="13.875" style="29" customWidth="1"/>
    <col min="15603" max="15841" width="9" style="29"/>
    <col min="15842" max="15842" width="3.25" style="29" customWidth="1"/>
    <col min="15843" max="15843" width="8.5" style="29" customWidth="1"/>
    <col min="15844" max="15844" width="20.375" style="29" customWidth="1"/>
    <col min="15845" max="15845" width="14.125" style="29" customWidth="1"/>
    <col min="15846" max="15846" width="24.875" style="29" customWidth="1"/>
    <col min="15847" max="15847" width="14.25" style="29" customWidth="1"/>
    <col min="15848" max="15857" width="9" style="29"/>
    <col min="15858" max="15858" width="13.875" style="29" customWidth="1"/>
    <col min="15859" max="16097" width="9" style="29"/>
    <col min="16098" max="16098" width="3.25" style="29" customWidth="1"/>
    <col min="16099" max="16099" width="8.5" style="29" customWidth="1"/>
    <col min="16100" max="16100" width="20.375" style="29" customWidth="1"/>
    <col min="16101" max="16101" width="14.125" style="29" customWidth="1"/>
    <col min="16102" max="16102" width="24.875" style="29" customWidth="1"/>
    <col min="16103" max="16103" width="14.25" style="29" customWidth="1"/>
    <col min="16104" max="16113" width="9" style="29"/>
    <col min="16114" max="16114" width="13.875" style="29" customWidth="1"/>
    <col min="16115" max="16384" width="9" style="29"/>
  </cols>
  <sheetData>
    <row r="1" spans="1:13" ht="39.950000000000003" customHeight="1" thickTop="1" thickBot="1">
      <c r="A1" s="370" t="s">
        <v>102</v>
      </c>
      <c r="B1" s="371"/>
      <c r="C1" s="371"/>
      <c r="D1" s="371"/>
      <c r="E1" s="371"/>
      <c r="F1" s="371"/>
      <c r="G1" s="371"/>
      <c r="H1" s="371"/>
      <c r="I1" s="371"/>
      <c r="J1" s="372"/>
      <c r="M1" s="142">
        <v>1</v>
      </c>
    </row>
    <row r="2" spans="1:13" s="35" customFormat="1" ht="32.25" customHeight="1" thickTop="1" thickBot="1">
      <c r="A2" s="30"/>
      <c r="B2" s="31"/>
      <c r="C2" s="31"/>
      <c r="D2" s="31"/>
      <c r="E2" s="31"/>
      <c r="F2" s="31"/>
      <c r="G2" s="32"/>
      <c r="H2" s="31"/>
      <c r="I2" s="33"/>
      <c r="J2" s="34"/>
    </row>
    <row r="3" spans="1:13" ht="32.25" customHeight="1" thickTop="1" thickBot="1">
      <c r="A3" s="373" t="str">
        <f>급여셋팅!$D$14</f>
        <v>제이엠건축인테리어 주식회사</v>
      </c>
      <c r="B3" s="374"/>
      <c r="C3" s="36" t="s">
        <v>103</v>
      </c>
      <c r="E3" s="37" t="str">
        <f>VLOOKUP($M$1,'포괄 급여계산'!$A$3:$AG$12,2,0)</f>
        <v>이소연</v>
      </c>
      <c r="F3" s="38" t="s">
        <v>104</v>
      </c>
      <c r="G3" s="39"/>
      <c r="H3" s="39"/>
      <c r="I3" s="39"/>
      <c r="J3" s="40"/>
    </row>
    <row r="4" spans="1:13" ht="20.100000000000001" customHeight="1" thickTop="1" thickBot="1">
      <c r="A4" s="375" t="s">
        <v>105</v>
      </c>
      <c r="B4" s="41" t="s">
        <v>106</v>
      </c>
      <c r="C4" s="155" t="str">
        <f>VLOOKUP($M$1,'포괄 급여계산'!$A$3:$AG$12,5,0)</f>
        <v>2024.11.01</v>
      </c>
      <c r="D4" s="42" t="s">
        <v>311</v>
      </c>
      <c r="E4" s="43"/>
      <c r="F4" s="43"/>
      <c r="G4" s="43"/>
      <c r="H4" s="43"/>
      <c r="I4" s="43"/>
      <c r="J4" s="44"/>
    </row>
    <row r="5" spans="1:13" ht="20.100000000000001" customHeight="1" thickTop="1" thickBot="1">
      <c r="A5" s="375"/>
      <c r="B5" s="45" t="s">
        <v>108</v>
      </c>
      <c r="C5" s="156"/>
      <c r="D5" s="46" t="s">
        <v>109</v>
      </c>
      <c r="E5" s="47"/>
      <c r="F5" s="48"/>
      <c r="G5" s="49"/>
      <c r="H5" s="49"/>
      <c r="I5" s="49"/>
      <c r="J5" s="50"/>
    </row>
    <row r="6" spans="1:13" ht="20.100000000000001" customHeight="1" thickTop="1" thickBot="1">
      <c r="A6" s="375"/>
      <c r="B6" s="51" t="s">
        <v>110</v>
      </c>
      <c r="C6" s="49"/>
      <c r="D6" s="49"/>
      <c r="E6" s="47"/>
      <c r="F6" s="48"/>
      <c r="G6" s="49"/>
      <c r="H6" s="49"/>
      <c r="I6" s="49"/>
      <c r="J6" s="50"/>
    </row>
    <row r="7" spans="1:13" ht="20.100000000000001" customHeight="1" thickTop="1" thickBot="1">
      <c r="A7" s="375"/>
      <c r="B7" s="51" t="s">
        <v>111</v>
      </c>
      <c r="C7" s="49"/>
      <c r="D7" s="49"/>
      <c r="E7" s="47"/>
      <c r="F7" s="48"/>
      <c r="G7" s="49"/>
      <c r="H7" s="49"/>
      <c r="I7" s="49"/>
      <c r="J7" s="50"/>
    </row>
    <row r="8" spans="1:13" ht="20.100000000000001" customHeight="1" thickTop="1" thickBot="1">
      <c r="A8" s="375"/>
      <c r="B8" s="52" t="s">
        <v>112</v>
      </c>
      <c r="C8" s="53"/>
      <c r="D8" s="53"/>
      <c r="E8" s="54"/>
      <c r="F8" s="55"/>
      <c r="G8" s="53"/>
      <c r="H8" s="53"/>
      <c r="I8" s="53"/>
      <c r="J8" s="56"/>
    </row>
    <row r="9" spans="1:13" s="57" customFormat="1" ht="20.100000000000001" customHeight="1" thickTop="1" thickBot="1">
      <c r="A9" s="375" t="s">
        <v>113</v>
      </c>
      <c r="B9" s="41" t="s">
        <v>114</v>
      </c>
      <c r="C9" s="376" t="str">
        <f>VLOOKUP($M$1,'포괄 급여계산'!$A$3:$AG$12,8,0)</f>
        <v>본사</v>
      </c>
      <c r="D9" s="376"/>
      <c r="E9" s="43" t="s">
        <v>115</v>
      </c>
      <c r="F9" s="43"/>
      <c r="G9" s="43"/>
      <c r="H9" s="43"/>
      <c r="I9" s="43"/>
      <c r="J9" s="44"/>
    </row>
    <row r="10" spans="1:13" s="57" customFormat="1" ht="20.100000000000001" customHeight="1" thickTop="1" thickBot="1">
      <c r="A10" s="375"/>
      <c r="B10" s="51" t="s">
        <v>116</v>
      </c>
      <c r="C10" s="376" t="str">
        <f>VLOOKUP($M$1,'포괄 급여계산'!$A$3:$AG$12,9,0)</f>
        <v>-</v>
      </c>
      <c r="D10" s="376"/>
      <c r="E10" s="58" t="s">
        <v>117</v>
      </c>
      <c r="F10" s="49"/>
      <c r="G10" s="49"/>
      <c r="H10" s="49"/>
      <c r="I10" s="49"/>
      <c r="J10" s="50"/>
    </row>
    <row r="11" spans="1:13" s="57" customFormat="1" ht="20.100000000000001" customHeight="1" thickTop="1" thickBot="1">
      <c r="A11" s="375"/>
      <c r="B11" s="52" t="s">
        <v>118</v>
      </c>
      <c r="C11" s="53"/>
      <c r="D11" s="53"/>
      <c r="E11" s="53"/>
      <c r="F11" s="53"/>
      <c r="G11" s="53"/>
      <c r="H11" s="53"/>
      <c r="I11" s="53"/>
      <c r="J11" s="56"/>
    </row>
    <row r="12" spans="1:13" s="57" customFormat="1" ht="20.100000000000001" customHeight="1" thickTop="1" thickBot="1">
      <c r="A12" s="375" t="s">
        <v>119</v>
      </c>
      <c r="B12" s="59" t="s">
        <v>120</v>
      </c>
      <c r="C12" s="60">
        <f>VLOOKUP($M$1,'포괄 급여계산'!$A$3:$AC$12,14,0)</f>
        <v>0.375</v>
      </c>
      <c r="D12" s="61" t="s">
        <v>97</v>
      </c>
      <c r="E12" s="60">
        <f>VLOOKUP($M$1,'포괄 급여계산'!$A$3:$AC$12,15,0)</f>
        <v>0.75</v>
      </c>
      <c r="F12" s="61" t="s">
        <v>121</v>
      </c>
      <c r="G12" s="62"/>
      <c r="H12" s="43"/>
      <c r="I12" s="43"/>
      <c r="J12" s="44"/>
    </row>
    <row r="13" spans="1:13" s="57" customFormat="1" ht="20.100000000000001" customHeight="1" thickTop="1" thickBot="1">
      <c r="A13" s="375"/>
      <c r="B13" s="45" t="s">
        <v>122</v>
      </c>
      <c r="C13" s="63" t="s">
        <v>123</v>
      </c>
      <c r="D13" s="64">
        <f>VLOOKUP($M$1,'포괄 급여계산'!$A$3:$AC$12,16,0)</f>
        <v>0.5</v>
      </c>
      <c r="E13" s="66" t="s">
        <v>124</v>
      </c>
      <c r="F13" s="65">
        <f>VLOOKUP($M$1,'포괄 급여계산'!$A$3:$AC$12,17,0)</f>
        <v>0.54166666666666663</v>
      </c>
      <c r="G13" s="49"/>
      <c r="H13" s="49"/>
      <c r="I13" s="49"/>
      <c r="J13" s="50"/>
    </row>
    <row r="14" spans="1:13" s="57" customFormat="1" ht="20.100000000000001" customHeight="1" thickTop="1" thickBot="1">
      <c r="A14" s="375"/>
      <c r="B14" s="52" t="s">
        <v>125</v>
      </c>
      <c r="C14" s="53"/>
      <c r="D14" s="53"/>
      <c r="E14" s="53"/>
      <c r="F14" s="53"/>
      <c r="G14" s="53"/>
      <c r="H14" s="53"/>
      <c r="I14" s="53"/>
      <c r="J14" s="56"/>
    </row>
    <row r="15" spans="1:13" s="57" customFormat="1" ht="20.100000000000001" customHeight="1" thickTop="1">
      <c r="A15" s="389" t="s">
        <v>126</v>
      </c>
      <c r="B15" s="59" t="s">
        <v>127</v>
      </c>
      <c r="C15" s="67" t="str">
        <f>VLOOKUP($M$1,'포괄 급여계산'!$A$3:$AC$12,9,0)</f>
        <v>-</v>
      </c>
      <c r="D15" s="68" t="s">
        <v>128</v>
      </c>
      <c r="E15" s="43"/>
      <c r="F15" s="43"/>
      <c r="G15" s="43"/>
      <c r="H15" s="43"/>
      <c r="I15" s="43"/>
      <c r="J15" s="44"/>
    </row>
    <row r="16" spans="1:13" s="57" customFormat="1" ht="20.100000000000001" customHeight="1">
      <c r="A16" s="390"/>
      <c r="B16" s="51" t="s">
        <v>129</v>
      </c>
      <c r="C16" s="49"/>
      <c r="D16" s="49"/>
      <c r="E16" s="49"/>
      <c r="F16" s="49"/>
      <c r="G16" s="49"/>
      <c r="H16" s="49"/>
      <c r="I16" s="49"/>
      <c r="J16" s="50"/>
    </row>
    <row r="17" spans="1:10" s="57" customFormat="1" ht="20.100000000000001" customHeight="1">
      <c r="A17" s="390"/>
      <c r="B17" s="51" t="s">
        <v>130</v>
      </c>
      <c r="C17" s="49"/>
      <c r="D17" s="49"/>
      <c r="E17" s="49"/>
      <c r="F17" s="49"/>
      <c r="G17" s="49"/>
      <c r="H17" s="49"/>
      <c r="I17" s="49"/>
      <c r="J17" s="50"/>
    </row>
    <row r="18" spans="1:10" s="57" customFormat="1" ht="20.100000000000001" customHeight="1">
      <c r="A18" s="390"/>
      <c r="B18" s="51" t="s">
        <v>131</v>
      </c>
      <c r="C18" s="49"/>
      <c r="D18" s="49"/>
      <c r="E18" s="49"/>
      <c r="F18" s="49"/>
      <c r="G18" s="58"/>
      <c r="H18" s="49"/>
      <c r="I18" s="49"/>
      <c r="J18" s="50"/>
    </row>
    <row r="19" spans="1:10" s="57" customFormat="1" ht="20.100000000000001" customHeight="1">
      <c r="A19" s="390"/>
      <c r="B19" s="51" t="s">
        <v>132</v>
      </c>
      <c r="C19" s="49"/>
      <c r="D19" s="49"/>
      <c r="E19" s="49"/>
      <c r="F19" s="49"/>
      <c r="G19" s="49"/>
      <c r="H19" s="49"/>
      <c r="I19" s="49"/>
      <c r="J19" s="50"/>
    </row>
    <row r="20" spans="1:10" s="57" customFormat="1" ht="20.100000000000001" customHeight="1">
      <c r="A20" s="390"/>
      <c r="B20" s="51" t="s">
        <v>133</v>
      </c>
      <c r="C20" s="49"/>
      <c r="D20" s="49"/>
      <c r="E20" s="49"/>
      <c r="F20" s="49"/>
      <c r="G20" s="49"/>
      <c r="H20" s="49"/>
      <c r="I20" s="49"/>
      <c r="J20" s="50"/>
    </row>
    <row r="21" spans="1:10" s="57" customFormat="1" ht="20.100000000000001" customHeight="1" thickBot="1">
      <c r="A21" s="391"/>
      <c r="B21" s="52" t="s">
        <v>134</v>
      </c>
      <c r="C21" s="53"/>
      <c r="D21" s="53"/>
      <c r="E21" s="53"/>
      <c r="F21" s="53"/>
      <c r="G21" s="53"/>
      <c r="H21" s="53"/>
      <c r="I21" s="53"/>
      <c r="J21" s="56"/>
    </row>
    <row r="22" spans="1:10" s="57" customFormat="1" ht="20.100000000000001" customHeight="1" thickTop="1">
      <c r="A22" s="389" t="s">
        <v>135</v>
      </c>
      <c r="B22" s="69" t="s">
        <v>136</v>
      </c>
      <c r="C22" s="69"/>
      <c r="D22" s="69"/>
      <c r="E22" s="49"/>
      <c r="F22" s="49"/>
      <c r="G22" s="49"/>
      <c r="H22" s="49"/>
      <c r="I22" s="49"/>
      <c r="J22" s="50"/>
    </row>
    <row r="23" spans="1:10" s="57" customFormat="1" ht="20.100000000000001" customHeight="1">
      <c r="A23" s="390"/>
      <c r="B23" s="49" t="s">
        <v>137</v>
      </c>
      <c r="C23" s="49"/>
      <c r="D23" s="49"/>
      <c r="E23" s="49"/>
      <c r="F23" s="49"/>
      <c r="G23" s="49"/>
      <c r="H23" s="49"/>
      <c r="I23" s="49"/>
      <c r="J23" s="50"/>
    </row>
    <row r="24" spans="1:10" s="57" customFormat="1" ht="20.100000000000001" customHeight="1" thickBot="1">
      <c r="A24" s="391"/>
      <c r="B24" s="53" t="s">
        <v>138</v>
      </c>
      <c r="C24" s="53"/>
      <c r="D24" s="53"/>
      <c r="E24" s="53"/>
      <c r="F24" s="53"/>
      <c r="G24" s="53"/>
      <c r="H24" s="53"/>
      <c r="I24" s="53"/>
      <c r="J24" s="56"/>
    </row>
    <row r="25" spans="1:10" s="57" customFormat="1" ht="20.100000000000001" customHeight="1" thickTop="1" thickBot="1">
      <c r="A25" s="70" t="s">
        <v>139</v>
      </c>
      <c r="B25" s="71" t="s">
        <v>140</v>
      </c>
      <c r="C25" s="71"/>
      <c r="D25" s="71"/>
      <c r="E25" s="71"/>
      <c r="F25" s="71"/>
      <c r="G25" s="71"/>
      <c r="H25" s="71"/>
      <c r="I25" s="71"/>
      <c r="J25" s="72"/>
    </row>
    <row r="26" spans="1:10" s="57" customFormat="1" ht="20.100000000000001" customHeight="1" thickTop="1">
      <c r="A26" s="380" t="s">
        <v>141</v>
      </c>
      <c r="B26" s="73" t="s">
        <v>142</v>
      </c>
      <c r="C26" s="73"/>
      <c r="D26" s="73"/>
      <c r="E26" s="43"/>
      <c r="F26" s="43"/>
      <c r="G26" s="74"/>
      <c r="H26" s="74"/>
      <c r="I26" s="43"/>
      <c r="J26" s="44"/>
    </row>
    <row r="27" spans="1:10" s="57" customFormat="1" ht="20.100000000000001" customHeight="1">
      <c r="A27" s="381"/>
      <c r="B27" s="49" t="s">
        <v>143</v>
      </c>
      <c r="C27" s="49"/>
      <c r="D27" s="49"/>
      <c r="E27" s="49"/>
      <c r="F27" s="49"/>
      <c r="G27" s="75"/>
      <c r="H27" s="75"/>
      <c r="I27" s="49"/>
      <c r="J27" s="50"/>
    </row>
    <row r="28" spans="1:10" s="57" customFormat="1" ht="20.100000000000001" customHeight="1">
      <c r="A28" s="381"/>
      <c r="B28" s="49" t="s">
        <v>144</v>
      </c>
      <c r="C28" s="49"/>
      <c r="D28" s="49"/>
      <c r="E28" s="49"/>
      <c r="F28" s="49"/>
      <c r="G28" s="75"/>
      <c r="H28" s="75"/>
      <c r="I28" s="49"/>
      <c r="J28" s="50"/>
    </row>
    <row r="29" spans="1:10" s="57" customFormat="1" ht="20.100000000000001" customHeight="1" thickBot="1">
      <c r="A29" s="382"/>
      <c r="B29" s="392" t="s">
        <v>283</v>
      </c>
      <c r="C29" s="393"/>
      <c r="D29" s="393"/>
      <c r="E29" s="393"/>
      <c r="F29" s="393"/>
      <c r="G29" s="393"/>
      <c r="H29" s="393"/>
      <c r="I29" s="393"/>
      <c r="J29" s="394"/>
    </row>
    <row r="30" spans="1:10" s="57" customFormat="1" ht="20.100000000000001" customHeight="1" thickTop="1">
      <c r="A30" s="380" t="s">
        <v>145</v>
      </c>
      <c r="B30" s="43" t="s">
        <v>146</v>
      </c>
      <c r="C30" s="43"/>
      <c r="D30" s="43"/>
      <c r="E30" s="77"/>
      <c r="F30" s="77"/>
      <c r="G30" s="43"/>
      <c r="H30" s="43"/>
      <c r="I30" s="43"/>
      <c r="J30" s="44"/>
    </row>
    <row r="31" spans="1:10" s="57" customFormat="1" ht="20.100000000000001" customHeight="1">
      <c r="A31" s="381"/>
      <c r="B31" s="49" t="s">
        <v>147</v>
      </c>
      <c r="C31" s="49"/>
      <c r="D31" s="49"/>
      <c r="E31" s="78"/>
      <c r="F31" s="78"/>
      <c r="G31" s="49"/>
      <c r="H31" s="49"/>
      <c r="I31" s="49"/>
      <c r="J31" s="50"/>
    </row>
    <row r="32" spans="1:10" s="57" customFormat="1" ht="20.100000000000001" customHeight="1">
      <c r="A32" s="381"/>
      <c r="B32" s="49" t="s">
        <v>148</v>
      </c>
      <c r="C32" s="49"/>
      <c r="D32" s="49"/>
      <c r="E32" s="49"/>
      <c r="F32" s="49"/>
      <c r="G32" s="49"/>
      <c r="H32" s="49"/>
      <c r="I32" s="49"/>
      <c r="J32" s="50"/>
    </row>
    <row r="33" spans="1:10" s="57" customFormat="1" ht="20.100000000000001" customHeight="1" thickBot="1">
      <c r="A33" s="382"/>
      <c r="B33" s="53" t="s">
        <v>149</v>
      </c>
      <c r="C33" s="53"/>
      <c r="D33" s="53"/>
      <c r="E33" s="53"/>
      <c r="F33" s="53"/>
      <c r="G33" s="53"/>
      <c r="H33" s="53"/>
      <c r="I33" s="53"/>
      <c r="J33" s="56"/>
    </row>
    <row r="34" spans="1:10" s="57" customFormat="1" ht="20.100000000000001" customHeight="1" thickTop="1">
      <c r="A34" s="377" t="s">
        <v>150</v>
      </c>
      <c r="B34" s="41" t="s">
        <v>151</v>
      </c>
      <c r="C34" s="43"/>
      <c r="D34" s="43"/>
      <c r="E34" s="79"/>
      <c r="F34" s="79"/>
      <c r="G34" s="79"/>
      <c r="H34" s="80"/>
      <c r="I34" s="43"/>
      <c r="J34" s="44"/>
    </row>
    <row r="35" spans="1:10" s="57" customFormat="1" ht="20.100000000000001" customHeight="1">
      <c r="A35" s="378"/>
      <c r="B35" s="51" t="s">
        <v>152</v>
      </c>
      <c r="C35" s="49"/>
      <c r="D35" s="49"/>
      <c r="E35" s="81"/>
      <c r="F35" s="81"/>
      <c r="G35" s="81"/>
      <c r="H35" s="82"/>
      <c r="I35" s="49"/>
      <c r="J35" s="50"/>
    </row>
    <row r="36" spans="1:10" s="57" customFormat="1" ht="20.100000000000001" customHeight="1">
      <c r="A36" s="378"/>
      <c r="B36" s="51" t="s">
        <v>153</v>
      </c>
      <c r="C36" s="49"/>
      <c r="D36" s="49"/>
      <c r="E36" s="49"/>
      <c r="F36" s="49"/>
      <c r="G36" s="49"/>
      <c r="H36" s="49"/>
      <c r="I36" s="49"/>
      <c r="J36" s="50"/>
    </row>
    <row r="37" spans="1:10" s="57" customFormat="1" ht="20.100000000000001" customHeight="1">
      <c r="A37" s="378"/>
      <c r="B37" s="51" t="s">
        <v>154</v>
      </c>
      <c r="C37" s="49"/>
      <c r="D37" s="49"/>
      <c r="E37" s="75"/>
      <c r="F37" s="75"/>
      <c r="G37" s="75"/>
      <c r="H37" s="49"/>
      <c r="I37" s="49"/>
      <c r="J37" s="50"/>
    </row>
    <row r="38" spans="1:10" s="57" customFormat="1" ht="20.100000000000001" customHeight="1">
      <c r="A38" s="378"/>
      <c r="B38" s="51" t="s">
        <v>155</v>
      </c>
      <c r="C38" s="49"/>
      <c r="D38" s="49"/>
      <c r="E38" s="78"/>
      <c r="F38" s="78"/>
      <c r="G38" s="49"/>
      <c r="H38" s="49"/>
      <c r="I38" s="49"/>
      <c r="J38" s="50"/>
    </row>
    <row r="39" spans="1:10" s="57" customFormat="1" ht="20.100000000000001" customHeight="1">
      <c r="A39" s="378"/>
      <c r="B39" s="51" t="s">
        <v>156</v>
      </c>
      <c r="C39" s="49"/>
      <c r="D39" s="49"/>
      <c r="E39" s="78"/>
      <c r="F39" s="78"/>
      <c r="G39" s="49"/>
      <c r="H39" s="49"/>
      <c r="I39" s="49"/>
      <c r="J39" s="50"/>
    </row>
    <row r="40" spans="1:10" s="57" customFormat="1" ht="20.100000000000001" customHeight="1">
      <c r="A40" s="378"/>
      <c r="B40" s="51" t="s">
        <v>157</v>
      </c>
      <c r="C40" s="49"/>
      <c r="D40" s="49"/>
      <c r="E40" s="49"/>
      <c r="F40" s="49"/>
      <c r="G40" s="49"/>
      <c r="H40" s="49"/>
      <c r="I40" s="49"/>
      <c r="J40" s="50"/>
    </row>
    <row r="41" spans="1:10" s="57" customFormat="1" ht="20.100000000000001" customHeight="1" thickBot="1">
      <c r="A41" s="379"/>
      <c r="B41" s="52" t="s">
        <v>158</v>
      </c>
      <c r="C41" s="53"/>
      <c r="D41" s="53"/>
      <c r="E41" s="53"/>
      <c r="F41" s="53"/>
      <c r="G41" s="53"/>
      <c r="H41" s="53"/>
      <c r="I41" s="53"/>
      <c r="J41" s="56"/>
    </row>
    <row r="42" spans="1:10" s="57" customFormat="1" ht="20.100000000000001" customHeight="1" thickTop="1">
      <c r="A42" s="377" t="s">
        <v>159</v>
      </c>
      <c r="B42" s="43" t="s">
        <v>160</v>
      </c>
      <c r="C42" s="43"/>
      <c r="D42" s="43"/>
      <c r="E42" s="79"/>
      <c r="F42" s="79"/>
      <c r="G42" s="79"/>
      <c r="H42" s="80"/>
      <c r="I42" s="43"/>
      <c r="J42" s="44"/>
    </row>
    <row r="43" spans="1:10" s="57" customFormat="1" ht="20.100000000000001" customHeight="1">
      <c r="A43" s="378"/>
      <c r="B43" s="49" t="s">
        <v>161</v>
      </c>
      <c r="C43" s="49"/>
      <c r="D43" s="49"/>
      <c r="E43" s="81"/>
      <c r="F43" s="81"/>
      <c r="G43" s="81"/>
      <c r="H43" s="82"/>
      <c r="I43" s="49"/>
      <c r="J43" s="50"/>
    </row>
    <row r="44" spans="1:10" s="57" customFormat="1" ht="20.100000000000001" customHeight="1">
      <c r="A44" s="378"/>
      <c r="B44" s="49" t="s">
        <v>162</v>
      </c>
      <c r="C44" s="49"/>
      <c r="D44" s="49"/>
      <c r="E44" s="49"/>
      <c r="F44" s="49"/>
      <c r="G44" s="49"/>
      <c r="H44" s="49"/>
      <c r="I44" s="49"/>
      <c r="J44" s="50"/>
    </row>
    <row r="45" spans="1:10" s="57" customFormat="1" ht="20.100000000000001" customHeight="1" thickBot="1">
      <c r="A45" s="378"/>
      <c r="B45" s="49" t="s">
        <v>163</v>
      </c>
      <c r="C45" s="49"/>
      <c r="D45" s="49"/>
      <c r="E45" s="75"/>
      <c r="F45" s="75"/>
      <c r="G45" s="75"/>
      <c r="H45" s="49"/>
      <c r="I45" s="49"/>
      <c r="J45" s="50"/>
    </row>
    <row r="46" spans="1:10" s="57" customFormat="1" ht="20.100000000000001" customHeight="1" thickTop="1">
      <c r="A46" s="380" t="s">
        <v>164</v>
      </c>
      <c r="B46" s="41" t="s">
        <v>165</v>
      </c>
      <c r="C46" s="43"/>
      <c r="D46" s="43"/>
      <c r="E46" s="74"/>
      <c r="F46" s="74"/>
      <c r="G46" s="74"/>
      <c r="H46" s="43"/>
      <c r="I46" s="43"/>
      <c r="J46" s="44"/>
    </row>
    <row r="47" spans="1:10" s="57" customFormat="1" ht="20.100000000000001" customHeight="1" thickBot="1">
      <c r="A47" s="381"/>
      <c r="B47" s="51" t="s">
        <v>166</v>
      </c>
      <c r="C47" s="49"/>
      <c r="D47" s="49"/>
      <c r="E47" s="75"/>
      <c r="F47" s="75"/>
      <c r="G47" s="75"/>
      <c r="H47" s="49"/>
      <c r="I47" s="49"/>
      <c r="J47" s="50"/>
    </row>
    <row r="48" spans="1:10" s="57" customFormat="1" ht="20.100000000000001" customHeight="1" thickTop="1">
      <c r="A48" s="380" t="s">
        <v>167</v>
      </c>
      <c r="B48" s="41" t="s">
        <v>168</v>
      </c>
      <c r="C48" s="43"/>
      <c r="D48" s="43"/>
      <c r="E48" s="43"/>
      <c r="F48" s="43"/>
      <c r="G48" s="74"/>
      <c r="H48" s="74"/>
      <c r="I48" s="43"/>
      <c r="J48" s="44"/>
    </row>
    <row r="49" spans="1:10" s="57" customFormat="1" ht="20.100000000000001" customHeight="1" thickBot="1">
      <c r="A49" s="382"/>
      <c r="B49" s="52" t="s">
        <v>169</v>
      </c>
      <c r="C49" s="53"/>
      <c r="D49" s="53"/>
      <c r="E49" s="53"/>
      <c r="F49" s="53"/>
      <c r="G49" s="76"/>
      <c r="H49" s="76"/>
      <c r="I49" s="53"/>
      <c r="J49" s="56"/>
    </row>
    <row r="50" spans="1:10" s="57" customFormat="1" ht="24.95" customHeight="1" thickTop="1">
      <c r="A50" s="383" t="s">
        <v>170</v>
      </c>
      <c r="B50" s="384"/>
      <c r="C50" s="384"/>
      <c r="D50" s="384"/>
      <c r="E50" s="384"/>
      <c r="F50" s="384"/>
      <c r="G50" s="384"/>
      <c r="H50" s="384"/>
      <c r="I50" s="384"/>
      <c r="J50" s="385"/>
    </row>
    <row r="51" spans="1:10" s="57" customFormat="1" ht="24.95" customHeight="1" thickBot="1">
      <c r="A51" s="83" t="s">
        <v>171</v>
      </c>
      <c r="B51" s="84"/>
      <c r="C51" s="84"/>
      <c r="D51" s="84"/>
      <c r="E51" s="84"/>
      <c r="F51" s="84"/>
      <c r="G51" s="84"/>
      <c r="H51" s="85" t="s">
        <v>172</v>
      </c>
      <c r="I51" s="86" t="str">
        <f>+E3</f>
        <v>이소연</v>
      </c>
      <c r="J51" s="87" t="s">
        <v>173</v>
      </c>
    </row>
    <row r="52" spans="1:10" s="57" customFormat="1" ht="30" customHeight="1" thickTop="1" thickBot="1">
      <c r="A52" s="386" t="s">
        <v>174</v>
      </c>
      <c r="B52" s="387"/>
      <c r="C52" s="387"/>
      <c r="D52" s="387"/>
      <c r="E52" s="387"/>
      <c r="F52" s="387"/>
      <c r="G52" s="387"/>
      <c r="H52" s="387"/>
      <c r="I52" s="387"/>
      <c r="J52" s="388"/>
    </row>
    <row r="53" spans="1:10" ht="30" customHeight="1" thickTop="1">
      <c r="A53" s="406" t="s">
        <v>175</v>
      </c>
      <c r="B53" s="397" t="str">
        <f>$A$3</f>
        <v>제이엠건축인테리어 주식회사</v>
      </c>
      <c r="C53" s="398"/>
      <c r="D53" s="88" t="str">
        <f>'[14]회사 정보'!E1</f>
        <v>대표이사</v>
      </c>
      <c r="E53" s="399" t="str">
        <f>급여셋팅!$D$17</f>
        <v>이소연</v>
      </c>
      <c r="F53" s="398"/>
      <c r="G53" s="398"/>
      <c r="H53" s="398"/>
      <c r="I53" s="408" t="s">
        <v>176</v>
      </c>
      <c r="J53" s="409"/>
    </row>
    <row r="54" spans="1:10" ht="30" customHeight="1" thickBot="1">
      <c r="A54" s="407"/>
      <c r="B54" s="402" t="s">
        <v>177</v>
      </c>
      <c r="C54" s="403"/>
      <c r="D54" s="403"/>
      <c r="E54" s="410" t="str">
        <f>급여셋팅!$D$16</f>
        <v>경상남도 창원시 의창구 평산로 135번길 4 , 2층</v>
      </c>
      <c r="F54" s="411"/>
      <c r="G54" s="411"/>
      <c r="H54" s="411"/>
      <c r="I54" s="411"/>
      <c r="J54" s="412"/>
    </row>
    <row r="55" spans="1:10" ht="30" customHeight="1" thickTop="1">
      <c r="A55" s="395" t="s">
        <v>172</v>
      </c>
      <c r="B55" s="397" t="s">
        <v>178</v>
      </c>
      <c r="C55" s="398"/>
      <c r="D55" s="398"/>
      <c r="E55" s="399" t="str">
        <f>+E3</f>
        <v>이소연</v>
      </c>
      <c r="F55" s="399"/>
      <c r="G55" s="399"/>
      <c r="H55" s="399"/>
      <c r="I55" s="400" t="s">
        <v>176</v>
      </c>
      <c r="J55" s="401"/>
    </row>
    <row r="56" spans="1:10" ht="30" customHeight="1" thickBot="1">
      <c r="A56" s="396"/>
      <c r="B56" s="402" t="s">
        <v>179</v>
      </c>
      <c r="C56" s="403"/>
      <c r="D56" s="403"/>
      <c r="E56" s="404">
        <f>VLOOKUP(M1,'포괄 급여계산'!$A$3:$AG$12,3,0)</f>
        <v>8106200000000</v>
      </c>
      <c r="F56" s="404"/>
      <c r="G56" s="404"/>
      <c r="H56" s="404"/>
      <c r="I56" s="404"/>
      <c r="J56" s="405"/>
    </row>
    <row r="57" spans="1:10" ht="0.2" customHeight="1" thickTop="1" thickBot="1">
      <c r="A57" s="49"/>
      <c r="B57" s="89"/>
      <c r="C57" s="89"/>
      <c r="D57" s="89"/>
      <c r="E57" s="75"/>
      <c r="F57" s="75"/>
      <c r="G57" s="90"/>
      <c r="H57" s="90"/>
      <c r="I57" s="90"/>
      <c r="J57" s="90"/>
    </row>
    <row r="58" spans="1:10" ht="0.2" customHeight="1" thickTop="1" thickBot="1">
      <c r="A58" s="49"/>
      <c r="B58" s="89"/>
      <c r="C58" s="89"/>
      <c r="D58" s="89"/>
      <c r="E58" s="75"/>
      <c r="F58" s="75"/>
      <c r="G58" s="90"/>
      <c r="H58" s="90"/>
      <c r="I58" s="90"/>
      <c r="J58" s="90"/>
    </row>
    <row r="59" spans="1:10" ht="0.2" customHeight="1" thickTop="1" thickBot="1">
      <c r="A59" s="49"/>
      <c r="B59" s="89"/>
      <c r="C59" s="89"/>
      <c r="D59" s="89"/>
      <c r="E59" s="75"/>
      <c r="F59" s="75"/>
      <c r="G59" s="90"/>
      <c r="H59" s="90"/>
      <c r="I59" s="90"/>
      <c r="J59" s="90"/>
    </row>
    <row r="60" spans="1:10" ht="0.2" customHeight="1" thickTop="1" thickBot="1">
      <c r="A60" s="49"/>
      <c r="B60" s="89"/>
      <c r="C60" s="89"/>
      <c r="D60" s="89"/>
      <c r="E60" s="75"/>
      <c r="F60" s="75"/>
      <c r="G60" s="90"/>
      <c r="H60" s="90"/>
      <c r="I60" s="90"/>
      <c r="J60" s="90"/>
    </row>
    <row r="61" spans="1:10" ht="0.2" customHeight="1" thickTop="1" thickBot="1">
      <c r="A61" s="49"/>
      <c r="B61" s="89"/>
      <c r="C61" s="89"/>
      <c r="D61" s="89"/>
      <c r="E61" s="75"/>
      <c r="F61" s="75"/>
      <c r="G61" s="90"/>
      <c r="H61" s="90"/>
      <c r="I61" s="90"/>
      <c r="J61" s="90"/>
    </row>
    <row r="62" spans="1:10" ht="39.950000000000003" customHeight="1" thickTop="1" thickBot="1">
      <c r="A62" s="370" t="s">
        <v>180</v>
      </c>
      <c r="B62" s="371"/>
      <c r="C62" s="371"/>
      <c r="D62" s="371"/>
      <c r="E62" s="371"/>
      <c r="F62" s="371"/>
      <c r="G62" s="371"/>
      <c r="H62" s="371"/>
      <c r="I62" s="371"/>
      <c r="J62" s="372"/>
    </row>
    <row r="63" spans="1:10" ht="32.25" customHeight="1" thickTop="1" thickBot="1">
      <c r="A63" s="413" t="str">
        <f>A3</f>
        <v>제이엠건축인테리어 주식회사</v>
      </c>
      <c r="B63" s="414"/>
      <c r="C63" s="53" t="s">
        <v>181</v>
      </c>
      <c r="E63" s="91" t="str">
        <f>+E3</f>
        <v>이소연</v>
      </c>
      <c r="F63" s="92" t="s">
        <v>182</v>
      </c>
      <c r="G63" s="53"/>
      <c r="H63" s="53"/>
      <c r="I63" s="53"/>
      <c r="J63" s="56"/>
    </row>
    <row r="64" spans="1:10" s="57" customFormat="1" ht="20.100000000000001" customHeight="1" thickTop="1">
      <c r="A64" s="380" t="s">
        <v>183</v>
      </c>
      <c r="B64" s="43" t="s">
        <v>184</v>
      </c>
      <c r="C64" s="93" t="s">
        <v>185</v>
      </c>
      <c r="D64" s="42"/>
      <c r="E64" s="43"/>
      <c r="F64" s="43"/>
      <c r="G64" s="43"/>
      <c r="H64" s="43"/>
      <c r="I64" s="43"/>
      <c r="J64" s="44"/>
    </row>
    <row r="65" spans="1:10" s="57" customFormat="1" ht="20.100000000000001" customHeight="1">
      <c r="A65" s="381"/>
      <c r="B65" s="49" t="s">
        <v>186</v>
      </c>
      <c r="C65" s="49"/>
      <c r="D65" s="49"/>
      <c r="E65" s="49"/>
      <c r="F65" s="49"/>
      <c r="G65" s="49"/>
      <c r="H65" s="49"/>
      <c r="I65" s="49"/>
      <c r="J65" s="50"/>
    </row>
    <row r="66" spans="1:10" s="57" customFormat="1" ht="20.100000000000001" customHeight="1" thickBot="1">
      <c r="A66" s="382"/>
      <c r="B66" s="53" t="s">
        <v>187</v>
      </c>
      <c r="C66" s="53"/>
      <c r="D66" s="53"/>
      <c r="E66" s="53"/>
      <c r="F66" s="53"/>
      <c r="G66" s="53"/>
      <c r="H66" s="53"/>
      <c r="I66" s="53"/>
      <c r="J66" s="56"/>
    </row>
    <row r="67" spans="1:10" ht="20.100000000000001" customHeight="1" thickTop="1">
      <c r="A67" s="389" t="s">
        <v>188</v>
      </c>
      <c r="B67" s="41" t="s">
        <v>189</v>
      </c>
      <c r="C67" s="43"/>
      <c r="D67" s="43"/>
      <c r="E67" s="94"/>
      <c r="F67" s="94"/>
      <c r="G67" s="43"/>
      <c r="H67" s="43"/>
      <c r="I67" s="43"/>
      <c r="J67" s="44"/>
    </row>
    <row r="68" spans="1:10" ht="20.100000000000001" customHeight="1" thickBot="1">
      <c r="A68" s="390"/>
      <c r="B68" s="51" t="s">
        <v>190</v>
      </c>
      <c r="C68" s="49"/>
      <c r="D68" s="49"/>
      <c r="E68" s="49"/>
      <c r="F68" s="49"/>
      <c r="G68" s="95"/>
      <c r="H68" s="85" t="s">
        <v>172</v>
      </c>
      <c r="I68" s="86" t="str">
        <f>+E3</f>
        <v>이소연</v>
      </c>
      <c r="J68" s="87" t="s">
        <v>173</v>
      </c>
    </row>
    <row r="69" spans="1:10" ht="20.100000000000001" customHeight="1" thickTop="1" thickBot="1">
      <c r="A69" s="390"/>
      <c r="B69" s="415" t="s">
        <v>191</v>
      </c>
      <c r="C69" s="416"/>
      <c r="D69" s="416"/>
      <c r="E69" s="417"/>
      <c r="F69" s="418" t="s">
        <v>192</v>
      </c>
      <c r="G69" s="419"/>
      <c r="H69" s="420" t="s">
        <v>193</v>
      </c>
      <c r="I69" s="421"/>
      <c r="J69" s="422"/>
    </row>
    <row r="70" spans="1:10" ht="20.100000000000001" customHeight="1" thickTop="1">
      <c r="A70" s="390"/>
      <c r="B70" s="423" t="s">
        <v>247</v>
      </c>
      <c r="C70" s="424"/>
      <c r="D70" s="424"/>
      <c r="E70" s="425"/>
      <c r="F70" s="426">
        <f>VLOOKUP($M$1,'포괄 급여계산'!$A$3:$AC$12,21,0)</f>
        <v>6475000</v>
      </c>
      <c r="G70" s="427"/>
      <c r="H70" s="428" t="s">
        <v>285</v>
      </c>
      <c r="I70" s="429"/>
      <c r="J70" s="430"/>
    </row>
    <row r="71" spans="1:10" ht="20.100000000000001" customHeight="1">
      <c r="A71" s="390"/>
      <c r="B71" s="431" t="s">
        <v>284</v>
      </c>
      <c r="C71" s="432"/>
      <c r="D71" s="432"/>
      <c r="E71" s="433"/>
      <c r="F71" s="426">
        <f>VLOOKUP($M$1,'포괄 급여계산'!$A$3:$AC$12,25,0)</f>
        <v>200000</v>
      </c>
      <c r="G71" s="427"/>
      <c r="H71" s="96">
        <f>VLOOKUP($M$1,'포괄 급여계산'!$A$3:$AC$12,18,0)</f>
        <v>0</v>
      </c>
      <c r="I71" s="434" t="s">
        <v>280</v>
      </c>
      <c r="J71" s="435"/>
    </row>
    <row r="72" spans="1:10" ht="20.100000000000001" customHeight="1">
      <c r="A72" s="390"/>
      <c r="B72" s="431" t="s">
        <v>257</v>
      </c>
      <c r="C72" s="432"/>
      <c r="D72" s="432"/>
      <c r="E72" s="433"/>
      <c r="F72" s="426">
        <f>VLOOKUP($M$1,'포괄 급여계산'!$A$3:$AC$12,26,0)</f>
        <v>0</v>
      </c>
      <c r="G72" s="427"/>
      <c r="H72" s="96">
        <f>VLOOKUP($M$1,'포괄 급여계산'!$A$3:$AC$12,19,0)</f>
        <v>0</v>
      </c>
      <c r="I72" s="434" t="s">
        <v>290</v>
      </c>
      <c r="J72" s="435"/>
    </row>
    <row r="73" spans="1:10" ht="20.100000000000001" customHeight="1">
      <c r="A73" s="390"/>
      <c r="B73" s="431" t="s">
        <v>88</v>
      </c>
      <c r="C73" s="432"/>
      <c r="D73" s="432"/>
      <c r="E73" s="433"/>
      <c r="F73" s="426">
        <f>VLOOKUP($M$1,'포괄 급여계산'!$A$3:$AC$12,28,0)</f>
        <v>0</v>
      </c>
      <c r="G73" s="427"/>
      <c r="H73" s="96">
        <f>VLOOKUP($M$1,'포괄 급여계산'!$A$3:$AC$12,27,0)</f>
        <v>0</v>
      </c>
      <c r="I73" s="434" t="s">
        <v>290</v>
      </c>
      <c r="J73" s="435"/>
    </row>
    <row r="74" spans="1:10" ht="20.100000000000001" customHeight="1">
      <c r="A74" s="390"/>
      <c r="B74" s="431" t="s">
        <v>248</v>
      </c>
      <c r="C74" s="432"/>
      <c r="D74" s="432"/>
      <c r="E74" s="433"/>
      <c r="F74" s="426">
        <f>VLOOKUP($M$1,'포괄 급여계산'!$A$3:$AC$12,23,0)</f>
        <v>0</v>
      </c>
      <c r="G74" s="427"/>
      <c r="H74" s="436"/>
      <c r="I74" s="437"/>
      <c r="J74" s="438"/>
    </row>
    <row r="75" spans="1:10" ht="20.100000000000001" customHeight="1">
      <c r="A75" s="390"/>
      <c r="B75" s="431" t="s">
        <v>46</v>
      </c>
      <c r="C75" s="432"/>
      <c r="D75" s="432"/>
      <c r="E75" s="433"/>
      <c r="F75" s="426">
        <f>VLOOKUP($M$1,'포괄 급여계산'!$A$3:$AC$12,24,0)</f>
        <v>200000</v>
      </c>
      <c r="G75" s="427"/>
      <c r="H75" s="436"/>
      <c r="I75" s="437"/>
      <c r="J75" s="438"/>
    </row>
    <row r="76" spans="1:10" ht="20.100000000000001" customHeight="1">
      <c r="A76" s="390"/>
      <c r="B76" s="431" t="s">
        <v>49</v>
      </c>
      <c r="C76" s="432"/>
      <c r="D76" s="432"/>
      <c r="E76" s="433"/>
      <c r="F76" s="426">
        <f>VLOOKUP($M$1,'포괄 급여계산'!$A$3:$AC$12,22,0)</f>
        <v>0</v>
      </c>
      <c r="G76" s="427"/>
      <c r="H76" s="436"/>
      <c r="I76" s="437"/>
      <c r="J76" s="438"/>
    </row>
    <row r="77" spans="1:10" ht="20.100000000000001" customHeight="1">
      <c r="A77" s="390"/>
      <c r="B77" s="431"/>
      <c r="C77" s="432"/>
      <c r="D77" s="432"/>
      <c r="E77" s="433"/>
      <c r="F77" s="426"/>
      <c r="G77" s="427"/>
      <c r="H77" s="436"/>
      <c r="I77" s="437"/>
      <c r="J77" s="438"/>
    </row>
    <row r="78" spans="1:10" ht="20.100000000000001" customHeight="1">
      <c r="A78" s="390"/>
      <c r="B78" s="431"/>
      <c r="C78" s="432"/>
      <c r="D78" s="432"/>
      <c r="E78" s="433"/>
      <c r="F78" s="426"/>
      <c r="G78" s="427"/>
      <c r="H78" s="436"/>
      <c r="I78" s="437"/>
      <c r="J78" s="438"/>
    </row>
    <row r="79" spans="1:10" ht="20.100000000000001" customHeight="1">
      <c r="A79" s="390"/>
      <c r="B79" s="431"/>
      <c r="C79" s="432"/>
      <c r="D79" s="432"/>
      <c r="E79" s="433"/>
      <c r="F79" s="426"/>
      <c r="G79" s="427"/>
      <c r="H79" s="436"/>
      <c r="I79" s="437"/>
      <c r="J79" s="438"/>
    </row>
    <row r="80" spans="1:10" ht="20.100000000000001" customHeight="1">
      <c r="A80" s="390"/>
      <c r="B80" s="431"/>
      <c r="C80" s="432"/>
      <c r="D80" s="432"/>
      <c r="E80" s="433"/>
      <c r="F80" s="426"/>
      <c r="G80" s="427"/>
      <c r="H80" s="436"/>
      <c r="I80" s="437"/>
      <c r="J80" s="438"/>
    </row>
    <row r="81" spans="1:10" ht="20.100000000000001" customHeight="1">
      <c r="A81" s="390"/>
      <c r="B81" s="431"/>
      <c r="C81" s="432"/>
      <c r="D81" s="432"/>
      <c r="E81" s="433"/>
      <c r="F81" s="439"/>
      <c r="G81" s="433"/>
      <c r="H81" s="436"/>
      <c r="I81" s="437"/>
      <c r="J81" s="438"/>
    </row>
    <row r="82" spans="1:10" ht="20.100000000000001" customHeight="1">
      <c r="A82" s="390"/>
      <c r="B82" s="440"/>
      <c r="C82" s="437"/>
      <c r="D82" s="437"/>
      <c r="E82" s="427"/>
      <c r="F82" s="439"/>
      <c r="G82" s="433"/>
      <c r="H82" s="436"/>
      <c r="I82" s="437"/>
      <c r="J82" s="438"/>
    </row>
    <row r="83" spans="1:10" ht="20.100000000000001" customHeight="1">
      <c r="A83" s="390"/>
      <c r="B83" s="440"/>
      <c r="C83" s="437"/>
      <c r="D83" s="437"/>
      <c r="E83" s="427"/>
      <c r="F83" s="439"/>
      <c r="G83" s="433"/>
      <c r="H83" s="436"/>
      <c r="I83" s="437"/>
      <c r="J83" s="438"/>
    </row>
    <row r="84" spans="1:10" ht="20.100000000000001" customHeight="1">
      <c r="A84" s="390"/>
      <c r="B84" s="440"/>
      <c r="C84" s="437"/>
      <c r="D84" s="437"/>
      <c r="E84" s="427"/>
      <c r="F84" s="439"/>
      <c r="G84" s="433"/>
      <c r="H84" s="436"/>
      <c r="I84" s="437"/>
      <c r="J84" s="438"/>
    </row>
    <row r="85" spans="1:10" ht="20.100000000000001" customHeight="1" thickBot="1">
      <c r="A85" s="390"/>
      <c r="B85" s="441"/>
      <c r="C85" s="442"/>
      <c r="D85" s="442"/>
      <c r="E85" s="443"/>
      <c r="F85" s="444"/>
      <c r="G85" s="443"/>
      <c r="H85" s="445"/>
      <c r="I85" s="442"/>
      <c r="J85" s="446"/>
    </row>
    <row r="86" spans="1:10" ht="20.100000000000001" customHeight="1" thickTop="1" thickBot="1">
      <c r="A86" s="390"/>
      <c r="B86" s="415" t="s">
        <v>194</v>
      </c>
      <c r="C86" s="447"/>
      <c r="D86" s="447"/>
      <c r="E86" s="447"/>
      <c r="F86" s="448">
        <f>SUM(F70:G85)</f>
        <v>6875000</v>
      </c>
      <c r="G86" s="448"/>
      <c r="H86" s="448"/>
      <c r="I86" s="448"/>
      <c r="J86" s="449"/>
    </row>
    <row r="87" spans="1:10" s="57" customFormat="1" ht="20.100000000000001" customHeight="1" thickTop="1">
      <c r="A87" s="390"/>
      <c r="B87" s="45" t="s">
        <v>195</v>
      </c>
      <c r="C87" s="46"/>
      <c r="D87" s="46"/>
      <c r="E87" s="46"/>
      <c r="F87" s="46"/>
      <c r="G87" s="46"/>
      <c r="H87" s="46"/>
      <c r="I87" s="46"/>
      <c r="J87" s="97"/>
    </row>
    <row r="88" spans="1:10" s="57" customFormat="1" ht="20.100000000000001" customHeight="1">
      <c r="A88" s="390"/>
      <c r="B88" s="45" t="s">
        <v>196</v>
      </c>
      <c r="C88" s="46"/>
      <c r="D88" s="46"/>
      <c r="E88" s="46"/>
      <c r="F88" s="46"/>
      <c r="G88" s="46"/>
      <c r="H88" s="46"/>
      <c r="I88" s="46"/>
      <c r="J88" s="97"/>
    </row>
    <row r="89" spans="1:10" s="57" customFormat="1" ht="20.100000000000001" customHeight="1">
      <c r="A89" s="390"/>
      <c r="B89" s="45" t="s">
        <v>197</v>
      </c>
      <c r="C89" s="46"/>
      <c r="D89" s="46"/>
      <c r="E89" s="46"/>
      <c r="F89" s="46"/>
      <c r="G89" s="46"/>
      <c r="H89" s="46"/>
      <c r="I89" s="46"/>
      <c r="J89" s="97"/>
    </row>
    <row r="90" spans="1:10" s="57" customFormat="1" ht="20.100000000000001" customHeight="1">
      <c r="A90" s="390"/>
      <c r="B90" s="45" t="s">
        <v>198</v>
      </c>
      <c r="C90" s="46"/>
      <c r="D90" s="46"/>
      <c r="E90" s="46"/>
      <c r="F90" s="46"/>
      <c r="G90" s="46"/>
      <c r="H90" s="46"/>
      <c r="I90" s="46"/>
      <c r="J90" s="97"/>
    </row>
    <row r="91" spans="1:10" s="57" customFormat="1" ht="20.100000000000001" customHeight="1">
      <c r="A91" s="390"/>
      <c r="B91" s="45" t="s">
        <v>199</v>
      </c>
      <c r="C91" s="46"/>
      <c r="D91" s="46"/>
      <c r="E91" s="46"/>
      <c r="F91" s="46"/>
      <c r="G91" s="46"/>
      <c r="H91" s="46"/>
      <c r="I91" s="46"/>
      <c r="J91" s="97"/>
    </row>
    <row r="92" spans="1:10" s="57" customFormat="1" ht="20.100000000000001" customHeight="1">
      <c r="A92" s="390"/>
      <c r="B92" s="45" t="s">
        <v>200</v>
      </c>
      <c r="C92" s="46"/>
      <c r="D92" s="46"/>
      <c r="E92" s="46"/>
      <c r="F92" s="46"/>
      <c r="G92" s="46"/>
      <c r="H92" s="46"/>
      <c r="I92" s="46"/>
      <c r="J92" s="97"/>
    </row>
    <row r="93" spans="1:10" s="57" customFormat="1" ht="20.100000000000001" customHeight="1">
      <c r="A93" s="390"/>
      <c r="B93" s="45" t="s">
        <v>201</v>
      </c>
      <c r="C93" s="46"/>
      <c r="D93" s="46"/>
      <c r="E93" s="46"/>
      <c r="F93" s="46"/>
      <c r="G93" s="46"/>
      <c r="H93" s="46"/>
      <c r="I93" s="46"/>
      <c r="J93" s="97"/>
    </row>
    <row r="94" spans="1:10" s="57" customFormat="1" ht="20.100000000000001" customHeight="1">
      <c r="A94" s="390"/>
      <c r="B94" s="51" t="s">
        <v>202</v>
      </c>
      <c r="C94" s="49"/>
      <c r="D94" s="49"/>
      <c r="E94" s="49"/>
      <c r="F94" s="49"/>
      <c r="G94" s="49"/>
      <c r="H94" s="49"/>
      <c r="I94" s="49"/>
      <c r="J94" s="50"/>
    </row>
    <row r="95" spans="1:10" s="57" customFormat="1" ht="20.100000000000001" customHeight="1">
      <c r="A95" s="390"/>
      <c r="B95" s="51" t="s">
        <v>203</v>
      </c>
      <c r="C95" s="49"/>
      <c r="D95" s="49"/>
      <c r="E95" s="49"/>
      <c r="F95" s="49"/>
      <c r="G95" s="49"/>
      <c r="H95" s="49"/>
      <c r="I95" s="49"/>
      <c r="J95" s="50"/>
    </row>
    <row r="96" spans="1:10" ht="20.100000000000001" customHeight="1">
      <c r="A96" s="390"/>
      <c r="B96" s="51" t="s">
        <v>204</v>
      </c>
      <c r="C96" s="49"/>
      <c r="D96" s="49"/>
      <c r="E96" s="49"/>
      <c r="F96" s="49"/>
      <c r="G96" s="49"/>
      <c r="H96" s="49"/>
      <c r="I96" s="49"/>
      <c r="J96" s="50"/>
    </row>
    <row r="97" spans="1:13" ht="20.100000000000001" customHeight="1">
      <c r="A97" s="390"/>
      <c r="B97" s="51" t="s">
        <v>205</v>
      </c>
      <c r="C97" s="49"/>
      <c r="D97" s="49"/>
      <c r="E97" s="49"/>
      <c r="F97" s="49"/>
      <c r="G97" s="49"/>
      <c r="H97" s="49"/>
      <c r="I97" s="49"/>
      <c r="J97" s="50"/>
      <c r="K97" s="98"/>
      <c r="L97" s="98"/>
      <c r="M97" s="98"/>
    </row>
    <row r="98" spans="1:13" ht="20.100000000000001" customHeight="1">
      <c r="A98" s="390"/>
      <c r="B98" s="51" t="s">
        <v>206</v>
      </c>
      <c r="C98" s="49"/>
      <c r="D98" s="49"/>
      <c r="E98" s="49"/>
      <c r="F98" s="49"/>
      <c r="G98" s="49"/>
      <c r="H98" s="49"/>
      <c r="I98" s="49"/>
      <c r="J98" s="50"/>
      <c r="K98" s="98"/>
      <c r="L98" s="98"/>
      <c r="M98" s="98"/>
    </row>
    <row r="99" spans="1:13" ht="20.100000000000001" customHeight="1">
      <c r="A99" s="390"/>
      <c r="B99" s="45" t="s">
        <v>207</v>
      </c>
      <c r="C99" s="46"/>
      <c r="D99" s="46"/>
      <c r="E99" s="46"/>
      <c r="F99" s="46"/>
      <c r="G99" s="46"/>
      <c r="H99" s="49"/>
      <c r="I99" s="49"/>
      <c r="J99" s="50"/>
    </row>
    <row r="100" spans="1:13" ht="20.100000000000001" customHeight="1" thickBot="1">
      <c r="A100" s="391"/>
      <c r="B100" s="99" t="s">
        <v>208</v>
      </c>
      <c r="C100" s="53"/>
      <c r="D100" s="53"/>
      <c r="E100" s="53"/>
      <c r="F100" s="53"/>
      <c r="G100" s="53"/>
      <c r="H100" s="53"/>
      <c r="I100" s="53"/>
      <c r="J100" s="56"/>
    </row>
    <row r="101" spans="1:13" s="102" customFormat="1" ht="20.100000000000001" customHeight="1" thickTop="1">
      <c r="A101" s="380" t="s">
        <v>209</v>
      </c>
      <c r="B101" s="450" t="s">
        <v>210</v>
      </c>
      <c r="C101" s="451"/>
      <c r="D101" s="451"/>
      <c r="E101" s="451"/>
      <c r="F101" s="451"/>
      <c r="G101" s="451"/>
      <c r="H101" s="61"/>
      <c r="I101" s="100"/>
      <c r="J101" s="101"/>
    </row>
    <row r="102" spans="1:13" s="102" customFormat="1" ht="20.100000000000001" customHeight="1" thickBot="1">
      <c r="A102" s="382"/>
      <c r="B102" s="52" t="s">
        <v>211</v>
      </c>
      <c r="C102" s="53"/>
      <c r="D102" s="53"/>
      <c r="E102" s="53"/>
      <c r="F102" s="53"/>
      <c r="G102" s="53"/>
      <c r="H102" s="103"/>
      <c r="I102" s="104"/>
      <c r="J102" s="105"/>
    </row>
    <row r="103" spans="1:13" ht="30" customHeight="1" thickTop="1" thickBot="1">
      <c r="A103" s="386" t="s">
        <v>174</v>
      </c>
      <c r="B103" s="387"/>
      <c r="C103" s="387"/>
      <c r="D103" s="387"/>
      <c r="E103" s="387"/>
      <c r="F103" s="387"/>
      <c r="G103" s="387"/>
      <c r="H103" s="387"/>
      <c r="I103" s="387"/>
      <c r="J103" s="388"/>
    </row>
    <row r="104" spans="1:13" ht="30" customHeight="1" thickTop="1">
      <c r="A104" s="406" t="s">
        <v>175</v>
      </c>
      <c r="B104" s="397" t="str">
        <f>$A$3</f>
        <v>제이엠건축인테리어 주식회사</v>
      </c>
      <c r="C104" s="398"/>
      <c r="D104" s="88" t="str">
        <f>'[14]회사 정보'!E1</f>
        <v>대표이사</v>
      </c>
      <c r="E104" s="399" t="str">
        <f>$E$53</f>
        <v>이소연</v>
      </c>
      <c r="F104" s="398"/>
      <c r="G104" s="398"/>
      <c r="H104" s="398"/>
      <c r="I104" s="408" t="s">
        <v>176</v>
      </c>
      <c r="J104" s="409"/>
    </row>
    <row r="105" spans="1:13" ht="30" customHeight="1" thickBot="1">
      <c r="A105" s="407"/>
      <c r="B105" s="452" t="s">
        <v>177</v>
      </c>
      <c r="C105" s="453"/>
      <c r="D105" s="453"/>
      <c r="E105" s="454" t="str">
        <f>급여셋팅!$D$16</f>
        <v>경상남도 창원시 의창구 평산로 135번길 4 , 2층</v>
      </c>
      <c r="F105" s="455"/>
      <c r="G105" s="455"/>
      <c r="H105" s="455"/>
      <c r="I105" s="455"/>
      <c r="J105" s="456"/>
    </row>
    <row r="106" spans="1:13" ht="30" customHeight="1" thickTop="1">
      <c r="A106" s="406" t="s">
        <v>172</v>
      </c>
      <c r="B106" s="397" t="s">
        <v>178</v>
      </c>
      <c r="C106" s="398"/>
      <c r="D106" s="398"/>
      <c r="E106" s="399" t="str">
        <f>+E3</f>
        <v>이소연</v>
      </c>
      <c r="F106" s="399"/>
      <c r="G106" s="399"/>
      <c r="H106" s="399"/>
      <c r="I106" s="400" t="s">
        <v>176</v>
      </c>
      <c r="J106" s="401"/>
    </row>
    <row r="107" spans="1:13" ht="30" customHeight="1" thickBot="1">
      <c r="A107" s="396"/>
      <c r="B107" s="402" t="s">
        <v>179</v>
      </c>
      <c r="C107" s="403"/>
      <c r="D107" s="403"/>
      <c r="E107" s="404">
        <f>$E$56</f>
        <v>8106200000000</v>
      </c>
      <c r="F107" s="404"/>
      <c r="G107" s="404"/>
      <c r="H107" s="404"/>
      <c r="I107" s="404"/>
      <c r="J107" s="405"/>
    </row>
    <row r="108" spans="1:13" ht="30" customHeight="1" thickTop="1">
      <c r="A108" s="467" t="s">
        <v>212</v>
      </c>
      <c r="B108" s="468"/>
      <c r="C108" s="468"/>
      <c r="D108" s="468"/>
      <c r="E108" s="468"/>
      <c r="F108" s="468"/>
      <c r="G108" s="468"/>
      <c r="H108" s="468"/>
      <c r="I108" s="468"/>
      <c r="J108" s="469"/>
    </row>
    <row r="109" spans="1:13" ht="20.100000000000001" customHeight="1">
      <c r="A109" s="106"/>
      <c r="B109" s="49"/>
      <c r="C109" s="49"/>
      <c r="D109" s="49"/>
      <c r="E109" s="49"/>
      <c r="F109" s="49"/>
      <c r="G109" s="49"/>
      <c r="H109" s="49"/>
      <c r="I109" s="49"/>
      <c r="J109" s="50"/>
    </row>
    <row r="110" spans="1:13" ht="20.100000000000001" customHeight="1">
      <c r="A110" s="107" t="s">
        <v>213</v>
      </c>
      <c r="B110" s="108"/>
      <c r="C110" s="108"/>
      <c r="D110" s="108"/>
      <c r="E110" s="108"/>
      <c r="F110" s="108"/>
      <c r="G110" s="108"/>
      <c r="H110" s="108"/>
      <c r="I110" s="108"/>
      <c r="J110" s="109"/>
    </row>
    <row r="111" spans="1:13" ht="20.100000000000001" customHeight="1">
      <c r="A111" s="51"/>
      <c r="B111" s="108"/>
      <c r="C111" s="108"/>
      <c r="D111" s="108"/>
      <c r="E111" s="49"/>
      <c r="F111" s="49"/>
      <c r="G111" s="49"/>
      <c r="H111" s="49"/>
      <c r="I111" s="49"/>
      <c r="J111" s="50"/>
    </row>
    <row r="112" spans="1:13" ht="20.100000000000001" customHeight="1">
      <c r="A112" s="470" t="s">
        <v>214</v>
      </c>
      <c r="B112" s="471"/>
      <c r="C112" s="471"/>
      <c r="D112" s="471"/>
      <c r="E112" s="471"/>
      <c r="F112" s="471"/>
      <c r="G112" s="471"/>
      <c r="H112" s="471"/>
      <c r="I112" s="471"/>
      <c r="J112" s="472"/>
    </row>
    <row r="113" spans="1:10" ht="20.100000000000001" customHeight="1">
      <c r="A113" s="51"/>
      <c r="B113" s="108"/>
      <c r="C113" s="108"/>
      <c r="D113" s="108"/>
      <c r="E113" s="49"/>
      <c r="F113" s="49"/>
      <c r="G113" s="49"/>
      <c r="H113" s="49"/>
      <c r="I113" s="49"/>
      <c r="J113" s="50"/>
    </row>
    <row r="114" spans="1:10" ht="20.100000000000001" customHeight="1">
      <c r="A114" s="51"/>
      <c r="B114" s="110" t="s">
        <v>215</v>
      </c>
      <c r="C114" s="110"/>
      <c r="D114" s="110"/>
      <c r="E114" s="69"/>
      <c r="F114" s="69"/>
      <c r="G114" s="69"/>
      <c r="H114" s="69"/>
      <c r="I114" s="69"/>
      <c r="J114" s="111"/>
    </row>
    <row r="115" spans="1:10" ht="20.100000000000001" customHeight="1">
      <c r="A115" s="51"/>
      <c r="B115" s="110" t="s">
        <v>216</v>
      </c>
      <c r="C115" s="110"/>
      <c r="D115" s="110"/>
      <c r="E115" s="69"/>
      <c r="F115" s="69"/>
      <c r="G115" s="69"/>
      <c r="H115" s="69"/>
      <c r="I115" s="69"/>
      <c r="J115" s="111"/>
    </row>
    <row r="116" spans="1:10" ht="20.100000000000001" customHeight="1">
      <c r="A116" s="51"/>
      <c r="B116" s="110" t="s">
        <v>217</v>
      </c>
      <c r="C116" s="110"/>
      <c r="D116" s="110"/>
      <c r="E116" s="69"/>
      <c r="F116" s="69"/>
      <c r="G116" s="69"/>
      <c r="H116" s="69"/>
      <c r="I116" s="69"/>
      <c r="J116" s="111"/>
    </row>
    <row r="117" spans="1:10" ht="20.100000000000001" customHeight="1">
      <c r="A117" s="51"/>
      <c r="B117" s="110" t="s">
        <v>218</v>
      </c>
      <c r="C117" s="110"/>
      <c r="D117" s="110"/>
      <c r="E117" s="69"/>
      <c r="F117" s="69"/>
      <c r="G117" s="69"/>
      <c r="H117" s="69"/>
      <c r="I117" s="69"/>
      <c r="J117" s="111"/>
    </row>
    <row r="118" spans="1:10" ht="20.100000000000001" customHeight="1">
      <c r="A118" s="51"/>
      <c r="B118" s="112"/>
      <c r="C118" s="112"/>
      <c r="D118" s="112"/>
      <c r="E118" s="69"/>
      <c r="F118" s="69"/>
      <c r="G118" s="113"/>
      <c r="H118" s="113"/>
      <c r="I118" s="113"/>
      <c r="J118" s="114"/>
    </row>
    <row r="119" spans="1:10" ht="20.100000000000001" customHeight="1">
      <c r="A119" s="51"/>
      <c r="B119" s="112"/>
      <c r="C119" s="112"/>
      <c r="D119" s="112"/>
      <c r="E119" s="69"/>
      <c r="F119" s="69"/>
      <c r="G119" s="113"/>
      <c r="H119" s="113"/>
      <c r="I119" s="113"/>
      <c r="J119" s="114"/>
    </row>
    <row r="120" spans="1:10" ht="20.100000000000001" customHeight="1">
      <c r="A120" s="115"/>
      <c r="B120" s="473" t="s">
        <v>174</v>
      </c>
      <c r="C120" s="473"/>
      <c r="D120" s="473"/>
      <c r="E120" s="473"/>
      <c r="F120" s="473"/>
      <c r="G120" s="473"/>
      <c r="H120" s="473"/>
      <c r="I120" s="473"/>
      <c r="J120" s="474"/>
    </row>
    <row r="121" spans="1:10" ht="20.100000000000001" customHeight="1">
      <c r="A121" s="118"/>
      <c r="B121" s="116"/>
      <c r="C121" s="116"/>
      <c r="D121" s="116"/>
      <c r="E121" s="116"/>
      <c r="F121" s="116"/>
      <c r="G121" s="116"/>
      <c r="H121" s="116"/>
      <c r="I121" s="116"/>
      <c r="J121" s="117"/>
    </row>
    <row r="122" spans="1:10" ht="20.100000000000001" customHeight="1">
      <c r="A122" s="51"/>
      <c r="B122" s="119"/>
      <c r="C122" s="119"/>
      <c r="D122" s="119"/>
      <c r="E122" s="120"/>
      <c r="F122" s="120"/>
      <c r="G122" s="121"/>
      <c r="H122" s="121"/>
      <c r="I122" s="121"/>
      <c r="J122" s="122"/>
    </row>
    <row r="123" spans="1:10" ht="20.100000000000001" customHeight="1">
      <c r="A123" s="51"/>
      <c r="B123" s="49"/>
      <c r="C123" s="49"/>
      <c r="D123" s="457" t="s">
        <v>178</v>
      </c>
      <c r="E123" s="457"/>
      <c r="F123" s="475" t="str">
        <f>+E3</f>
        <v>이소연</v>
      </c>
      <c r="G123" s="476"/>
      <c r="H123" s="457" t="s">
        <v>176</v>
      </c>
      <c r="I123" s="457"/>
      <c r="J123" s="50"/>
    </row>
    <row r="124" spans="1:10" ht="20.100000000000001" customHeight="1">
      <c r="A124" s="51"/>
      <c r="B124" s="49"/>
      <c r="C124" s="49"/>
      <c r="D124" s="457" t="s">
        <v>219</v>
      </c>
      <c r="E124" s="457"/>
      <c r="F124" s="458" t="str">
        <f>C9</f>
        <v>본사</v>
      </c>
      <c r="G124" s="458"/>
      <c r="H124" s="458"/>
      <c r="I124" s="458"/>
      <c r="J124" s="50"/>
    </row>
    <row r="125" spans="1:10" ht="20.100000000000001" customHeight="1" thickBot="1">
      <c r="A125" s="52"/>
      <c r="B125" s="123"/>
      <c r="C125" s="123"/>
      <c r="D125" s="459" t="s">
        <v>220</v>
      </c>
      <c r="E125" s="459"/>
      <c r="F125" s="460">
        <f>$E$56</f>
        <v>8106200000000</v>
      </c>
      <c r="G125" s="460"/>
      <c r="H125" s="460"/>
      <c r="I125" s="460"/>
      <c r="J125" s="124"/>
    </row>
    <row r="126" spans="1:10" ht="20.100000000000001" customHeight="1" thickTop="1">
      <c r="A126" s="49"/>
      <c r="B126" s="119"/>
      <c r="C126" s="119"/>
      <c r="D126" s="119"/>
      <c r="E126" s="120"/>
      <c r="F126" s="120"/>
      <c r="G126" s="58"/>
      <c r="H126" s="58"/>
      <c r="I126" s="58"/>
      <c r="J126" s="58"/>
    </row>
    <row r="127" spans="1:10" ht="20.100000000000001" customHeight="1">
      <c r="A127" s="49"/>
      <c r="B127" s="119"/>
      <c r="C127" s="119"/>
      <c r="D127" s="119"/>
      <c r="E127" s="125"/>
      <c r="F127" s="120"/>
      <c r="G127" s="58"/>
      <c r="H127" s="58"/>
      <c r="I127" s="58"/>
      <c r="J127" s="58"/>
    </row>
    <row r="128" spans="1:10" ht="20.100000000000001" customHeight="1">
      <c r="A128" s="49"/>
      <c r="B128" s="119"/>
      <c r="C128" s="119"/>
      <c r="D128" s="119"/>
      <c r="E128" s="120"/>
      <c r="F128" s="120"/>
      <c r="G128" s="58"/>
      <c r="H128" s="58"/>
      <c r="I128" s="58"/>
      <c r="J128" s="58"/>
    </row>
    <row r="129" spans="1:10" ht="20.100000000000001" customHeight="1">
      <c r="A129" s="49"/>
      <c r="B129" s="119"/>
      <c r="C129" s="119"/>
      <c r="D129" s="119"/>
      <c r="E129" s="120"/>
      <c r="F129" s="120"/>
      <c r="G129" s="58"/>
      <c r="H129" s="58"/>
      <c r="I129" s="58"/>
      <c r="J129" s="58"/>
    </row>
    <row r="130" spans="1:10" ht="20.100000000000001" customHeight="1">
      <c r="A130" s="49"/>
      <c r="B130" s="126"/>
      <c r="C130" s="126"/>
      <c r="D130" s="126"/>
      <c r="E130" s="120"/>
      <c r="F130" s="120"/>
      <c r="G130" s="58"/>
      <c r="H130" s="58"/>
      <c r="I130" s="58"/>
      <c r="J130" s="58"/>
    </row>
    <row r="131" spans="1:10" ht="20.100000000000001" customHeight="1" thickBot="1">
      <c r="A131" s="49"/>
      <c r="B131" s="127"/>
      <c r="C131" s="127"/>
      <c r="D131" s="127"/>
      <c r="E131" s="120"/>
      <c r="F131" s="120"/>
      <c r="G131" s="58"/>
      <c r="H131" s="58"/>
      <c r="I131" s="58"/>
      <c r="J131" s="58"/>
    </row>
    <row r="132" spans="1:10" ht="30" customHeight="1" thickTop="1">
      <c r="A132" s="461" t="s">
        <v>221</v>
      </c>
      <c r="B132" s="462"/>
      <c r="C132" s="462"/>
      <c r="D132" s="462"/>
      <c r="E132" s="462"/>
      <c r="F132" s="462"/>
      <c r="G132" s="462"/>
      <c r="H132" s="462"/>
      <c r="I132" s="462"/>
      <c r="J132" s="463"/>
    </row>
    <row r="133" spans="1:10" ht="20.100000000000001" customHeight="1">
      <c r="A133" s="128"/>
      <c r="B133" s="69"/>
      <c r="C133" s="69"/>
      <c r="D133" s="69"/>
      <c r="E133" s="69"/>
      <c r="F133" s="69"/>
      <c r="G133" s="69"/>
      <c r="H133" s="69"/>
      <c r="I133" s="69"/>
      <c r="J133" s="50"/>
    </row>
    <row r="134" spans="1:10" ht="20.100000000000001" customHeight="1" thickBot="1">
      <c r="A134" s="110" t="s">
        <v>222</v>
      </c>
      <c r="B134" s="110"/>
      <c r="C134" s="110"/>
      <c r="D134" s="129"/>
      <c r="E134" s="129"/>
      <c r="F134" s="129"/>
      <c r="G134" s="129"/>
      <c r="H134" s="129"/>
      <c r="I134" s="129"/>
      <c r="J134" s="49"/>
    </row>
    <row r="135" spans="1:10" ht="20.100000000000001" customHeight="1" thickTop="1" thickBot="1">
      <c r="A135" s="464" t="s">
        <v>223</v>
      </c>
      <c r="B135" s="465"/>
      <c r="C135" s="465"/>
      <c r="D135" s="465"/>
      <c r="E135" s="465"/>
      <c r="F135" s="465"/>
      <c r="G135" s="465"/>
      <c r="H135" s="465"/>
      <c r="I135" s="465"/>
      <c r="J135" s="466"/>
    </row>
    <row r="136" spans="1:10" ht="20.100000000000001" customHeight="1" thickTop="1">
      <c r="A136" s="487" t="str">
        <f>$A$3</f>
        <v>제이엠건축인테리어 주식회사</v>
      </c>
      <c r="B136" s="488"/>
      <c r="C136" s="133" t="s">
        <v>224</v>
      </c>
      <c r="D136" s="133"/>
      <c r="E136" s="133"/>
      <c r="F136" s="133"/>
      <c r="G136" s="133"/>
      <c r="H136" s="133"/>
      <c r="I136" s="133"/>
      <c r="J136" s="134"/>
    </row>
    <row r="137" spans="1:10" ht="20.100000000000001" customHeight="1" thickBot="1">
      <c r="A137" s="128" t="s">
        <v>225</v>
      </c>
      <c r="B137" s="69"/>
      <c r="C137" s="69"/>
      <c r="D137" s="113"/>
      <c r="E137" s="113"/>
      <c r="F137" s="113"/>
      <c r="G137" s="113"/>
      <c r="H137" s="113"/>
      <c r="I137" s="113"/>
      <c r="J137" s="50"/>
    </row>
    <row r="138" spans="1:10" ht="20.100000000000001" customHeight="1" thickTop="1" thickBot="1">
      <c r="A138" s="464" t="s">
        <v>226</v>
      </c>
      <c r="B138" s="465"/>
      <c r="C138" s="465"/>
      <c r="D138" s="465"/>
      <c r="E138" s="465"/>
      <c r="F138" s="465"/>
      <c r="G138" s="465"/>
      <c r="H138" s="465"/>
      <c r="I138" s="465"/>
      <c r="J138" s="466"/>
    </row>
    <row r="139" spans="1:10" ht="20.100000000000001" customHeight="1" thickTop="1">
      <c r="A139" s="481" t="s">
        <v>227</v>
      </c>
      <c r="B139" s="482"/>
      <c r="C139" s="482"/>
      <c r="D139" s="482"/>
      <c r="E139" s="482"/>
      <c r="F139" s="482"/>
      <c r="G139" s="482"/>
      <c r="H139" s="482"/>
      <c r="I139" s="482"/>
      <c r="J139" s="483"/>
    </row>
    <row r="140" spans="1:10" ht="20.100000000000001" customHeight="1">
      <c r="A140" s="489"/>
      <c r="B140" s="490"/>
      <c r="C140" s="490"/>
      <c r="D140" s="490"/>
      <c r="E140" s="490"/>
      <c r="F140" s="490"/>
      <c r="G140" s="490"/>
      <c r="H140" s="490"/>
      <c r="I140" s="490"/>
      <c r="J140" s="491"/>
    </row>
    <row r="141" spans="1:10" ht="20.100000000000001" customHeight="1" thickBot="1">
      <c r="A141" s="484"/>
      <c r="B141" s="485"/>
      <c r="C141" s="485"/>
      <c r="D141" s="485"/>
      <c r="E141" s="485"/>
      <c r="F141" s="485"/>
      <c r="G141" s="485"/>
      <c r="H141" s="485"/>
      <c r="I141" s="485"/>
      <c r="J141" s="486"/>
    </row>
    <row r="142" spans="1:10" ht="20.100000000000001" customHeight="1" thickTop="1" thickBot="1">
      <c r="A142" s="130" t="s">
        <v>228</v>
      </c>
      <c r="B142" s="131"/>
      <c r="C142" s="131"/>
      <c r="D142" s="131"/>
      <c r="E142" s="131"/>
      <c r="F142" s="131"/>
      <c r="G142" s="131"/>
      <c r="H142" s="131"/>
      <c r="I142" s="131"/>
      <c r="J142" s="132"/>
    </row>
    <row r="143" spans="1:10" ht="20.100000000000001" customHeight="1" thickTop="1">
      <c r="A143" s="481" t="s">
        <v>229</v>
      </c>
      <c r="B143" s="482"/>
      <c r="C143" s="482"/>
      <c r="D143" s="482"/>
      <c r="E143" s="482"/>
      <c r="F143" s="482"/>
      <c r="G143" s="482"/>
      <c r="H143" s="482"/>
      <c r="I143" s="482"/>
      <c r="J143" s="483"/>
    </row>
    <row r="144" spans="1:10" ht="20.100000000000001" customHeight="1" thickBot="1">
      <c r="A144" s="484"/>
      <c r="B144" s="485"/>
      <c r="C144" s="485"/>
      <c r="D144" s="485"/>
      <c r="E144" s="485"/>
      <c r="F144" s="485"/>
      <c r="G144" s="485"/>
      <c r="H144" s="485"/>
      <c r="I144" s="485"/>
      <c r="J144" s="486"/>
    </row>
    <row r="145" spans="1:10" ht="20.100000000000001" customHeight="1" thickTop="1" thickBot="1">
      <c r="A145" s="464" t="s">
        <v>230</v>
      </c>
      <c r="B145" s="465"/>
      <c r="C145" s="465"/>
      <c r="D145" s="465"/>
      <c r="E145" s="465"/>
      <c r="F145" s="465"/>
      <c r="G145" s="465"/>
      <c r="H145" s="465"/>
      <c r="I145" s="465"/>
      <c r="J145" s="466"/>
    </row>
    <row r="146" spans="1:10" ht="20.100000000000001" customHeight="1" thickTop="1">
      <c r="A146" s="481" t="s">
        <v>231</v>
      </c>
      <c r="B146" s="482"/>
      <c r="C146" s="482"/>
      <c r="D146" s="482"/>
      <c r="E146" s="482"/>
      <c r="F146" s="482"/>
      <c r="G146" s="482"/>
      <c r="H146" s="482"/>
      <c r="I146" s="482"/>
      <c r="J146" s="483"/>
    </row>
    <row r="147" spans="1:10" ht="20.100000000000001" customHeight="1">
      <c r="A147" s="489"/>
      <c r="B147" s="490"/>
      <c r="C147" s="490"/>
      <c r="D147" s="490"/>
      <c r="E147" s="490"/>
      <c r="F147" s="490"/>
      <c r="G147" s="490"/>
      <c r="H147" s="490"/>
      <c r="I147" s="490"/>
      <c r="J147" s="491"/>
    </row>
    <row r="148" spans="1:10" ht="20.100000000000001" customHeight="1">
      <c r="A148" s="489"/>
      <c r="B148" s="490"/>
      <c r="C148" s="490"/>
      <c r="D148" s="490"/>
      <c r="E148" s="490"/>
      <c r="F148" s="490"/>
      <c r="G148" s="490"/>
      <c r="H148" s="490"/>
      <c r="I148" s="490"/>
      <c r="J148" s="491"/>
    </row>
    <row r="149" spans="1:10" ht="20.100000000000001" customHeight="1" thickBot="1">
      <c r="A149" s="484"/>
      <c r="B149" s="485"/>
      <c r="C149" s="485"/>
      <c r="D149" s="485"/>
      <c r="E149" s="485"/>
      <c r="F149" s="485"/>
      <c r="G149" s="485"/>
      <c r="H149" s="485"/>
      <c r="I149" s="485"/>
      <c r="J149" s="486"/>
    </row>
    <row r="150" spans="1:10" ht="20.100000000000001" customHeight="1" thickTop="1" thickBot="1">
      <c r="A150" s="464" t="s">
        <v>232</v>
      </c>
      <c r="B150" s="465"/>
      <c r="C150" s="465"/>
      <c r="D150" s="465"/>
      <c r="E150" s="465"/>
      <c r="F150" s="465"/>
      <c r="G150" s="465"/>
      <c r="H150" s="465"/>
      <c r="I150" s="465"/>
      <c r="J150" s="466"/>
    </row>
    <row r="151" spans="1:10" ht="20.100000000000001" customHeight="1" thickTop="1">
      <c r="A151" s="481" t="s">
        <v>233</v>
      </c>
      <c r="B151" s="482"/>
      <c r="C151" s="482"/>
      <c r="D151" s="482"/>
      <c r="E151" s="482"/>
      <c r="F151" s="482"/>
      <c r="G151" s="482"/>
      <c r="H151" s="482"/>
      <c r="I151" s="482"/>
      <c r="J151" s="483"/>
    </row>
    <row r="152" spans="1:10" ht="20.100000000000001" customHeight="1" thickBot="1">
      <c r="A152" s="484"/>
      <c r="B152" s="485"/>
      <c r="C152" s="485"/>
      <c r="D152" s="485"/>
      <c r="E152" s="485"/>
      <c r="F152" s="485"/>
      <c r="G152" s="485"/>
      <c r="H152" s="485"/>
      <c r="I152" s="485"/>
      <c r="J152" s="486"/>
    </row>
    <row r="153" spans="1:10" ht="20.100000000000001" customHeight="1" thickTop="1" thickBot="1">
      <c r="A153" s="477" t="s">
        <v>234</v>
      </c>
      <c r="B153" s="478"/>
      <c r="C153" s="478"/>
      <c r="D153" s="478"/>
      <c r="E153" s="478"/>
      <c r="F153" s="478"/>
      <c r="G153" s="478"/>
      <c r="H153" s="478"/>
      <c r="I153" s="478"/>
      <c r="J153" s="479"/>
    </row>
    <row r="154" spans="1:10" ht="20.100000000000001" customHeight="1" thickTop="1">
      <c r="A154" s="69"/>
      <c r="B154" s="69"/>
      <c r="C154" s="69"/>
      <c r="D154" s="69"/>
      <c r="E154" s="69"/>
      <c r="F154" s="69"/>
      <c r="G154" s="69"/>
      <c r="H154" s="69"/>
      <c r="I154" s="69"/>
      <c r="J154" s="49"/>
    </row>
    <row r="155" spans="1:10" ht="20.100000000000001" customHeight="1" thickBot="1">
      <c r="A155" s="110" t="s">
        <v>235</v>
      </c>
      <c r="B155" s="110"/>
      <c r="C155" s="110"/>
      <c r="D155" s="69"/>
      <c r="E155" s="69"/>
      <c r="F155" s="69"/>
      <c r="G155" s="69"/>
      <c r="H155" s="69"/>
      <c r="I155" s="69"/>
      <c r="J155" s="49"/>
    </row>
    <row r="156" spans="1:10" ht="20.100000000000001" customHeight="1" thickTop="1">
      <c r="A156" s="487" t="str">
        <f>$A$3</f>
        <v>제이엠건축인테리어 주식회사</v>
      </c>
      <c r="B156" s="488"/>
      <c r="C156" s="73" t="s">
        <v>236</v>
      </c>
      <c r="D156" s="73"/>
      <c r="E156" s="73"/>
      <c r="F156" s="73"/>
      <c r="G156" s="73"/>
      <c r="H156" s="73"/>
      <c r="I156" s="73"/>
      <c r="J156" s="135"/>
    </row>
    <row r="157" spans="1:10" ht="20.100000000000001" customHeight="1">
      <c r="A157" s="128" t="s">
        <v>237</v>
      </c>
      <c r="B157" s="69"/>
      <c r="C157" s="69"/>
      <c r="D157" s="69"/>
      <c r="E157" s="69"/>
      <c r="F157" s="69"/>
      <c r="G157" s="69"/>
      <c r="H157" s="69"/>
      <c r="I157" s="69"/>
      <c r="J157" s="50"/>
    </row>
    <row r="158" spans="1:10" ht="20.100000000000001" customHeight="1" thickBot="1">
      <c r="A158" s="136" t="s">
        <v>238</v>
      </c>
      <c r="B158" s="137"/>
      <c r="C158" s="137"/>
      <c r="D158" s="137"/>
      <c r="E158" s="137"/>
      <c r="F158" s="137"/>
      <c r="G158" s="137"/>
      <c r="H158" s="137"/>
      <c r="I158" s="137"/>
      <c r="J158" s="56"/>
    </row>
    <row r="159" spans="1:10" ht="20.100000000000001" customHeight="1" thickTop="1" thickBot="1">
      <c r="A159" s="477" t="s">
        <v>239</v>
      </c>
      <c r="B159" s="478"/>
      <c r="C159" s="478"/>
      <c r="D159" s="478"/>
      <c r="E159" s="478"/>
      <c r="F159" s="478"/>
      <c r="G159" s="478"/>
      <c r="H159" s="478"/>
      <c r="I159" s="478"/>
      <c r="J159" s="479"/>
    </row>
    <row r="160" spans="1:10" ht="20.100000000000001" customHeight="1" thickTop="1">
      <c r="A160" s="69"/>
      <c r="B160" s="69"/>
      <c r="C160" s="69"/>
      <c r="D160" s="69"/>
      <c r="E160" s="69"/>
      <c r="F160" s="69"/>
      <c r="G160" s="69"/>
      <c r="H160" s="69"/>
      <c r="I160" s="69"/>
      <c r="J160" s="49"/>
    </row>
    <row r="161" spans="1:10" ht="20.100000000000001" customHeight="1" thickBot="1">
      <c r="A161" s="138" t="s">
        <v>240</v>
      </c>
      <c r="B161" s="138"/>
      <c r="C161" s="138"/>
      <c r="D161" s="69"/>
      <c r="E161" s="69"/>
      <c r="F161" s="69"/>
      <c r="G161" s="69"/>
      <c r="H161" s="69"/>
      <c r="I161" s="69"/>
      <c r="J161" s="49"/>
    </row>
    <row r="162" spans="1:10" ht="20.100000000000001" customHeight="1" thickTop="1">
      <c r="A162" s="487" t="str">
        <f>$A$3</f>
        <v>제이엠건축인테리어 주식회사</v>
      </c>
      <c r="B162" s="488"/>
      <c r="C162" s="139" t="s">
        <v>241</v>
      </c>
      <c r="D162" s="43"/>
      <c r="E162" s="73"/>
      <c r="F162" s="73"/>
      <c r="G162" s="73"/>
      <c r="H162" s="73"/>
      <c r="I162" s="73"/>
      <c r="J162" s="44"/>
    </row>
    <row r="163" spans="1:10" ht="20.100000000000001" customHeight="1">
      <c r="A163" s="128" t="s">
        <v>242</v>
      </c>
      <c r="B163" s="69"/>
      <c r="C163" s="69"/>
      <c r="D163" s="140"/>
      <c r="E163" s="69"/>
      <c r="F163" s="69"/>
      <c r="G163" s="69"/>
      <c r="H163" s="69"/>
      <c r="I163" s="69"/>
      <c r="J163" s="50"/>
    </row>
    <row r="164" spans="1:10" ht="20.100000000000001" customHeight="1" thickBot="1">
      <c r="A164" s="136" t="s">
        <v>243</v>
      </c>
      <c r="B164" s="137"/>
      <c r="C164" s="137"/>
      <c r="D164" s="141"/>
      <c r="E164" s="137"/>
      <c r="F164" s="137"/>
      <c r="G164" s="137"/>
      <c r="H164" s="137"/>
      <c r="I164" s="137"/>
      <c r="J164" s="56"/>
    </row>
    <row r="165" spans="1:10" ht="20.100000000000001" customHeight="1" thickTop="1" thickBot="1">
      <c r="A165" s="477" t="s">
        <v>244</v>
      </c>
      <c r="B165" s="478"/>
      <c r="C165" s="478"/>
      <c r="D165" s="478"/>
      <c r="E165" s="478"/>
      <c r="F165" s="478"/>
      <c r="G165" s="478"/>
      <c r="H165" s="478"/>
      <c r="I165" s="478"/>
      <c r="J165" s="479"/>
    </row>
    <row r="166" spans="1:10" ht="20.100000000000001" customHeight="1" thickTop="1">
      <c r="A166" s="51"/>
      <c r="B166" s="49"/>
      <c r="C166" s="49"/>
      <c r="D166" s="49"/>
      <c r="E166" s="49"/>
      <c r="F166" s="49"/>
      <c r="G166" s="49"/>
      <c r="H166" s="49"/>
      <c r="I166" s="49"/>
      <c r="J166" s="50"/>
    </row>
    <row r="167" spans="1:10" ht="20.100000000000001" customHeight="1">
      <c r="A167" s="51"/>
      <c r="B167" s="49"/>
      <c r="C167" s="49"/>
      <c r="D167" s="49"/>
      <c r="E167" s="49"/>
      <c r="F167" s="49"/>
      <c r="G167" s="49" t="s">
        <v>245</v>
      </c>
      <c r="H167" s="49"/>
      <c r="I167" s="49"/>
      <c r="J167" s="50"/>
    </row>
    <row r="168" spans="1:10" ht="20.100000000000001" customHeight="1" thickBot="1">
      <c r="A168" s="52"/>
      <c r="B168" s="53"/>
      <c r="C168" s="53"/>
      <c r="D168" s="53"/>
      <c r="E168" s="53"/>
      <c r="F168" s="480" t="s">
        <v>246</v>
      </c>
      <c r="G168" s="480"/>
      <c r="H168" s="91" t="str">
        <f>+E3</f>
        <v>이소연</v>
      </c>
      <c r="I168" s="123" t="s">
        <v>173</v>
      </c>
      <c r="J168" s="56"/>
    </row>
    <row r="169" spans="1:10" ht="21" customHeight="1" thickTop="1"/>
  </sheetData>
  <sheetProtection selectLockedCells="1"/>
  <mergeCells count="128">
    <mergeCell ref="A165:J165"/>
    <mergeCell ref="F168:G168"/>
    <mergeCell ref="A150:J150"/>
    <mergeCell ref="A151:J152"/>
    <mergeCell ref="A153:J153"/>
    <mergeCell ref="A156:B156"/>
    <mergeCell ref="A159:J159"/>
    <mergeCell ref="A162:B162"/>
    <mergeCell ref="A136:B136"/>
    <mergeCell ref="A138:J138"/>
    <mergeCell ref="A139:J141"/>
    <mergeCell ref="A143:J144"/>
    <mergeCell ref="A145:J145"/>
    <mergeCell ref="A146:J149"/>
    <mergeCell ref="D124:E124"/>
    <mergeCell ref="F124:I124"/>
    <mergeCell ref="D125:E125"/>
    <mergeCell ref="F125:I125"/>
    <mergeCell ref="A132:J132"/>
    <mergeCell ref="A135:J135"/>
    <mergeCell ref="A108:J108"/>
    <mergeCell ref="A112:J112"/>
    <mergeCell ref="B120:J120"/>
    <mergeCell ref="D123:E123"/>
    <mergeCell ref="F123:G123"/>
    <mergeCell ref="H123:I123"/>
    <mergeCell ref="A106:A107"/>
    <mergeCell ref="B106:D106"/>
    <mergeCell ref="E106:H106"/>
    <mergeCell ref="I106:J106"/>
    <mergeCell ref="B107:D107"/>
    <mergeCell ref="E107:J107"/>
    <mergeCell ref="A103:J103"/>
    <mergeCell ref="A104:A105"/>
    <mergeCell ref="B104:C104"/>
    <mergeCell ref="E104:H104"/>
    <mergeCell ref="I104:J104"/>
    <mergeCell ref="B105:D105"/>
    <mergeCell ref="E105:J105"/>
    <mergeCell ref="B85:E85"/>
    <mergeCell ref="F85:G85"/>
    <mergeCell ref="H85:J85"/>
    <mergeCell ref="B86:E86"/>
    <mergeCell ref="F86:J86"/>
    <mergeCell ref="A101:A102"/>
    <mergeCell ref="B101:G101"/>
    <mergeCell ref="B83:E83"/>
    <mergeCell ref="F83:G83"/>
    <mergeCell ref="H83:J83"/>
    <mergeCell ref="B84:E84"/>
    <mergeCell ref="F84:G84"/>
    <mergeCell ref="H84:J84"/>
    <mergeCell ref="B81:E81"/>
    <mergeCell ref="F81:G81"/>
    <mergeCell ref="H81:J81"/>
    <mergeCell ref="B82:E82"/>
    <mergeCell ref="F82:G82"/>
    <mergeCell ref="H82:J82"/>
    <mergeCell ref="B79:E79"/>
    <mergeCell ref="F79:G79"/>
    <mergeCell ref="H79:J79"/>
    <mergeCell ref="B80:E80"/>
    <mergeCell ref="F80:G80"/>
    <mergeCell ref="H80:J80"/>
    <mergeCell ref="H77:J77"/>
    <mergeCell ref="B78:E78"/>
    <mergeCell ref="F78:G78"/>
    <mergeCell ref="H78:J78"/>
    <mergeCell ref="B75:E75"/>
    <mergeCell ref="F75:G75"/>
    <mergeCell ref="H75:J75"/>
    <mergeCell ref="B76:E76"/>
    <mergeCell ref="F76:G76"/>
    <mergeCell ref="H76:J76"/>
    <mergeCell ref="A62:J62"/>
    <mergeCell ref="A63:B63"/>
    <mergeCell ref="A64:A66"/>
    <mergeCell ref="A67:A100"/>
    <mergeCell ref="B69:E69"/>
    <mergeCell ref="F69:G69"/>
    <mergeCell ref="H69:J69"/>
    <mergeCell ref="B70:E70"/>
    <mergeCell ref="F70:G70"/>
    <mergeCell ref="H70:J70"/>
    <mergeCell ref="B73:E73"/>
    <mergeCell ref="F73:G73"/>
    <mergeCell ref="I73:J73"/>
    <mergeCell ref="B74:E74"/>
    <mergeCell ref="F74:G74"/>
    <mergeCell ref="H74:J74"/>
    <mergeCell ref="B71:E71"/>
    <mergeCell ref="F71:G71"/>
    <mergeCell ref="I71:J71"/>
    <mergeCell ref="B72:E72"/>
    <mergeCell ref="F72:G72"/>
    <mergeCell ref="I72:J72"/>
    <mergeCell ref="B77:E77"/>
    <mergeCell ref="F77:G77"/>
    <mergeCell ref="A55:A56"/>
    <mergeCell ref="B55:D55"/>
    <mergeCell ref="E55:H55"/>
    <mergeCell ref="I55:J55"/>
    <mergeCell ref="B56:D56"/>
    <mergeCell ref="E56:J56"/>
    <mergeCell ref="A53:A54"/>
    <mergeCell ref="B53:C53"/>
    <mergeCell ref="E53:H53"/>
    <mergeCell ref="I53:J53"/>
    <mergeCell ref="B54:D54"/>
    <mergeCell ref="E54:J54"/>
    <mergeCell ref="A48:A49"/>
    <mergeCell ref="A50:J50"/>
    <mergeCell ref="A52:J52"/>
    <mergeCell ref="A12:A14"/>
    <mergeCell ref="A15:A21"/>
    <mergeCell ref="A22:A24"/>
    <mergeCell ref="A26:A29"/>
    <mergeCell ref="B29:J29"/>
    <mergeCell ref="A30:A33"/>
    <mergeCell ref="A1:J1"/>
    <mergeCell ref="A3:B3"/>
    <mergeCell ref="A4:A8"/>
    <mergeCell ref="A9:A11"/>
    <mergeCell ref="C9:D9"/>
    <mergeCell ref="C10:D10"/>
    <mergeCell ref="A34:A41"/>
    <mergeCell ref="A42:A45"/>
    <mergeCell ref="A46:A47"/>
  </mergeCells>
  <phoneticPr fontId="4" type="noConversion"/>
  <printOptions horizontalCentered="1"/>
  <pageMargins left="0.7" right="0.7" top="0.75" bottom="0.75" header="0.3" footer="0.3"/>
  <pageSetup paperSize="9" scale="52" fitToHeight="0" orientation="portrait" r:id="rId1"/>
  <rowBreaks count="2" manualBreakCount="2">
    <brk id="56" max="9" man="1"/>
    <brk id="107" max="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D0AB-1F36-40C1-BC27-ED2176CF5B18}">
  <dimension ref="A1:BD33"/>
  <sheetViews>
    <sheetView view="pageBreakPreview" topLeftCell="A3" zoomScale="80" zoomScaleNormal="100" zoomScaleSheetLayoutView="80" workbookViewId="0">
      <selection activeCell="W14" sqref="W14:X14"/>
    </sheetView>
  </sheetViews>
  <sheetFormatPr defaultRowHeight="22.5" customHeight="1"/>
  <cols>
    <col min="1" max="1" width="9.125" customWidth="1"/>
    <col min="2" max="2" width="11.25" customWidth="1"/>
    <col min="3" max="4" width="7.875" customWidth="1"/>
    <col min="5" max="5" width="6" customWidth="1"/>
    <col min="6" max="6" width="14"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3" width="4.625" customWidth="1"/>
    <col min="24" max="24" width="10.875" bestFit="1" customWidth="1"/>
    <col min="25" max="25" width="9.125" customWidth="1"/>
    <col min="26" max="26" width="11.25" customWidth="1"/>
    <col min="27" max="28" width="7.875" customWidth="1"/>
    <col min="29" max="30" width="9.125" customWidth="1"/>
    <col min="31" max="32" width="7.875" customWidth="1"/>
    <col min="33" max="33" width="9.125" customWidth="1"/>
    <col min="34" max="34" width="11.25" customWidth="1"/>
    <col min="35" max="36" width="7.875" customWidth="1"/>
    <col min="37" max="38" width="9.125" customWidth="1"/>
    <col min="39" max="40" width="7.875" customWidth="1"/>
    <col min="41" max="41" width="9.125" customWidth="1"/>
    <col min="42" max="42" width="11.25" customWidth="1"/>
    <col min="43" max="44" width="7.875" customWidth="1"/>
    <col min="45" max="45" width="9.125" customWidth="1"/>
    <col min="46" max="46" width="10.25" customWidth="1"/>
    <col min="47" max="48" width="7.875" customWidth="1"/>
    <col min="49" max="49" width="9.125" customWidth="1"/>
    <col min="50" max="50" width="11.25" customWidth="1"/>
    <col min="51" max="52" width="7.875" customWidth="1"/>
    <col min="53" max="54" width="9.125" customWidth="1"/>
    <col min="55" max="55" width="18.625" customWidth="1"/>
    <col min="56" max="56" width="3.375" hidden="1" customWidth="1"/>
  </cols>
  <sheetData>
    <row r="1" spans="1:56" ht="26.25" customHeight="1">
      <c r="A1" s="540">
        <v>1</v>
      </c>
      <c r="B1" s="540"/>
      <c r="C1" s="540"/>
      <c r="D1" s="540"/>
      <c r="E1" s="540"/>
      <c r="F1" s="540"/>
      <c r="G1" s="540"/>
      <c r="H1" s="540"/>
      <c r="I1" s="540">
        <f>A1+1</f>
        <v>2</v>
      </c>
      <c r="J1" s="540"/>
      <c r="K1" s="540"/>
      <c r="L1" s="540"/>
      <c r="M1" s="540"/>
      <c r="N1" s="540"/>
      <c r="O1" s="540"/>
      <c r="P1" s="540"/>
      <c r="Q1" s="540">
        <f>I1+1</f>
        <v>3</v>
      </c>
      <c r="R1" s="540"/>
      <c r="S1" s="540"/>
      <c r="T1" s="540"/>
      <c r="U1" s="540"/>
      <c r="V1" s="540"/>
      <c r="W1" s="540"/>
      <c r="X1" s="540"/>
      <c r="Y1" s="540">
        <f>Q1+1</f>
        <v>4</v>
      </c>
      <c r="Z1" s="540"/>
      <c r="AA1" s="540"/>
      <c r="AB1" s="540"/>
      <c r="AC1" s="540"/>
      <c r="AD1" s="540"/>
      <c r="AE1" s="540"/>
      <c r="AF1" s="540"/>
      <c r="AG1" s="540">
        <f>Y1+1</f>
        <v>5</v>
      </c>
      <c r="AH1" s="540"/>
      <c r="AI1" s="540"/>
      <c r="AJ1" s="540"/>
      <c r="AK1" s="540"/>
      <c r="AL1" s="540"/>
      <c r="AM1" s="540"/>
      <c r="AN1" s="540"/>
      <c r="AO1" s="540">
        <f>AG1+1</f>
        <v>6</v>
      </c>
      <c r="AP1" s="540"/>
      <c r="AQ1" s="540"/>
      <c r="AR1" s="540"/>
      <c r="AS1" s="540"/>
      <c r="AT1" s="540"/>
      <c r="AU1" s="540"/>
      <c r="AV1" s="540"/>
      <c r="AW1" s="540">
        <f>AO1+1</f>
        <v>7</v>
      </c>
      <c r="AX1" s="540"/>
      <c r="AY1" s="540"/>
      <c r="AZ1" s="540"/>
      <c r="BA1" s="540"/>
      <c r="BB1" s="540"/>
      <c r="BC1" s="540"/>
      <c r="BD1" s="540"/>
    </row>
    <row r="2" spans="1:56" ht="27"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2.5" customHeight="1">
      <c r="A3" s="541" t="s">
        <v>13</v>
      </c>
      <c r="B3" s="542"/>
      <c r="C3" s="542"/>
      <c r="D3" s="542"/>
      <c r="E3" s="542"/>
      <c r="F3" s="542"/>
      <c r="G3" s="542"/>
      <c r="H3" s="543"/>
      <c r="I3" s="541" t="s">
        <v>13</v>
      </c>
      <c r="J3" s="542"/>
      <c r="K3" s="542"/>
      <c r="L3" s="542"/>
      <c r="M3" s="542"/>
      <c r="N3" s="542"/>
      <c r="O3" s="542"/>
      <c r="P3" s="543"/>
      <c r="Q3" s="541" t="s">
        <v>13</v>
      </c>
      <c r="R3" s="542"/>
      <c r="S3" s="542"/>
      <c r="T3" s="542"/>
      <c r="U3" s="542"/>
      <c r="V3" s="542"/>
      <c r="W3" s="542"/>
      <c r="X3" s="543"/>
      <c r="Y3" s="541" t="s">
        <v>13</v>
      </c>
      <c r="Z3" s="542"/>
      <c r="AA3" s="542"/>
      <c r="AB3" s="542"/>
      <c r="AC3" s="542"/>
      <c r="AD3" s="542"/>
      <c r="AE3" s="542"/>
      <c r="AF3" s="543"/>
      <c r="AG3" s="541" t="s">
        <v>13</v>
      </c>
      <c r="AH3" s="542"/>
      <c r="AI3" s="542"/>
      <c r="AJ3" s="542"/>
      <c r="AK3" s="542"/>
      <c r="AL3" s="542"/>
      <c r="AM3" s="542"/>
      <c r="AN3" s="543"/>
      <c r="AO3" s="541" t="s">
        <v>13</v>
      </c>
      <c r="AP3" s="542"/>
      <c r="AQ3" s="542"/>
      <c r="AR3" s="542"/>
      <c r="AS3" s="542"/>
      <c r="AT3" s="542"/>
      <c r="AU3" s="542"/>
      <c r="AV3" s="543"/>
      <c r="AW3" s="541" t="s">
        <v>13</v>
      </c>
      <c r="AX3" s="542"/>
      <c r="AY3" s="542"/>
      <c r="AZ3" s="542"/>
      <c r="BA3" s="542"/>
      <c r="BB3" s="542"/>
      <c r="BC3" s="542"/>
      <c r="BD3" s="543"/>
    </row>
    <row r="4" spans="1:56" ht="22.5"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2.5" customHeight="1">
      <c r="A5" s="544" t="s">
        <v>40</v>
      </c>
      <c r="B5" s="526"/>
      <c r="C5" s="509" t="str">
        <f>급여대장!$A$4</f>
        <v>제이엠건축인테리어 주식회사</v>
      </c>
      <c r="D5" s="545"/>
      <c r="E5" s="545"/>
      <c r="F5" s="545"/>
      <c r="G5" s="545"/>
      <c r="H5" s="546"/>
      <c r="I5" s="544" t="s">
        <v>40</v>
      </c>
      <c r="J5" s="526"/>
      <c r="K5" s="509" t="str">
        <f>급여대장!$A$4</f>
        <v>제이엠건축인테리어 주식회사</v>
      </c>
      <c r="L5" s="545"/>
      <c r="M5" s="545"/>
      <c r="N5" s="545"/>
      <c r="O5" s="545"/>
      <c r="P5" s="546"/>
      <c r="Q5" s="544" t="s">
        <v>40</v>
      </c>
      <c r="R5" s="526"/>
      <c r="S5" s="509" t="str">
        <f>급여대장!$A$4</f>
        <v>제이엠건축인테리어 주식회사</v>
      </c>
      <c r="T5" s="545"/>
      <c r="U5" s="545"/>
      <c r="V5" s="545"/>
      <c r="W5" s="545"/>
      <c r="X5" s="546"/>
      <c r="Y5" s="544" t="s">
        <v>40</v>
      </c>
      <c r="Z5" s="526"/>
      <c r="AA5" s="509" t="str">
        <f>급여대장!$A$4</f>
        <v>제이엠건축인테리어 주식회사</v>
      </c>
      <c r="AB5" s="545"/>
      <c r="AC5" s="545"/>
      <c r="AD5" s="545"/>
      <c r="AE5" s="545"/>
      <c r="AF5" s="546"/>
      <c r="AG5" s="544" t="s">
        <v>40</v>
      </c>
      <c r="AH5" s="526"/>
      <c r="AI5" s="509" t="str">
        <f>급여대장!$A$4</f>
        <v>제이엠건축인테리어 주식회사</v>
      </c>
      <c r="AJ5" s="545"/>
      <c r="AK5" s="545"/>
      <c r="AL5" s="545"/>
      <c r="AM5" s="545"/>
      <c r="AN5" s="546"/>
      <c r="AO5" s="544" t="s">
        <v>40</v>
      </c>
      <c r="AP5" s="526"/>
      <c r="AQ5" s="509" t="str">
        <f>급여대장!$A$4</f>
        <v>제이엠건축인테리어 주식회사</v>
      </c>
      <c r="AR5" s="545"/>
      <c r="AS5" s="545"/>
      <c r="AT5" s="545"/>
      <c r="AU5" s="545"/>
      <c r="AV5" s="546"/>
      <c r="AW5" s="544" t="s">
        <v>40</v>
      </c>
      <c r="AX5" s="526"/>
      <c r="AY5" s="509" t="str">
        <f>급여대장!$A$4</f>
        <v>제이엠건축인테리어 주식회사</v>
      </c>
      <c r="AZ5" s="545"/>
      <c r="BA5" s="545"/>
      <c r="BB5" s="545"/>
      <c r="BC5" s="545"/>
      <c r="BD5" s="546"/>
    </row>
    <row r="6" spans="1:56" ht="22.5" customHeight="1">
      <c r="A6" s="501" t="s">
        <v>14</v>
      </c>
      <c r="B6" s="502"/>
      <c r="C6" s="556">
        <f>급여대장!$AD$3</f>
        <v>46082</v>
      </c>
      <c r="D6" s="505"/>
      <c r="E6" s="525" t="s">
        <v>15</v>
      </c>
      <c r="F6" s="526"/>
      <c r="G6" s="547" t="str">
        <f>급여대장!$AD$4</f>
        <v>매월 5일</v>
      </c>
      <c r="H6" s="548"/>
      <c r="I6" s="501" t="s">
        <v>14</v>
      </c>
      <c r="J6" s="502"/>
      <c r="K6" s="505">
        <f>급여대장!$AD$3</f>
        <v>46082</v>
      </c>
      <c r="L6" s="505"/>
      <c r="M6" s="525" t="s">
        <v>15</v>
      </c>
      <c r="N6" s="526"/>
      <c r="O6" s="547" t="str">
        <f>급여대장!$AD$4</f>
        <v>매월 5일</v>
      </c>
      <c r="P6" s="548"/>
      <c r="Q6" s="501" t="s">
        <v>14</v>
      </c>
      <c r="R6" s="502"/>
      <c r="S6" s="505">
        <f>급여대장!$AD$3</f>
        <v>46082</v>
      </c>
      <c r="T6" s="505"/>
      <c r="U6" s="525" t="s">
        <v>15</v>
      </c>
      <c r="V6" s="526"/>
      <c r="W6" s="547" t="str">
        <f>급여대장!$AD$4</f>
        <v>매월 5일</v>
      </c>
      <c r="X6" s="548"/>
      <c r="Y6" s="501" t="s">
        <v>14</v>
      </c>
      <c r="Z6" s="502"/>
      <c r="AA6" s="505">
        <f>급여대장!$AD$3</f>
        <v>46082</v>
      </c>
      <c r="AB6" s="505"/>
      <c r="AC6" s="525" t="s">
        <v>15</v>
      </c>
      <c r="AD6" s="526"/>
      <c r="AE6" s="547" t="str">
        <f>급여대장!$AD$4</f>
        <v>매월 5일</v>
      </c>
      <c r="AF6" s="548"/>
      <c r="AG6" s="501" t="s">
        <v>14</v>
      </c>
      <c r="AH6" s="502"/>
      <c r="AI6" s="505">
        <f>급여대장!$AD$3</f>
        <v>46082</v>
      </c>
      <c r="AJ6" s="505"/>
      <c r="AK6" s="511" t="s">
        <v>15</v>
      </c>
      <c r="AL6" s="512"/>
      <c r="AM6" s="547" t="str">
        <f>급여대장!$AD$4</f>
        <v>매월 5일</v>
      </c>
      <c r="AN6" s="548"/>
      <c r="AO6" s="501" t="s">
        <v>14</v>
      </c>
      <c r="AP6" s="502"/>
      <c r="AQ6" s="505">
        <f>급여대장!$AD$3</f>
        <v>46082</v>
      </c>
      <c r="AR6" s="505"/>
      <c r="AS6" s="511" t="s">
        <v>15</v>
      </c>
      <c r="AT6" s="512"/>
      <c r="AU6" s="547" t="str">
        <f>급여대장!$AD$4</f>
        <v>매월 5일</v>
      </c>
      <c r="AV6" s="548"/>
      <c r="AW6" s="501" t="s">
        <v>14</v>
      </c>
      <c r="AX6" s="502"/>
      <c r="AY6" s="505">
        <f>급여대장!$AD$3</f>
        <v>46082</v>
      </c>
      <c r="AZ6" s="505"/>
      <c r="BA6" s="511" t="s">
        <v>15</v>
      </c>
      <c r="BB6" s="512"/>
      <c r="BC6" s="547" t="str">
        <f>급여대장!$AD$4</f>
        <v>매월 5일</v>
      </c>
      <c r="BD6" s="548"/>
    </row>
    <row r="7" spans="1:56" ht="22.5" customHeight="1">
      <c r="A7" s="501" t="s">
        <v>16</v>
      </c>
      <c r="B7" s="502"/>
      <c r="C7" s="549" t="str">
        <f>VLOOKUP(A1,급여대장!$A$6:$B$10,2,0)</f>
        <v>이소연</v>
      </c>
      <c r="D7" s="550"/>
      <c r="E7" s="525" t="s">
        <v>94</v>
      </c>
      <c r="F7" s="526"/>
      <c r="G7" s="554" t="str">
        <f>급여대장!E6</f>
        <v>2024.11.01</v>
      </c>
      <c r="H7" s="555"/>
      <c r="I7" s="501" t="s">
        <v>16</v>
      </c>
      <c r="J7" s="502"/>
      <c r="K7" s="549" t="str">
        <f>VLOOKUP(I1,급여대장!$A$6:$B$10,2,0)</f>
        <v>문준호</v>
      </c>
      <c r="L7" s="550"/>
      <c r="M7" s="525" t="s">
        <v>94</v>
      </c>
      <c r="N7" s="526"/>
      <c r="O7" s="551" t="str">
        <f>급여대장!E7</f>
        <v>2023.09.04</v>
      </c>
      <c r="P7" s="552"/>
      <c r="Q7" s="501" t="s">
        <v>16</v>
      </c>
      <c r="R7" s="502"/>
      <c r="S7" s="549" t="str">
        <f>VLOOKUP(Q1,급여대장!$A$6:$B$10,2,0)</f>
        <v>하동명</v>
      </c>
      <c r="T7" s="550"/>
      <c r="U7" s="525" t="s">
        <v>94</v>
      </c>
      <c r="V7" s="526"/>
      <c r="W7" s="551" t="str">
        <f>급여대장!E8</f>
        <v>2025.08.04</v>
      </c>
      <c r="X7" s="552"/>
      <c r="Y7" s="501" t="s">
        <v>16</v>
      </c>
      <c r="Z7" s="502"/>
      <c r="AA7" s="549" t="str">
        <f>VLOOKUP(Y1,급여대장!$A$6:$B$10,2,0)</f>
        <v>정휘범</v>
      </c>
      <c r="AB7" s="550"/>
      <c r="AC7" s="525" t="s">
        <v>94</v>
      </c>
      <c r="AD7" s="526"/>
      <c r="AE7" s="551" t="str">
        <f>급여대장!E9</f>
        <v>2025.03.24</v>
      </c>
      <c r="AF7" s="552"/>
      <c r="AG7" s="501" t="s">
        <v>16</v>
      </c>
      <c r="AH7" s="502"/>
      <c r="AI7" s="549">
        <f>VLOOKUP(AG1,급여대장!$A$6:$B$10,2,0)</f>
        <v>0</v>
      </c>
      <c r="AJ7" s="550"/>
      <c r="AK7" s="525" t="s">
        <v>94</v>
      </c>
      <c r="AL7" s="526"/>
      <c r="AM7" s="551">
        <f>급여대장!E10</f>
        <v>0</v>
      </c>
      <c r="AN7" s="552"/>
      <c r="AO7" s="501" t="s">
        <v>16</v>
      </c>
      <c r="AP7" s="502"/>
      <c r="AQ7" s="549">
        <f>VLOOKUP(AO1,급여대장!$A$6:$B$11,2,0)</f>
        <v>0</v>
      </c>
      <c r="AR7" s="550"/>
      <c r="AS7" s="525" t="s">
        <v>94</v>
      </c>
      <c r="AT7" s="526"/>
      <c r="AU7" s="551">
        <f>급여대장!E11</f>
        <v>0</v>
      </c>
      <c r="AV7" s="552"/>
      <c r="AW7" s="501" t="s">
        <v>16</v>
      </c>
      <c r="AX7" s="502"/>
      <c r="AY7" s="549">
        <f>VLOOKUP(AW1,급여대장!$A$6:$B$12,2,0)</f>
        <v>0</v>
      </c>
      <c r="AZ7" s="550"/>
      <c r="BA7" s="525" t="s">
        <v>94</v>
      </c>
      <c r="BB7" s="526"/>
      <c r="BC7" s="551">
        <f>급여대장!E12</f>
        <v>0</v>
      </c>
      <c r="BD7" s="552"/>
    </row>
    <row r="8" spans="1:56" ht="22.5" customHeight="1">
      <c r="A8" s="492" t="s">
        <v>18</v>
      </c>
      <c r="B8" s="493"/>
      <c r="C8" s="493"/>
      <c r="D8" s="493"/>
      <c r="E8" s="493"/>
      <c r="F8" s="493"/>
      <c r="G8" s="493"/>
      <c r="H8" s="494"/>
      <c r="I8" s="492" t="s">
        <v>18</v>
      </c>
      <c r="J8" s="493"/>
      <c r="K8" s="493"/>
      <c r="L8" s="493"/>
      <c r="M8" s="493"/>
      <c r="N8" s="493"/>
      <c r="O8" s="493"/>
      <c r="P8" s="494"/>
      <c r="Q8" s="492" t="s">
        <v>18</v>
      </c>
      <c r="R8" s="493"/>
      <c r="S8" s="493"/>
      <c r="T8" s="493"/>
      <c r="U8" s="493"/>
      <c r="V8" s="493"/>
      <c r="W8" s="493"/>
      <c r="X8" s="494"/>
      <c r="Y8" s="492" t="s">
        <v>18</v>
      </c>
      <c r="Z8" s="493"/>
      <c r="AA8" s="493"/>
      <c r="AB8" s="493"/>
      <c r="AC8" s="493"/>
      <c r="AD8" s="493"/>
      <c r="AE8" s="493"/>
      <c r="AF8" s="494"/>
      <c r="AG8" s="492" t="s">
        <v>18</v>
      </c>
      <c r="AH8" s="493"/>
      <c r="AI8" s="493"/>
      <c r="AJ8" s="493"/>
      <c r="AK8" s="493"/>
      <c r="AL8" s="493"/>
      <c r="AM8" s="493"/>
      <c r="AN8" s="494"/>
      <c r="AO8" s="492" t="s">
        <v>18</v>
      </c>
      <c r="AP8" s="493"/>
      <c r="AQ8" s="493"/>
      <c r="AR8" s="493"/>
      <c r="AS8" s="493"/>
      <c r="AT8" s="493"/>
      <c r="AU8" s="493"/>
      <c r="AV8" s="494"/>
      <c r="AW8" s="492" t="s">
        <v>18</v>
      </c>
      <c r="AX8" s="493"/>
      <c r="AY8" s="493"/>
      <c r="AZ8" s="493"/>
      <c r="BA8" s="493"/>
      <c r="BB8" s="493"/>
      <c r="BC8" s="493"/>
      <c r="BD8" s="494"/>
    </row>
    <row r="9" spans="1:56" ht="22.5" customHeight="1">
      <c r="A9" s="495"/>
      <c r="B9" s="496"/>
      <c r="C9" s="496"/>
      <c r="D9" s="496"/>
      <c r="E9" s="496"/>
      <c r="F9" s="496"/>
      <c r="G9" s="496"/>
      <c r="H9" s="497"/>
      <c r="I9" s="495"/>
      <c r="J9" s="496"/>
      <c r="K9" s="496"/>
      <c r="L9" s="496"/>
      <c r="M9" s="496"/>
      <c r="N9" s="496"/>
      <c r="O9" s="496"/>
      <c r="P9" s="497"/>
      <c r="Q9" s="495"/>
      <c r="R9" s="496"/>
      <c r="S9" s="496"/>
      <c r="T9" s="496"/>
      <c r="U9" s="496"/>
      <c r="V9" s="496"/>
      <c r="W9" s="496"/>
      <c r="X9" s="497"/>
      <c r="Y9" s="495"/>
      <c r="Z9" s="496"/>
      <c r="AA9" s="496"/>
      <c r="AB9" s="496"/>
      <c r="AC9" s="496"/>
      <c r="AD9" s="496"/>
      <c r="AE9" s="496"/>
      <c r="AF9" s="497"/>
      <c r="AG9" s="495"/>
      <c r="AH9" s="496"/>
      <c r="AI9" s="496"/>
      <c r="AJ9" s="496"/>
      <c r="AK9" s="496"/>
      <c r="AL9" s="496"/>
      <c r="AM9" s="496"/>
      <c r="AN9" s="497"/>
      <c r="AO9" s="495"/>
      <c r="AP9" s="496"/>
      <c r="AQ9" s="496"/>
      <c r="AR9" s="496"/>
      <c r="AS9" s="496"/>
      <c r="AT9" s="496"/>
      <c r="AU9" s="496"/>
      <c r="AV9" s="497"/>
      <c r="AW9" s="495"/>
      <c r="AX9" s="496"/>
      <c r="AY9" s="496"/>
      <c r="AZ9" s="496"/>
      <c r="BA9" s="496"/>
      <c r="BB9" s="496"/>
      <c r="BC9" s="496"/>
      <c r="BD9" s="497"/>
    </row>
    <row r="10" spans="1:56" ht="22.5" customHeight="1">
      <c r="A10" s="515" t="s">
        <v>19</v>
      </c>
      <c r="B10" s="516"/>
      <c r="C10" s="516"/>
      <c r="D10" s="516"/>
      <c r="E10" s="517" t="s">
        <v>20</v>
      </c>
      <c r="F10" s="518"/>
      <c r="G10" s="518"/>
      <c r="H10" s="519"/>
      <c r="I10" s="515" t="s">
        <v>19</v>
      </c>
      <c r="J10" s="516"/>
      <c r="K10" s="516"/>
      <c r="L10" s="516"/>
      <c r="M10" s="517" t="s">
        <v>20</v>
      </c>
      <c r="N10" s="518"/>
      <c r="O10" s="518"/>
      <c r="P10" s="519"/>
      <c r="Q10" s="515" t="s">
        <v>19</v>
      </c>
      <c r="R10" s="516"/>
      <c r="S10" s="516"/>
      <c r="T10" s="516"/>
      <c r="U10" s="517" t="s">
        <v>20</v>
      </c>
      <c r="V10" s="518"/>
      <c r="W10" s="518"/>
      <c r="X10" s="519"/>
      <c r="Y10" s="515" t="s">
        <v>19</v>
      </c>
      <c r="Z10" s="516"/>
      <c r="AA10" s="516"/>
      <c r="AB10" s="516"/>
      <c r="AC10" s="517" t="s">
        <v>20</v>
      </c>
      <c r="AD10" s="518"/>
      <c r="AE10" s="518"/>
      <c r="AF10" s="519"/>
      <c r="AG10" s="515" t="s">
        <v>19</v>
      </c>
      <c r="AH10" s="516"/>
      <c r="AI10" s="516"/>
      <c r="AJ10" s="516"/>
      <c r="AK10" s="517" t="s">
        <v>20</v>
      </c>
      <c r="AL10" s="518"/>
      <c r="AM10" s="518"/>
      <c r="AN10" s="519"/>
      <c r="AO10" s="515" t="s">
        <v>19</v>
      </c>
      <c r="AP10" s="516"/>
      <c r="AQ10" s="516"/>
      <c r="AR10" s="516"/>
      <c r="AS10" s="517" t="s">
        <v>20</v>
      </c>
      <c r="AT10" s="518"/>
      <c r="AU10" s="518"/>
      <c r="AV10" s="519"/>
      <c r="AW10" s="515" t="s">
        <v>19</v>
      </c>
      <c r="AX10" s="516"/>
      <c r="AY10" s="516"/>
      <c r="AZ10" s="516"/>
      <c r="BA10" s="517" t="s">
        <v>20</v>
      </c>
      <c r="BB10" s="518"/>
      <c r="BC10" s="518"/>
      <c r="BD10" s="519"/>
    </row>
    <row r="11" spans="1:56" ht="22.5" customHeight="1">
      <c r="A11" s="501" t="s">
        <v>79</v>
      </c>
      <c r="B11" s="502"/>
      <c r="C11" s="505" t="s">
        <v>82</v>
      </c>
      <c r="D11" s="505"/>
      <c r="E11" s="525" t="s">
        <v>23</v>
      </c>
      <c r="F11" s="526"/>
      <c r="G11" s="505" t="s">
        <v>78</v>
      </c>
      <c r="H11" s="506"/>
      <c r="I11" s="501" t="s">
        <v>79</v>
      </c>
      <c r="J11" s="502"/>
      <c r="K11" s="505" t="s">
        <v>82</v>
      </c>
      <c r="L11" s="505"/>
      <c r="M11" s="525" t="s">
        <v>23</v>
      </c>
      <c r="N11" s="526"/>
      <c r="O11" s="505" t="s">
        <v>78</v>
      </c>
      <c r="P11" s="506"/>
      <c r="Q11" s="501" t="s">
        <v>79</v>
      </c>
      <c r="R11" s="502"/>
      <c r="S11" s="505" t="s">
        <v>82</v>
      </c>
      <c r="T11" s="505"/>
      <c r="U11" s="525" t="s">
        <v>23</v>
      </c>
      <c r="V11" s="526"/>
      <c r="W11" s="505" t="s">
        <v>78</v>
      </c>
      <c r="X11" s="506"/>
      <c r="Y11" s="501" t="s">
        <v>79</v>
      </c>
      <c r="Z11" s="502"/>
      <c r="AA11" s="505" t="s">
        <v>82</v>
      </c>
      <c r="AB11" s="505"/>
      <c r="AC11" s="525" t="s">
        <v>23</v>
      </c>
      <c r="AD11" s="526"/>
      <c r="AE11" s="505" t="s">
        <v>78</v>
      </c>
      <c r="AF11" s="506"/>
      <c r="AG11" s="501" t="s">
        <v>79</v>
      </c>
      <c r="AH11" s="502"/>
      <c r="AI11" s="505" t="s">
        <v>82</v>
      </c>
      <c r="AJ11" s="505"/>
      <c r="AK11" s="525" t="s">
        <v>23</v>
      </c>
      <c r="AL11" s="526"/>
      <c r="AM11" s="505" t="s">
        <v>78</v>
      </c>
      <c r="AN11" s="506"/>
      <c r="AO11" s="501" t="s">
        <v>79</v>
      </c>
      <c r="AP11" s="502"/>
      <c r="AQ11" s="505" t="s">
        <v>82</v>
      </c>
      <c r="AR11" s="505"/>
      <c r="AS11" s="525" t="s">
        <v>23</v>
      </c>
      <c r="AT11" s="526"/>
      <c r="AU11" s="505" t="s">
        <v>78</v>
      </c>
      <c r="AV11" s="506"/>
      <c r="AW11" s="501" t="s">
        <v>79</v>
      </c>
      <c r="AX11" s="502"/>
      <c r="AY11" s="505" t="s">
        <v>82</v>
      </c>
      <c r="AZ11" s="505"/>
      <c r="BA11" s="525" t="s">
        <v>23</v>
      </c>
      <c r="BB11" s="526"/>
      <c r="BC11" s="505" t="s">
        <v>78</v>
      </c>
      <c r="BD11" s="506"/>
    </row>
    <row r="12" spans="1:56" ht="22.5" customHeight="1">
      <c r="A12" s="520" t="s">
        <v>25</v>
      </c>
      <c r="B12" s="24" t="s">
        <v>26</v>
      </c>
      <c r="C12" s="503">
        <f>VLOOKUP(A1,급여대장!$A$6:$AD$10,7,0)</f>
        <v>6475000</v>
      </c>
      <c r="D12" s="503"/>
      <c r="E12" s="525" t="s">
        <v>27</v>
      </c>
      <c r="F12" s="526"/>
      <c r="G12" s="503">
        <f>VLOOKUP(A1,급여대장!$A$6:$AD$10,16,0)</f>
        <v>247150</v>
      </c>
      <c r="H12" s="539"/>
      <c r="I12" s="520" t="s">
        <v>25</v>
      </c>
      <c r="J12" s="24" t="s">
        <v>26</v>
      </c>
      <c r="K12" s="513">
        <f>VLOOKUP(I1,급여대장!$A$6:$AD$10,7,0)</f>
        <v>6875000</v>
      </c>
      <c r="L12" s="557"/>
      <c r="M12" s="525" t="s">
        <v>27</v>
      </c>
      <c r="N12" s="526"/>
      <c r="O12" s="503">
        <f>VLOOKUP(I1,급여대장!$A$6:$AD$10,16,0)</f>
        <v>247690</v>
      </c>
      <c r="P12" s="539"/>
      <c r="Q12" s="520" t="s">
        <v>25</v>
      </c>
      <c r="R12" s="24" t="s">
        <v>26</v>
      </c>
      <c r="S12" s="503">
        <f>VLOOKUP(Q1,급여대장!$A$6:$AD$10,7,0)</f>
        <v>2834021.2585347849</v>
      </c>
      <c r="T12" s="503"/>
      <c r="U12" s="553" t="s">
        <v>27</v>
      </c>
      <c r="V12" s="526"/>
      <c r="W12" s="503">
        <f>VLOOKUP(Q1,급여대장!$A$6:$AD$10,16,0)</f>
        <v>122230</v>
      </c>
      <c r="X12" s="539"/>
      <c r="Y12" s="520" t="s">
        <v>25</v>
      </c>
      <c r="Z12" s="24" t="s">
        <v>26</v>
      </c>
      <c r="AA12" s="503">
        <f>VLOOKUP(Y1,급여대장!$A$6:$AD$10,7,0)</f>
        <v>505001</v>
      </c>
      <c r="AB12" s="503"/>
      <c r="AC12" s="553" t="s">
        <v>27</v>
      </c>
      <c r="AD12" s="526"/>
      <c r="AE12" s="503">
        <f>VLOOKUP(Y1,급여대장!$A$6:$AD$10,16,0)</f>
        <v>0</v>
      </c>
      <c r="AF12" s="539"/>
      <c r="AG12" s="520" t="s">
        <v>25</v>
      </c>
      <c r="AH12" s="24" t="s">
        <v>26</v>
      </c>
      <c r="AI12" s="503" t="str">
        <f>VLOOKUP(AG1,급여대장!$A$6:$AD$10,7,0)</f>
        <v/>
      </c>
      <c r="AJ12" s="503"/>
      <c r="AK12" s="553" t="s">
        <v>27</v>
      </c>
      <c r="AL12" s="526"/>
      <c r="AM12" s="503">
        <f>VLOOKUP(AG1,급여대장!$A$6:$AD$10,16,0)</f>
        <v>0</v>
      </c>
      <c r="AN12" s="539"/>
      <c r="AO12" s="520" t="s">
        <v>25</v>
      </c>
      <c r="AP12" s="24" t="s">
        <v>26</v>
      </c>
      <c r="AQ12" s="503">
        <f>VLOOKUP(AO1,급여대장!$A$6:$AD$11,7,0)</f>
        <v>0</v>
      </c>
      <c r="AR12" s="503"/>
      <c r="AS12" s="553" t="s">
        <v>27</v>
      </c>
      <c r="AT12" s="526"/>
      <c r="AU12" s="503">
        <f ca="1">VLOOKUP(AO1,급여대장!$A$1:$AD$11,16,0)</f>
        <v>0</v>
      </c>
      <c r="AV12" s="539"/>
      <c r="AW12" s="520" t="s">
        <v>25</v>
      </c>
      <c r="AX12" s="24" t="s">
        <v>26</v>
      </c>
      <c r="AY12" s="503" t="str">
        <f>VLOOKUP(AW1,급여대장!$A$6:$AD$12,7,0)</f>
        <v/>
      </c>
      <c r="AZ12" s="503"/>
      <c r="BA12" s="553" t="s">
        <v>27</v>
      </c>
      <c r="BB12" s="526"/>
      <c r="BC12" s="503">
        <f>VLOOKUP(AW1,급여대장!$A$6:$AD$12,16,0)</f>
        <v>0</v>
      </c>
      <c r="BD12" s="539"/>
    </row>
    <row r="13" spans="1:56" ht="22.5" customHeight="1">
      <c r="A13" s="521"/>
      <c r="B13" s="24" t="s">
        <v>28</v>
      </c>
      <c r="C13" s="503">
        <f>VLOOKUP(A1,급여대장!$A$6:$AD$10,8,0)</f>
        <v>200000</v>
      </c>
      <c r="D13" s="503"/>
      <c r="E13" s="525" t="s">
        <v>42</v>
      </c>
      <c r="F13" s="526"/>
      <c r="G13" s="503">
        <f>VLOOKUP(A1,급여대장!$A$6:$AD$10,17,0)</f>
        <v>32470</v>
      </c>
      <c r="H13" s="539"/>
      <c r="I13" s="521"/>
      <c r="J13" s="24" t="s">
        <v>28</v>
      </c>
      <c r="K13" s="503">
        <f>VLOOKUP(I1,급여대장!$A$6:$AD$10,8,0)</f>
        <v>0</v>
      </c>
      <c r="L13" s="503"/>
      <c r="M13" s="525" t="s">
        <v>42</v>
      </c>
      <c r="N13" s="526"/>
      <c r="O13" s="513">
        <f>VLOOKUP(I1,급여대장!$A$6:$AD$10,17,0)</f>
        <v>32540</v>
      </c>
      <c r="P13" s="514"/>
      <c r="Q13" s="521"/>
      <c r="R13" s="24" t="s">
        <v>28</v>
      </c>
      <c r="S13" s="503">
        <f>VLOOKUP(Q1,급여대장!$A$6:$AD$10,8,0)</f>
        <v>200000</v>
      </c>
      <c r="T13" s="503"/>
      <c r="U13" s="553" t="s">
        <v>42</v>
      </c>
      <c r="V13" s="526"/>
      <c r="W13" s="513">
        <f>VLOOKUP(Q1,급여대장!$A$6:$AD$10,17,0)</f>
        <v>16060</v>
      </c>
      <c r="X13" s="514"/>
      <c r="Y13" s="521"/>
      <c r="Z13" s="24" t="s">
        <v>28</v>
      </c>
      <c r="AA13" s="503">
        <f>VLOOKUP(Y1,급여대장!$A$6:$AD$10,8,0)</f>
        <v>51613</v>
      </c>
      <c r="AB13" s="503"/>
      <c r="AC13" s="553" t="s">
        <v>42</v>
      </c>
      <c r="AD13" s="526"/>
      <c r="AE13" s="513">
        <f>VLOOKUP(Y1,급여대장!$A$6:$AD$10,17,0)</f>
        <v>0</v>
      </c>
      <c r="AF13" s="514"/>
      <c r="AG13" s="521"/>
      <c r="AH13" s="24" t="s">
        <v>28</v>
      </c>
      <c r="AI13" s="503">
        <f>VLOOKUP(AG1,급여대장!$A$6:$AD$10,8,0)</f>
        <v>0</v>
      </c>
      <c r="AJ13" s="503"/>
      <c r="AK13" s="553" t="s">
        <v>42</v>
      </c>
      <c r="AL13" s="526"/>
      <c r="AM13" s="513">
        <f>VLOOKUP(AG1,급여대장!$A$6:$AD$10,17,0)</f>
        <v>0</v>
      </c>
      <c r="AN13" s="514"/>
      <c r="AO13" s="521"/>
      <c r="AP13" s="24" t="s">
        <v>28</v>
      </c>
      <c r="AQ13" s="503">
        <f>VLOOKUP(AO1,급여대장!$A$6:$AD$11,8,0)</f>
        <v>0</v>
      </c>
      <c r="AR13" s="503"/>
      <c r="AS13" s="553" t="s">
        <v>42</v>
      </c>
      <c r="AT13" s="526"/>
      <c r="AU13" s="503">
        <f>VLOOKUP(AO1,급여대장!$A$6:$AD$11,17,0)</f>
        <v>0</v>
      </c>
      <c r="AV13" s="539"/>
      <c r="AW13" s="521"/>
      <c r="AX13" s="24" t="s">
        <v>28</v>
      </c>
      <c r="AY13" s="503">
        <f>VLOOKUP(AW1,급여대장!$A$6:$AD$12,8,0)</f>
        <v>0</v>
      </c>
      <c r="AZ13" s="503"/>
      <c r="BA13" s="525" t="s">
        <v>42</v>
      </c>
      <c r="BB13" s="526"/>
      <c r="BC13" s="503">
        <f>VLOOKUP(AW1,급여대장!$A$6:$AD$12,17,0)</f>
        <v>0</v>
      </c>
      <c r="BD13" s="539"/>
    </row>
    <row r="14" spans="1:56" ht="22.5" customHeight="1">
      <c r="A14" s="521"/>
      <c r="B14" s="24" t="s">
        <v>46</v>
      </c>
      <c r="C14" s="503">
        <f>VLOOKUP(A1,급여대장!$A$6:$AD$10,9,0)</f>
        <v>200000</v>
      </c>
      <c r="D14" s="503"/>
      <c r="E14" s="525" t="s">
        <v>41</v>
      </c>
      <c r="F14" s="526"/>
      <c r="G14" s="503">
        <f>VLOOKUP(A1,급여대장!$A$6:$AD$10,18,0)</f>
        <v>302570</v>
      </c>
      <c r="H14" s="539"/>
      <c r="I14" s="521"/>
      <c r="J14" s="24" t="s">
        <v>46</v>
      </c>
      <c r="K14" s="503">
        <f>VLOOKUP(I1,급여대장!$A$6:$AD$10,9,0)</f>
        <v>0</v>
      </c>
      <c r="L14" s="503"/>
      <c r="M14" s="525" t="s">
        <v>41</v>
      </c>
      <c r="N14" s="526"/>
      <c r="O14" s="513">
        <f>VLOOKUP(I1,급여대장!$A$6:$AD$10,18,0)</f>
        <v>302570</v>
      </c>
      <c r="P14" s="514"/>
      <c r="Q14" s="521"/>
      <c r="R14" s="24" t="s">
        <v>46</v>
      </c>
      <c r="S14" s="503">
        <f>VLOOKUP($Q$1,급여대장!$A$6:$AD$10,9,0)</f>
        <v>0</v>
      </c>
      <c r="T14" s="503"/>
      <c r="U14" s="553" t="s">
        <v>41</v>
      </c>
      <c r="V14" s="526"/>
      <c r="W14" s="513">
        <f>VLOOKUP(Q1,급여대장!$A$6:$AD$10,18,0)</f>
        <v>161500</v>
      </c>
      <c r="X14" s="514"/>
      <c r="Y14" s="521"/>
      <c r="Z14" s="24" t="s">
        <v>46</v>
      </c>
      <c r="AA14" s="503">
        <f>VLOOKUP(Y1,급여대장!$A$6:$AD$10,9,0)</f>
        <v>0</v>
      </c>
      <c r="AB14" s="503"/>
      <c r="AC14" s="553" t="s">
        <v>41</v>
      </c>
      <c r="AD14" s="526"/>
      <c r="AE14" s="513">
        <f>VLOOKUP(Y1,급여대장!$A$6:$AD$10,18,0)</f>
        <v>0</v>
      </c>
      <c r="AF14" s="514"/>
      <c r="AG14" s="521"/>
      <c r="AH14" s="24" t="s">
        <v>46</v>
      </c>
      <c r="AI14" s="503">
        <f>VLOOKUP(AG1,급여대장!$A$6:$AD$10,9,0)</f>
        <v>0</v>
      </c>
      <c r="AJ14" s="503"/>
      <c r="AK14" s="553" t="s">
        <v>41</v>
      </c>
      <c r="AL14" s="526"/>
      <c r="AM14" s="513">
        <f>VLOOKUP(AG1,급여대장!$A$6:$AD$10,18,0)</f>
        <v>0</v>
      </c>
      <c r="AN14" s="514"/>
      <c r="AO14" s="521"/>
      <c r="AP14" s="24" t="s">
        <v>46</v>
      </c>
      <c r="AQ14" s="503">
        <f>VLOOKUP(AO1,급여대장!$A$6:$AD$11,9,0)</f>
        <v>0</v>
      </c>
      <c r="AR14" s="503"/>
      <c r="AS14" s="553" t="s">
        <v>41</v>
      </c>
      <c r="AT14" s="526"/>
      <c r="AU14" s="503">
        <f>VLOOKUP(AO1,급여대장!$A$6:$AD$11,18,0)</f>
        <v>0</v>
      </c>
      <c r="AV14" s="539"/>
      <c r="AW14" s="521"/>
      <c r="AX14" s="24" t="s">
        <v>46</v>
      </c>
      <c r="AY14" s="503">
        <f>VLOOKUP(AW1,급여대장!$A$6:$AD$12,9,0)</f>
        <v>0</v>
      </c>
      <c r="AZ14" s="503"/>
      <c r="BA14" s="525" t="s">
        <v>41</v>
      </c>
      <c r="BB14" s="526"/>
      <c r="BC14" s="503">
        <f ca="1">VLOOKUP(AW1,급여대장!$A$6:$AD$12,18,0)</f>
        <v>0</v>
      </c>
      <c r="BD14" s="539"/>
    </row>
    <row r="15" spans="1:56" ht="22.5" customHeight="1">
      <c r="A15" s="521"/>
      <c r="B15" s="25" t="s">
        <v>255</v>
      </c>
      <c r="C15" s="503">
        <f>VLOOKUP(A1,급여대장!$A$6:$AD$10,10,0)</f>
        <v>0</v>
      </c>
      <c r="D15" s="503"/>
      <c r="E15" s="525" t="s">
        <v>29</v>
      </c>
      <c r="F15" s="526"/>
      <c r="G15" s="513">
        <f>VLOOKUP(A1,급여대장!$A$6:$AD$10,19,0)</f>
        <v>0</v>
      </c>
      <c r="H15" s="514"/>
      <c r="I15" s="521"/>
      <c r="J15" s="25" t="s">
        <v>255</v>
      </c>
      <c r="K15" s="503">
        <f>VLOOKUP(I1,급여대장!$A$6:$AD$10,10,0)</f>
        <v>0</v>
      </c>
      <c r="L15" s="503"/>
      <c r="M15" s="525" t="s">
        <v>29</v>
      </c>
      <c r="N15" s="526"/>
      <c r="O15" s="513">
        <f>VLOOKUP(I1,급여대장!$A$6:$AD$10,19,0)</f>
        <v>0</v>
      </c>
      <c r="P15" s="514"/>
      <c r="Q15" s="521"/>
      <c r="R15" s="25" t="s">
        <v>255</v>
      </c>
      <c r="S15" s="503">
        <f>VLOOKUP($Q$1,급여대장!$A$6:$AD$10,10,0)</f>
        <v>899318.74146521499</v>
      </c>
      <c r="T15" s="503"/>
      <c r="U15" s="553" t="s">
        <v>29</v>
      </c>
      <c r="V15" s="526"/>
      <c r="W15" s="513">
        <f ca="1">VLOOKUP(Q1,급여대장!$A$6:$AD$10,19,0)</f>
        <v>33600</v>
      </c>
      <c r="X15" s="514"/>
      <c r="Y15" s="521"/>
      <c r="Z15" s="25" t="s">
        <v>255</v>
      </c>
      <c r="AA15" s="503">
        <f>VLOOKUP(Y1,급여대장!$A$6:$AD$10,10,0)</f>
        <v>86788</v>
      </c>
      <c r="AB15" s="503"/>
      <c r="AC15" s="553" t="s">
        <v>29</v>
      </c>
      <c r="AD15" s="526"/>
      <c r="AE15" s="513">
        <f>VLOOKUP(Y1,급여대장!$A$6:$AD$10,19,0)</f>
        <v>0</v>
      </c>
      <c r="AF15" s="514"/>
      <c r="AG15" s="521"/>
      <c r="AH15" s="25" t="s">
        <v>255</v>
      </c>
      <c r="AI15" s="503" t="str">
        <f>VLOOKUP(AG1,급여대장!$A$6:$AD$10,10,0)</f>
        <v/>
      </c>
      <c r="AJ15" s="503"/>
      <c r="AK15" s="553" t="s">
        <v>29</v>
      </c>
      <c r="AL15" s="526"/>
      <c r="AM15" s="513">
        <f ca="1">VLOOKUP(AG1,급여대장!$A$6:$AD$10,19,0)</f>
        <v>0</v>
      </c>
      <c r="AN15" s="514"/>
      <c r="AO15" s="521"/>
      <c r="AP15" s="25" t="s">
        <v>255</v>
      </c>
      <c r="AQ15" s="503">
        <f>VLOOKUP(AO1,급여대장!$A$6:$AD$11,10,0)</f>
        <v>0</v>
      </c>
      <c r="AR15" s="503"/>
      <c r="AS15" s="553" t="s">
        <v>29</v>
      </c>
      <c r="AT15" s="526"/>
      <c r="AU15" s="503">
        <f ca="1">VLOOKUP(AO1,급여대장!$A$6:$AD$11,19,0)</f>
        <v>0</v>
      </c>
      <c r="AV15" s="539"/>
      <c r="AW15" s="521"/>
      <c r="AX15" s="25" t="s">
        <v>255</v>
      </c>
      <c r="AY15" s="503" t="str">
        <f>VLOOKUP(AW1,급여대장!$A$6:$AD$12,10,0)</f>
        <v/>
      </c>
      <c r="AZ15" s="503"/>
      <c r="BA15" s="525" t="s">
        <v>29</v>
      </c>
      <c r="BB15" s="526"/>
      <c r="BC15" s="503">
        <f ca="1">VLOOKUP(AW1,급여대장!$A$6:$AD$12,19,0)</f>
        <v>0</v>
      </c>
      <c r="BD15" s="539"/>
    </row>
    <row r="16" spans="1:56" ht="22.5" customHeight="1">
      <c r="A16" s="521"/>
      <c r="B16" s="24" t="s">
        <v>322</v>
      </c>
      <c r="C16" s="503">
        <f>VLOOKUP(A1,급여대장!$A$6:$AD$10,11,0)</f>
        <v>0</v>
      </c>
      <c r="D16" s="503"/>
      <c r="E16" s="525" t="s">
        <v>30</v>
      </c>
      <c r="F16" s="526"/>
      <c r="G16" s="513">
        <f>VLOOKUP(A1,급여대장!$A$6:$AD$10,20,0)</f>
        <v>562470</v>
      </c>
      <c r="H16" s="514"/>
      <c r="I16" s="521"/>
      <c r="J16" s="24" t="s">
        <v>322</v>
      </c>
      <c r="K16" s="503">
        <f>VLOOKUP(I1,급여대장!$A$6:$AD$10,11,0)</f>
        <v>0</v>
      </c>
      <c r="L16" s="503"/>
      <c r="M16" s="525" t="s">
        <v>30</v>
      </c>
      <c r="N16" s="526"/>
      <c r="O16" s="513">
        <f>VLOOKUP(I1,급여대장!$A$6:$AD$10,20,0)</f>
        <v>657220</v>
      </c>
      <c r="P16" s="514"/>
      <c r="Q16" s="521"/>
      <c r="R16" s="24" t="s">
        <v>322</v>
      </c>
      <c r="S16" s="503">
        <f>VLOOKUP(Q1,급여대장!$A$6:$AD$10,11,0)</f>
        <v>0</v>
      </c>
      <c r="T16" s="503"/>
      <c r="U16" s="525" t="s">
        <v>30</v>
      </c>
      <c r="V16" s="526"/>
      <c r="W16" s="513">
        <f>VLOOKUP(Q1,급여대장!$A$6:$AD$10,20,0)</f>
        <v>154110</v>
      </c>
      <c r="X16" s="514"/>
      <c r="Y16" s="521"/>
      <c r="Z16" s="24" t="s">
        <v>322</v>
      </c>
      <c r="AA16" s="503">
        <f>VLOOKUP(Y1,급여대장!$A$6:$AD$10,11,0)</f>
        <v>0</v>
      </c>
      <c r="AB16" s="503"/>
      <c r="AC16" s="525" t="s">
        <v>30</v>
      </c>
      <c r="AD16" s="526"/>
      <c r="AE16" s="513">
        <f>VLOOKUP(Y1,급여대장!$A$6:$AD$10,20,0)</f>
        <v>0</v>
      </c>
      <c r="AF16" s="514"/>
      <c r="AG16" s="521"/>
      <c r="AH16" s="24" t="s">
        <v>322</v>
      </c>
      <c r="AI16" s="503" t="str">
        <f>VLOOKUP(AG1,급여대장!$A$6:$AD$10,11,0)</f>
        <v/>
      </c>
      <c r="AJ16" s="503"/>
      <c r="AK16" s="525" t="s">
        <v>30</v>
      </c>
      <c r="AL16" s="526"/>
      <c r="AM16" s="513">
        <f>VLOOKUP(AG1,급여대장!$A$6:$AD$10,20,0)</f>
        <v>0</v>
      </c>
      <c r="AN16" s="514"/>
      <c r="AO16" s="521"/>
      <c r="AP16" s="24" t="s">
        <v>322</v>
      </c>
      <c r="AQ16" s="503" t="str">
        <f>VLOOKUP(AO1,급여대장!$A$6:$AD$11,11,0)</f>
        <v/>
      </c>
      <c r="AR16" s="503"/>
      <c r="AS16" s="525" t="s">
        <v>30</v>
      </c>
      <c r="AT16" s="526"/>
      <c r="AU16" s="503">
        <f>VLOOKUP(AO1,급여대장!$A$6:$AD$11,20,0)</f>
        <v>0</v>
      </c>
      <c r="AV16" s="539"/>
      <c r="AW16" s="521"/>
      <c r="AX16" s="24" t="s">
        <v>322</v>
      </c>
      <c r="AY16" s="503" t="str">
        <f>VLOOKUP(AW1,급여대장!$A$6:$AD$12,11,0)</f>
        <v/>
      </c>
      <c r="AZ16" s="503"/>
      <c r="BA16" s="525" t="s">
        <v>30</v>
      </c>
      <c r="BB16" s="526"/>
      <c r="BC16" s="503">
        <f>VLOOKUP(AW1,급여대장!$A$6:$AD$12,20,0)</f>
        <v>0</v>
      </c>
      <c r="BD16" s="539"/>
    </row>
    <row r="17" spans="1:56" ht="22.5" customHeight="1">
      <c r="A17" s="521"/>
      <c r="B17" s="24"/>
      <c r="C17" s="513"/>
      <c r="D17" s="527"/>
      <c r="E17" s="525" t="s">
        <v>31</v>
      </c>
      <c r="F17" s="526"/>
      <c r="G17" s="513">
        <f>VLOOKUP(A1,급여대장!$A$6:$AD$10,21,0)</f>
        <v>56240</v>
      </c>
      <c r="H17" s="514"/>
      <c r="I17" s="521"/>
      <c r="J17" s="24" t="s">
        <v>337</v>
      </c>
      <c r="K17" s="513">
        <f>VLOOKUP(I1,급여대장!$A$6:$AD$10,12,0)</f>
        <v>15000</v>
      </c>
      <c r="L17" s="527"/>
      <c r="M17" s="525" t="s">
        <v>31</v>
      </c>
      <c r="N17" s="526"/>
      <c r="O17" s="513">
        <f>VLOOKUP(I1,급여대장!$A$6:$AD$10,21,0)</f>
        <v>65720</v>
      </c>
      <c r="P17" s="514"/>
      <c r="Q17" s="521"/>
      <c r="R17" s="24"/>
      <c r="S17" s="513"/>
      <c r="T17" s="527"/>
      <c r="U17" s="525" t="s">
        <v>31</v>
      </c>
      <c r="V17" s="526"/>
      <c r="W17" s="513">
        <f>VLOOKUP(Q1,급여대장!$A$6:$AD$10,21,0)</f>
        <v>15410</v>
      </c>
      <c r="X17" s="514"/>
      <c r="Y17" s="521"/>
      <c r="Z17" s="24"/>
      <c r="AA17" s="513"/>
      <c r="AB17" s="527"/>
      <c r="AC17" s="525" t="s">
        <v>31</v>
      </c>
      <c r="AD17" s="526"/>
      <c r="AE17" s="513">
        <f>VLOOKUP(Y1,급여대장!$A$6:$AD$10,21,0)</f>
        <v>0</v>
      </c>
      <c r="AF17" s="514"/>
      <c r="AG17" s="521"/>
      <c r="AH17" s="24"/>
      <c r="AI17" s="513"/>
      <c r="AJ17" s="527"/>
      <c r="AK17" s="525" t="s">
        <v>31</v>
      </c>
      <c r="AL17" s="526"/>
      <c r="AM17" s="513">
        <f>VLOOKUP(AG1,급여대장!$A$6:$AD$10,21,0)</f>
        <v>0</v>
      </c>
      <c r="AN17" s="514"/>
      <c r="AO17" s="521"/>
      <c r="AP17" s="24"/>
      <c r="AQ17" s="513"/>
      <c r="AR17" s="527"/>
      <c r="AS17" s="525" t="s">
        <v>31</v>
      </c>
      <c r="AT17" s="526"/>
      <c r="AU17" s="503">
        <f>VLOOKUP(AO1,급여대장!$A$6:$AD$11,21,0)</f>
        <v>0</v>
      </c>
      <c r="AV17" s="539"/>
      <c r="AW17" s="521"/>
      <c r="AX17" s="24"/>
      <c r="AY17" s="513"/>
      <c r="AZ17" s="527"/>
      <c r="BA17" s="525" t="s">
        <v>31</v>
      </c>
      <c r="BB17" s="526"/>
      <c r="BC17" s="503">
        <f>VLOOKUP(AW1,급여대장!$A$6:$AD$12,21,0)</f>
        <v>0</v>
      </c>
      <c r="BD17" s="539"/>
    </row>
    <row r="18" spans="1:56" ht="30.75" customHeight="1">
      <c r="A18" s="521"/>
      <c r="B18" s="24"/>
      <c r="C18" s="503"/>
      <c r="D18" s="503"/>
      <c r="E18" s="523"/>
      <c r="F18" s="524"/>
      <c r="G18" s="513"/>
      <c r="H18" s="514"/>
      <c r="I18" s="521"/>
      <c r="J18" s="24"/>
      <c r="K18" s="503"/>
      <c r="L18" s="503"/>
      <c r="M18" s="558" t="s">
        <v>389</v>
      </c>
      <c r="N18" s="524"/>
      <c r="O18" s="513">
        <f>급여대장!Y7</f>
        <v>0</v>
      </c>
      <c r="P18" s="514"/>
      <c r="Q18" s="521"/>
      <c r="R18" s="24"/>
      <c r="S18" s="503"/>
      <c r="T18" s="503"/>
      <c r="U18" s="558" t="s">
        <v>389</v>
      </c>
      <c r="V18" s="524"/>
      <c r="W18" s="513">
        <f>급여대장!Y8</f>
        <v>0</v>
      </c>
      <c r="X18" s="514"/>
      <c r="Y18" s="521"/>
      <c r="Z18" s="24"/>
      <c r="AA18" s="503"/>
      <c r="AB18" s="503"/>
      <c r="AC18" s="558" t="s">
        <v>344</v>
      </c>
      <c r="AD18" s="524"/>
      <c r="AE18" s="513">
        <f>VLOOKUP(Y1,급여대장!$A$6:$AD$10,23,0)</f>
        <v>0</v>
      </c>
      <c r="AF18" s="514"/>
      <c r="AG18" s="521"/>
      <c r="AH18" s="24"/>
      <c r="AI18" s="513"/>
      <c r="AJ18" s="527"/>
      <c r="AK18" s="523"/>
      <c r="AL18" s="524"/>
      <c r="AM18" s="513"/>
      <c r="AN18" s="514"/>
      <c r="AO18" s="521"/>
      <c r="AP18" s="24"/>
      <c r="AQ18" s="513"/>
      <c r="AR18" s="527"/>
      <c r="AS18" s="523" t="s">
        <v>379</v>
      </c>
      <c r="AT18" s="524"/>
      <c r="AU18" s="513"/>
      <c r="AV18" s="514"/>
      <c r="AW18" s="521"/>
      <c r="AX18" s="24"/>
      <c r="AY18" s="513"/>
      <c r="AZ18" s="527"/>
      <c r="BA18" s="523"/>
      <c r="BB18" s="524"/>
      <c r="BC18" s="513"/>
      <c r="BD18" s="514"/>
    </row>
    <row r="19" spans="1:56" ht="30.75" customHeight="1">
      <c r="A19" s="521"/>
      <c r="B19" s="24"/>
      <c r="C19" s="513"/>
      <c r="D19" s="527"/>
      <c r="E19" s="523"/>
      <c r="F19" s="524"/>
      <c r="G19" s="513"/>
      <c r="H19" s="514"/>
      <c r="I19" s="522"/>
      <c r="J19" s="24"/>
      <c r="K19" s="513"/>
      <c r="L19" s="527"/>
      <c r="M19" s="558" t="s">
        <v>388</v>
      </c>
      <c r="N19" s="524"/>
      <c r="O19" s="513">
        <f>급여대장!Z7</f>
        <v>0</v>
      </c>
      <c r="P19" s="514"/>
      <c r="Q19" s="522"/>
      <c r="R19" s="24"/>
      <c r="S19" s="513"/>
      <c r="T19" s="527"/>
      <c r="U19" s="558" t="s">
        <v>388</v>
      </c>
      <c r="V19" s="524"/>
      <c r="W19" s="513">
        <f>급여대장!Z8</f>
        <v>0</v>
      </c>
      <c r="X19" s="514"/>
      <c r="Y19" s="522"/>
      <c r="Z19" s="24"/>
      <c r="AA19" s="513"/>
      <c r="AB19" s="527"/>
      <c r="AC19" s="523"/>
      <c r="AD19" s="524"/>
      <c r="AE19" s="513"/>
      <c r="AF19" s="514"/>
      <c r="AG19" s="522"/>
      <c r="AH19" s="24"/>
      <c r="AI19" s="513"/>
      <c r="AJ19" s="527"/>
      <c r="AK19" s="537"/>
      <c r="AL19" s="538"/>
      <c r="AM19" s="513"/>
      <c r="AN19" s="514"/>
      <c r="AO19" s="522"/>
      <c r="AP19" s="24"/>
      <c r="AQ19" s="513"/>
      <c r="AR19" s="527"/>
      <c r="AS19" s="523" t="s">
        <v>380</v>
      </c>
      <c r="AT19" s="524"/>
      <c r="AU19" s="513"/>
      <c r="AV19" s="514"/>
      <c r="AW19" s="522"/>
      <c r="AX19" s="24"/>
      <c r="AY19" s="513"/>
      <c r="AZ19" s="527"/>
      <c r="BA19" s="537"/>
      <c r="BB19" s="538"/>
      <c r="BC19" s="513"/>
      <c r="BD19" s="514"/>
    </row>
    <row r="20" spans="1:56" ht="22.5" customHeight="1">
      <c r="A20" s="521"/>
      <c r="B20" s="24"/>
      <c r="C20" s="14"/>
      <c r="D20" s="15"/>
      <c r="E20" s="523"/>
      <c r="F20" s="524"/>
      <c r="G20" s="513"/>
      <c r="H20" s="514"/>
      <c r="I20" s="19"/>
      <c r="J20" s="24"/>
      <c r="K20" s="14"/>
      <c r="L20" s="15"/>
      <c r="M20" s="523"/>
      <c r="N20" s="524"/>
      <c r="O20" s="513"/>
      <c r="P20" s="514"/>
      <c r="Q20" s="19"/>
      <c r="R20" s="24"/>
      <c r="S20" s="14"/>
      <c r="T20" s="15"/>
      <c r="U20" s="558"/>
      <c r="V20" s="524"/>
      <c r="W20" s="513"/>
      <c r="X20" s="514"/>
      <c r="Y20" s="19"/>
      <c r="Z20" s="24"/>
      <c r="AA20" s="14"/>
      <c r="AB20" s="15"/>
      <c r="AC20" s="537"/>
      <c r="AD20" s="538"/>
      <c r="AE20" s="513"/>
      <c r="AF20" s="514"/>
      <c r="AG20" s="19"/>
      <c r="AH20" s="24"/>
      <c r="AI20" s="14"/>
      <c r="AJ20" s="15"/>
      <c r="AK20" s="537"/>
      <c r="AL20" s="538"/>
      <c r="AM20" s="513"/>
      <c r="AN20" s="514"/>
      <c r="AO20" s="19"/>
      <c r="AP20" s="24"/>
      <c r="AQ20" s="14"/>
      <c r="AR20" s="15"/>
      <c r="AS20" s="537"/>
      <c r="AT20" s="538"/>
      <c r="AU20" s="513"/>
      <c r="AV20" s="514"/>
      <c r="AW20" s="19"/>
      <c r="AX20" s="24"/>
      <c r="AY20" s="14"/>
      <c r="AZ20" s="15"/>
      <c r="BA20" s="537"/>
      <c r="BB20" s="538"/>
      <c r="BC20" s="14"/>
      <c r="BD20" s="18"/>
    </row>
    <row r="21" spans="1:56" ht="22.5" customHeight="1">
      <c r="A21" s="522"/>
      <c r="B21" s="24"/>
      <c r="C21" s="14"/>
      <c r="D21" s="15"/>
      <c r="E21" s="523"/>
      <c r="F21" s="524"/>
      <c r="G21" s="513"/>
      <c r="H21" s="514"/>
      <c r="I21" s="19"/>
      <c r="J21" s="24"/>
      <c r="K21" s="14"/>
      <c r="L21" s="15"/>
      <c r="M21" s="523"/>
      <c r="N21" s="524"/>
      <c r="O21" s="513"/>
      <c r="P21" s="514"/>
      <c r="Q21" s="19"/>
      <c r="R21" s="24"/>
      <c r="S21" s="14"/>
      <c r="T21" s="15"/>
      <c r="U21" s="523"/>
      <c r="V21" s="524"/>
      <c r="W21" s="513"/>
      <c r="X21" s="514"/>
      <c r="Y21" s="19"/>
      <c r="Z21" s="24"/>
      <c r="AA21" s="14"/>
      <c r="AB21" s="15"/>
      <c r="AC21" s="537"/>
      <c r="AD21" s="538"/>
      <c r="AE21" s="513"/>
      <c r="AF21" s="514"/>
      <c r="AG21" s="19"/>
      <c r="AH21" s="24"/>
      <c r="AI21" s="14"/>
      <c r="AJ21" s="15"/>
      <c r="AK21" s="537"/>
      <c r="AL21" s="538"/>
      <c r="AM21" s="513"/>
      <c r="AN21" s="514"/>
      <c r="AO21" s="19"/>
      <c r="AP21" s="24"/>
      <c r="AQ21" s="14"/>
      <c r="AR21" s="15"/>
      <c r="AS21" s="537"/>
      <c r="AT21" s="538"/>
      <c r="AU21" s="513"/>
      <c r="AV21" s="514"/>
      <c r="AW21" s="19"/>
      <c r="AX21" s="24"/>
      <c r="AY21" s="14"/>
      <c r="AZ21" s="15"/>
      <c r="BA21" s="16"/>
      <c r="BB21" s="17"/>
      <c r="BC21" s="14"/>
      <c r="BD21" s="18"/>
    </row>
    <row r="22" spans="1:56" ht="22.5" customHeight="1">
      <c r="A22" s="520" t="s">
        <v>32</v>
      </c>
      <c r="B22" s="24" t="s">
        <v>49</v>
      </c>
      <c r="C22" s="503">
        <f>VLOOKUP(A1,급여대장!$A$6:$AD$10,13,0)</f>
        <v>0</v>
      </c>
      <c r="D22" s="503"/>
      <c r="E22" s="523"/>
      <c r="F22" s="524"/>
      <c r="G22" s="562"/>
      <c r="H22" s="563"/>
      <c r="I22" s="520" t="s">
        <v>32</v>
      </c>
      <c r="J22" s="24" t="s">
        <v>49</v>
      </c>
      <c r="K22" s="503">
        <f>VLOOKUP(I1,급여대장!$A$6:$AD$10,13,0)</f>
        <v>0</v>
      </c>
      <c r="L22" s="503"/>
      <c r="M22" s="523"/>
      <c r="N22" s="524"/>
      <c r="O22" s="513"/>
      <c r="P22" s="514"/>
      <c r="Q22" s="520" t="s">
        <v>32</v>
      </c>
      <c r="R22" s="24" t="s">
        <v>49</v>
      </c>
      <c r="S22" s="503">
        <f>VLOOKUP(Q1,급여대장!$A$6:$AD$10,13,0)</f>
        <v>0</v>
      </c>
      <c r="T22" s="503"/>
      <c r="U22" s="523">
        <f>323000/2</f>
        <v>161500</v>
      </c>
      <c r="V22" s="524"/>
      <c r="W22" s="513"/>
      <c r="X22" s="514"/>
      <c r="Y22" s="520" t="s">
        <v>32</v>
      </c>
      <c r="Z22" s="24" t="s">
        <v>49</v>
      </c>
      <c r="AA22" s="503">
        <f>VLOOKUP(Y1,급여대장!$A$6:$AD$10,13,0)</f>
        <v>0</v>
      </c>
      <c r="AB22" s="503"/>
      <c r="AC22" s="537"/>
      <c r="AD22" s="538"/>
      <c r="AE22" s="513"/>
      <c r="AF22" s="514"/>
      <c r="AG22" s="520" t="s">
        <v>32</v>
      </c>
      <c r="AH22" s="24" t="s">
        <v>49</v>
      </c>
      <c r="AI22" s="503">
        <f>VLOOKUP(AG1,급여대장!$A$6:$AD$10,13,0)</f>
        <v>0</v>
      </c>
      <c r="AJ22" s="503"/>
      <c r="AK22" s="537"/>
      <c r="AL22" s="538"/>
      <c r="AM22" s="513"/>
      <c r="AN22" s="514"/>
      <c r="AO22" s="520" t="s">
        <v>32</v>
      </c>
      <c r="AP22" s="24" t="s">
        <v>49</v>
      </c>
      <c r="AQ22" s="503">
        <f>VLOOKUP(AO1,급여대장!$A$6:$AD$11,13,0)</f>
        <v>0</v>
      </c>
      <c r="AR22" s="503"/>
      <c r="AS22" s="537"/>
      <c r="AT22" s="538"/>
      <c r="AU22" s="513"/>
      <c r="AV22" s="514"/>
      <c r="AW22" s="520" t="s">
        <v>32</v>
      </c>
      <c r="AX22" s="24" t="s">
        <v>49</v>
      </c>
      <c r="AY22" s="503">
        <f>VLOOKUP(AW1,급여대장!$A$6:$AD$12,13,0)</f>
        <v>0</v>
      </c>
      <c r="AZ22" s="503"/>
      <c r="BA22" s="537"/>
      <c r="BB22" s="538"/>
      <c r="BC22" s="513"/>
      <c r="BD22" s="514"/>
    </row>
    <row r="23" spans="1:56" ht="22.5" customHeight="1">
      <c r="A23" s="521"/>
      <c r="B23" s="24"/>
      <c r="C23" s="513"/>
      <c r="D23" s="527"/>
      <c r="E23" s="523"/>
      <c r="F23" s="524"/>
      <c r="G23" s="562"/>
      <c r="H23" s="563"/>
      <c r="I23" s="521"/>
      <c r="J23" s="24"/>
      <c r="K23" s="513"/>
      <c r="L23" s="527"/>
      <c r="M23" s="523"/>
      <c r="N23" s="524"/>
      <c r="O23" s="513"/>
      <c r="P23" s="514"/>
      <c r="Q23" s="521"/>
      <c r="R23" s="24"/>
      <c r="S23" s="513"/>
      <c r="T23" s="527"/>
      <c r="U23" s="523"/>
      <c r="V23" s="524"/>
      <c r="W23" s="513"/>
      <c r="X23" s="514"/>
      <c r="Y23" s="521"/>
      <c r="Z23" s="24"/>
      <c r="AA23" s="513"/>
      <c r="AB23" s="527"/>
      <c r="AC23" s="537"/>
      <c r="AD23" s="538"/>
      <c r="AE23" s="513"/>
      <c r="AF23" s="514"/>
      <c r="AG23" s="521"/>
      <c r="AH23" s="24"/>
      <c r="AI23" s="513"/>
      <c r="AJ23" s="527"/>
      <c r="AK23" s="537"/>
      <c r="AL23" s="538"/>
      <c r="AM23" s="513"/>
      <c r="AN23" s="514"/>
      <c r="AO23" s="521"/>
      <c r="AP23" s="24"/>
      <c r="AQ23" s="513"/>
      <c r="AR23" s="527"/>
      <c r="AS23" s="537"/>
      <c r="AT23" s="538"/>
      <c r="AU23" s="513"/>
      <c r="AV23" s="514"/>
      <c r="AW23" s="521"/>
      <c r="AX23" s="24"/>
      <c r="AY23" s="513"/>
      <c r="AZ23" s="527"/>
      <c r="BA23" s="537"/>
      <c r="BB23" s="538"/>
      <c r="BC23" s="513"/>
      <c r="BD23" s="514"/>
    </row>
    <row r="24" spans="1:56" ht="22.5" customHeight="1">
      <c r="A24" s="522"/>
      <c r="B24" s="24"/>
      <c r="C24" s="513"/>
      <c r="D24" s="527"/>
      <c r="E24" s="523"/>
      <c r="F24" s="524"/>
      <c r="G24" s="513"/>
      <c r="H24" s="514"/>
      <c r="I24" s="522"/>
      <c r="J24" s="24"/>
      <c r="K24" s="513"/>
      <c r="L24" s="527"/>
      <c r="M24" s="523"/>
      <c r="N24" s="524"/>
      <c r="O24" s="513"/>
      <c r="P24" s="514"/>
      <c r="Q24" s="522"/>
      <c r="R24" s="24"/>
      <c r="S24" s="513"/>
      <c r="T24" s="527"/>
      <c r="U24" s="523"/>
      <c r="V24" s="524"/>
      <c r="W24" s="513"/>
      <c r="X24" s="514"/>
      <c r="Y24" s="522"/>
      <c r="Z24" s="24"/>
      <c r="AA24" s="513"/>
      <c r="AB24" s="527"/>
      <c r="AC24" s="537"/>
      <c r="AD24" s="538"/>
      <c r="AE24" s="513"/>
      <c r="AF24" s="514"/>
      <c r="AG24" s="522"/>
      <c r="AH24" s="24"/>
      <c r="AI24" s="513"/>
      <c r="AJ24" s="527"/>
      <c r="AK24" s="537"/>
      <c r="AL24" s="538"/>
      <c r="AM24" s="513"/>
      <c r="AN24" s="514"/>
      <c r="AO24" s="522"/>
      <c r="AP24" s="24"/>
      <c r="AQ24" s="513"/>
      <c r="AR24" s="527"/>
      <c r="AS24" s="537"/>
      <c r="AT24" s="538"/>
      <c r="AU24" s="513"/>
      <c r="AV24" s="514"/>
      <c r="AW24" s="522"/>
      <c r="AX24" s="24"/>
      <c r="AY24" s="513"/>
      <c r="AZ24" s="527"/>
      <c r="BA24" s="537"/>
      <c r="BB24" s="538"/>
      <c r="BC24" s="513"/>
      <c r="BD24" s="514"/>
    </row>
    <row r="25" spans="1:56" ht="22.5" customHeight="1">
      <c r="A25" s="530" t="s">
        <v>80</v>
      </c>
      <c r="B25" s="531"/>
      <c r="C25" s="528">
        <f>SUM(C12:D24)</f>
        <v>6875000</v>
      </c>
      <c r="D25" s="528"/>
      <c r="E25" s="532" t="s">
        <v>81</v>
      </c>
      <c r="F25" s="533"/>
      <c r="G25" s="528">
        <f>SUM(G12:H24)</f>
        <v>1200900</v>
      </c>
      <c r="H25" s="529"/>
      <c r="I25" s="561" t="s">
        <v>80</v>
      </c>
      <c r="J25" s="550"/>
      <c r="K25" s="528">
        <f>SUM(K12:L24)</f>
        <v>6890000</v>
      </c>
      <c r="L25" s="528"/>
      <c r="M25" s="532" t="s">
        <v>81</v>
      </c>
      <c r="N25" s="533"/>
      <c r="O25" s="528">
        <f>SUM(O12:P24)</f>
        <v>1305740</v>
      </c>
      <c r="P25" s="529"/>
      <c r="Q25" s="530" t="s">
        <v>80</v>
      </c>
      <c r="R25" s="531"/>
      <c r="S25" s="528">
        <f>SUM(S12:T24)</f>
        <v>3933340</v>
      </c>
      <c r="T25" s="528"/>
      <c r="U25" s="532" t="s">
        <v>81</v>
      </c>
      <c r="V25" s="533"/>
      <c r="W25" s="528">
        <f ca="1">SUM(W12:X19)</f>
        <v>502910</v>
      </c>
      <c r="X25" s="529"/>
      <c r="Y25" s="530" t="s">
        <v>80</v>
      </c>
      <c r="Z25" s="531"/>
      <c r="AA25" s="528">
        <f>SUM(AA12:AB24)</f>
        <v>643402</v>
      </c>
      <c r="AB25" s="528"/>
      <c r="AC25" s="532" t="s">
        <v>81</v>
      </c>
      <c r="AD25" s="533"/>
      <c r="AE25" s="528">
        <f>SUM(AE12:AF24)</f>
        <v>0</v>
      </c>
      <c r="AF25" s="529"/>
      <c r="AG25" s="530" t="s">
        <v>80</v>
      </c>
      <c r="AH25" s="531"/>
      <c r="AI25" s="528">
        <f>SUM(AI12:AJ24)</f>
        <v>0</v>
      </c>
      <c r="AJ25" s="528"/>
      <c r="AK25" s="532" t="s">
        <v>81</v>
      </c>
      <c r="AL25" s="533"/>
      <c r="AM25" s="528">
        <f ca="1">SUM(AM12:AN24)</f>
        <v>0</v>
      </c>
      <c r="AN25" s="529"/>
      <c r="AO25" s="530" t="s">
        <v>80</v>
      </c>
      <c r="AP25" s="531"/>
      <c r="AQ25" s="528">
        <f>SUM(AQ12:AR24)</f>
        <v>0</v>
      </c>
      <c r="AR25" s="528"/>
      <c r="AS25" s="532" t="s">
        <v>81</v>
      </c>
      <c r="AT25" s="533"/>
      <c r="AU25" s="528">
        <f ca="1">SUM(AU12:AV24)</f>
        <v>0</v>
      </c>
      <c r="AV25" s="529"/>
      <c r="AW25" s="530" t="s">
        <v>80</v>
      </c>
      <c r="AX25" s="531"/>
      <c r="AY25" s="528">
        <f>SUM(AY12:AZ24)</f>
        <v>0</v>
      </c>
      <c r="AZ25" s="528"/>
      <c r="BA25" s="532" t="s">
        <v>81</v>
      </c>
      <c r="BB25" s="533"/>
      <c r="BC25" s="528">
        <f ca="1">SUM(BC12:BD24)</f>
        <v>0</v>
      </c>
      <c r="BD25" s="529"/>
    </row>
    <row r="26" spans="1:56" ht="22.5" customHeight="1">
      <c r="A26" s="559"/>
      <c r="B26" s="560"/>
      <c r="C26" s="26"/>
      <c r="D26" s="26"/>
      <c r="E26" s="532" t="s">
        <v>35</v>
      </c>
      <c r="F26" s="533"/>
      <c r="G26" s="528">
        <f>C25-G25</f>
        <v>5674100</v>
      </c>
      <c r="H26" s="529"/>
      <c r="I26" s="507"/>
      <c r="J26" s="508"/>
      <c r="K26" s="10"/>
      <c r="L26" s="10"/>
      <c r="M26" s="509" t="s">
        <v>35</v>
      </c>
      <c r="N26" s="510"/>
      <c r="O26" s="528">
        <f>K25-O25</f>
        <v>5584260</v>
      </c>
      <c r="P26" s="529"/>
      <c r="Q26" s="507"/>
      <c r="R26" s="508"/>
      <c r="S26" s="10"/>
      <c r="T26" s="10"/>
      <c r="U26" s="509" t="s">
        <v>35</v>
      </c>
      <c r="V26" s="510"/>
      <c r="W26" s="528">
        <f ca="1">S25-W25</f>
        <v>3430430</v>
      </c>
      <c r="X26" s="529"/>
      <c r="Y26" s="507"/>
      <c r="Z26" s="508"/>
      <c r="AA26" s="10"/>
      <c r="AB26" s="10"/>
      <c r="AC26" s="509" t="s">
        <v>35</v>
      </c>
      <c r="AD26" s="510"/>
      <c r="AE26" s="528">
        <f>AA25-AE25</f>
        <v>643402</v>
      </c>
      <c r="AF26" s="529"/>
      <c r="AG26" s="507"/>
      <c r="AH26" s="508"/>
      <c r="AI26" s="10"/>
      <c r="AJ26" s="10"/>
      <c r="AK26" s="509" t="s">
        <v>35</v>
      </c>
      <c r="AL26" s="510"/>
      <c r="AM26" s="528">
        <f ca="1">AI25-AM25</f>
        <v>0</v>
      </c>
      <c r="AN26" s="529"/>
      <c r="AO26" s="507"/>
      <c r="AP26" s="508"/>
      <c r="AQ26" s="10"/>
      <c r="AR26" s="10"/>
      <c r="AS26" s="509" t="s">
        <v>35</v>
      </c>
      <c r="AT26" s="510"/>
      <c r="AU26" s="528">
        <f ca="1">AQ25-AU25</f>
        <v>0</v>
      </c>
      <c r="AV26" s="529"/>
      <c r="AW26" s="507"/>
      <c r="AX26" s="508"/>
      <c r="AY26" s="10"/>
      <c r="AZ26" s="10"/>
      <c r="BA26" s="509" t="s">
        <v>35</v>
      </c>
      <c r="BB26" s="510"/>
      <c r="BC26" s="528">
        <f ca="1">AY25-BC25</f>
        <v>0</v>
      </c>
      <c r="BD26" s="529"/>
    </row>
    <row r="27" spans="1:56" ht="22.5" customHeight="1">
      <c r="A27" s="534" t="s">
        <v>83</v>
      </c>
      <c r="B27" s="505"/>
      <c r="C27" s="505"/>
      <c r="D27" s="505"/>
      <c r="E27" s="505"/>
      <c r="F27" s="505"/>
      <c r="G27" s="505"/>
      <c r="H27" s="506"/>
      <c r="I27" s="534" t="s">
        <v>83</v>
      </c>
      <c r="J27" s="505"/>
      <c r="K27" s="505"/>
      <c r="L27" s="505"/>
      <c r="M27" s="505"/>
      <c r="N27" s="505"/>
      <c r="O27" s="505"/>
      <c r="P27" s="506"/>
      <c r="Q27" s="534" t="s">
        <v>83</v>
      </c>
      <c r="R27" s="505"/>
      <c r="S27" s="505"/>
      <c r="T27" s="505"/>
      <c r="U27" s="505"/>
      <c r="V27" s="505"/>
      <c r="W27" s="505"/>
      <c r="X27" s="506"/>
      <c r="Y27" s="534" t="s">
        <v>83</v>
      </c>
      <c r="Z27" s="505"/>
      <c r="AA27" s="505"/>
      <c r="AB27" s="505"/>
      <c r="AC27" s="505"/>
      <c r="AD27" s="505"/>
      <c r="AE27" s="505"/>
      <c r="AF27" s="506"/>
      <c r="AG27" s="534" t="s">
        <v>83</v>
      </c>
      <c r="AH27" s="505"/>
      <c r="AI27" s="505"/>
      <c r="AJ27" s="505"/>
      <c r="AK27" s="505"/>
      <c r="AL27" s="505"/>
      <c r="AM27" s="505"/>
      <c r="AN27" s="506"/>
      <c r="AO27" s="534" t="s">
        <v>83</v>
      </c>
      <c r="AP27" s="505"/>
      <c r="AQ27" s="505"/>
      <c r="AR27" s="505"/>
      <c r="AS27" s="505"/>
      <c r="AT27" s="505"/>
      <c r="AU27" s="505"/>
      <c r="AV27" s="506"/>
      <c r="AW27" s="534" t="s">
        <v>83</v>
      </c>
      <c r="AX27" s="505"/>
      <c r="AY27" s="505"/>
      <c r="AZ27" s="505"/>
      <c r="BA27" s="505"/>
      <c r="BB27" s="505"/>
      <c r="BC27" s="505"/>
      <c r="BD27" s="506"/>
    </row>
    <row r="28" spans="1:56" ht="22.5" customHeight="1">
      <c r="A28" s="501" t="s">
        <v>37</v>
      </c>
      <c r="B28" s="502"/>
      <c r="C28" s="505" t="s">
        <v>38</v>
      </c>
      <c r="D28" s="505"/>
      <c r="E28" s="505"/>
      <c r="F28" s="505"/>
      <c r="G28" s="505" t="s">
        <v>39</v>
      </c>
      <c r="H28" s="506"/>
      <c r="I28" s="501" t="s">
        <v>37</v>
      </c>
      <c r="J28" s="502"/>
      <c r="K28" s="505" t="s">
        <v>38</v>
      </c>
      <c r="L28" s="505"/>
      <c r="M28" s="505"/>
      <c r="N28" s="505"/>
      <c r="O28" s="505" t="s">
        <v>39</v>
      </c>
      <c r="P28" s="506"/>
      <c r="Q28" s="501" t="s">
        <v>37</v>
      </c>
      <c r="R28" s="502"/>
      <c r="S28" s="505" t="s">
        <v>38</v>
      </c>
      <c r="T28" s="505"/>
      <c r="U28" s="505"/>
      <c r="V28" s="505"/>
      <c r="W28" s="505" t="s">
        <v>39</v>
      </c>
      <c r="X28" s="506"/>
      <c r="Y28" s="501" t="s">
        <v>37</v>
      </c>
      <c r="Z28" s="502"/>
      <c r="AA28" s="505" t="s">
        <v>38</v>
      </c>
      <c r="AB28" s="505"/>
      <c r="AC28" s="505"/>
      <c r="AD28" s="505"/>
      <c r="AE28" s="505" t="s">
        <v>39</v>
      </c>
      <c r="AF28" s="506"/>
      <c r="AG28" s="501" t="s">
        <v>37</v>
      </c>
      <c r="AH28" s="502"/>
      <c r="AI28" s="505" t="s">
        <v>38</v>
      </c>
      <c r="AJ28" s="505"/>
      <c r="AK28" s="505"/>
      <c r="AL28" s="505"/>
      <c r="AM28" s="505" t="s">
        <v>39</v>
      </c>
      <c r="AN28" s="506"/>
      <c r="AO28" s="501" t="s">
        <v>37</v>
      </c>
      <c r="AP28" s="502"/>
      <c r="AQ28" s="505" t="s">
        <v>38</v>
      </c>
      <c r="AR28" s="505"/>
      <c r="AS28" s="505"/>
      <c r="AT28" s="505"/>
      <c r="AU28" s="505" t="s">
        <v>39</v>
      </c>
      <c r="AV28" s="506"/>
      <c r="AW28" s="501" t="s">
        <v>37</v>
      </c>
      <c r="AX28" s="502"/>
      <c r="AY28" s="505" t="s">
        <v>38</v>
      </c>
      <c r="AZ28" s="505"/>
      <c r="BA28" s="505"/>
      <c r="BB28" s="505"/>
      <c r="BC28" s="505" t="s">
        <v>39</v>
      </c>
      <c r="BD28" s="506"/>
    </row>
    <row r="29" spans="1:56" ht="22.5" customHeight="1">
      <c r="A29" s="501" t="s">
        <v>65</v>
      </c>
      <c r="B29" s="502"/>
      <c r="C29" s="511" t="s">
        <v>340</v>
      </c>
      <c r="D29" s="499"/>
      <c r="E29" s="499"/>
      <c r="F29" s="512"/>
      <c r="G29" s="503">
        <f>C12</f>
        <v>6475000</v>
      </c>
      <c r="H29" s="504"/>
      <c r="I29" s="501" t="s">
        <v>72</v>
      </c>
      <c r="J29" s="502"/>
      <c r="K29" s="511" t="s">
        <v>340</v>
      </c>
      <c r="L29" s="499"/>
      <c r="M29" s="499"/>
      <c r="N29" s="512"/>
      <c r="O29" s="503">
        <f>K12</f>
        <v>6875000</v>
      </c>
      <c r="P29" s="504"/>
      <c r="Q29" s="501" t="s">
        <v>72</v>
      </c>
      <c r="R29" s="502"/>
      <c r="S29" s="511" t="s">
        <v>340</v>
      </c>
      <c r="T29" s="499"/>
      <c r="U29" s="499"/>
      <c r="V29" s="512"/>
      <c r="W29" s="503">
        <f>S12</f>
        <v>2834021.2585347849</v>
      </c>
      <c r="X29" s="504"/>
      <c r="Y29" s="501" t="s">
        <v>72</v>
      </c>
      <c r="Z29" s="502"/>
      <c r="AA29" s="511" t="s">
        <v>385</v>
      </c>
      <c r="AB29" s="499"/>
      <c r="AC29" s="499"/>
      <c r="AD29" s="512"/>
      <c r="AE29" s="503">
        <f>AA12</f>
        <v>505001</v>
      </c>
      <c r="AF29" s="504"/>
      <c r="AG29" s="501" t="s">
        <v>72</v>
      </c>
      <c r="AH29" s="502"/>
      <c r="AI29" s="511" t="s">
        <v>340</v>
      </c>
      <c r="AJ29" s="499"/>
      <c r="AK29" s="499"/>
      <c r="AL29" s="512"/>
      <c r="AM29" s="503" t="str">
        <f>AI12</f>
        <v/>
      </c>
      <c r="AN29" s="504"/>
      <c r="AO29" s="501" t="s">
        <v>72</v>
      </c>
      <c r="AP29" s="502"/>
      <c r="AQ29" s="511" t="s">
        <v>378</v>
      </c>
      <c r="AR29" s="499"/>
      <c r="AS29" s="499"/>
      <c r="AT29" s="512"/>
      <c r="AU29" s="503">
        <f>AQ12</f>
        <v>0</v>
      </c>
      <c r="AV29" s="504"/>
      <c r="AW29" s="501" t="s">
        <v>72</v>
      </c>
      <c r="AX29" s="502"/>
      <c r="AY29" s="511" t="s">
        <v>340</v>
      </c>
      <c r="AZ29" s="499"/>
      <c r="BA29" s="499"/>
      <c r="BB29" s="512"/>
      <c r="BC29" s="503" t="str">
        <f>AY12</f>
        <v/>
      </c>
      <c r="BD29" s="504"/>
    </row>
    <row r="30" spans="1:56" ht="22.5" customHeight="1">
      <c r="A30" s="501" t="s">
        <v>255</v>
      </c>
      <c r="B30" s="502"/>
      <c r="C30" s="535" t="s">
        <v>254</v>
      </c>
      <c r="D30" s="536"/>
      <c r="E30" s="7">
        <f>VLOOKUP(A1,'[15]포괄 급여계산'!$A$3:$AG$42,18,0)</f>
        <v>0</v>
      </c>
      <c r="F30" s="145" t="s">
        <v>281</v>
      </c>
      <c r="G30" s="503">
        <f>C15</f>
        <v>0</v>
      </c>
      <c r="H30" s="504"/>
      <c r="I30" s="501" t="s">
        <v>255</v>
      </c>
      <c r="J30" s="502"/>
      <c r="K30" s="535" t="s">
        <v>254</v>
      </c>
      <c r="L30" s="536"/>
      <c r="M30" s="7">
        <f>VLOOKUP(I1,'포괄 급여계산'!$A$3:$AG$12,18,0)</f>
        <v>0</v>
      </c>
      <c r="N30" s="145" t="s">
        <v>281</v>
      </c>
      <c r="O30" s="503">
        <f>K15</f>
        <v>0</v>
      </c>
      <c r="P30" s="504"/>
      <c r="Q30" s="501" t="s">
        <v>255</v>
      </c>
      <c r="R30" s="502"/>
      <c r="S30" s="535" t="s">
        <v>254</v>
      </c>
      <c r="T30" s="536"/>
      <c r="U30" s="7">
        <f>VLOOKUP(Q1,'포괄 급여계산'!$A$3:$AG$12,18,0)</f>
        <v>61.949999999999996</v>
      </c>
      <c r="V30" s="145" t="s">
        <v>281</v>
      </c>
      <c r="W30" s="503">
        <f>S15</f>
        <v>899318.74146521499</v>
      </c>
      <c r="X30" s="504"/>
      <c r="Y30" s="501" t="s">
        <v>255</v>
      </c>
      <c r="Z30" s="502"/>
      <c r="AA30" s="511" t="s">
        <v>385</v>
      </c>
      <c r="AB30" s="499"/>
      <c r="AC30" s="499"/>
      <c r="AD30" s="512"/>
      <c r="AE30" s="503">
        <f>AA15</f>
        <v>86788</v>
      </c>
      <c r="AF30" s="504"/>
      <c r="AG30" s="501" t="s">
        <v>255</v>
      </c>
      <c r="AH30" s="502"/>
      <c r="AI30" s="535" t="s">
        <v>254</v>
      </c>
      <c r="AJ30" s="536"/>
      <c r="AK30" s="7" t="str">
        <f>VLOOKUP(AG1,'포괄 급여계산'!$A$3:$AG$12,18,0)</f>
        <v/>
      </c>
      <c r="AL30" s="145" t="s">
        <v>281</v>
      </c>
      <c r="AM30" s="503" t="str">
        <f>AI15</f>
        <v/>
      </c>
      <c r="AN30" s="504"/>
      <c r="AO30" s="501" t="s">
        <v>255</v>
      </c>
      <c r="AP30" s="502"/>
      <c r="AQ30" s="511" t="s">
        <v>378</v>
      </c>
      <c r="AR30" s="499"/>
      <c r="AS30" s="499"/>
      <c r="AT30" s="512"/>
      <c r="AU30" s="503">
        <f>AQ15</f>
        <v>0</v>
      </c>
      <c r="AV30" s="504"/>
      <c r="AW30" s="501" t="s">
        <v>255</v>
      </c>
      <c r="AX30" s="502"/>
      <c r="AY30" s="535" t="s">
        <v>254</v>
      </c>
      <c r="AZ30" s="536"/>
      <c r="BA30" s="7" t="str">
        <f>VLOOKUP(AW1,'포괄 급여계산'!$A$3:$AG$12,18,0)</f>
        <v/>
      </c>
      <c r="BB30" s="145" t="s">
        <v>281</v>
      </c>
      <c r="BC30" s="503" t="str">
        <f>AY15</f>
        <v/>
      </c>
      <c r="BD30" s="504"/>
    </row>
    <row r="31" spans="1:56" ht="22.5" customHeight="1">
      <c r="A31" s="501" t="s">
        <v>321</v>
      </c>
      <c r="B31" s="502"/>
      <c r="C31" s="535" t="s">
        <v>254</v>
      </c>
      <c r="D31" s="536"/>
      <c r="E31" s="7">
        <f>VLOOKUP(A1,'[15]포괄 급여계산'!$A$3:$AG$42,19,0)</f>
        <v>0</v>
      </c>
      <c r="F31" s="145" t="s">
        <v>281</v>
      </c>
      <c r="G31" s="503">
        <f>C16</f>
        <v>0</v>
      </c>
      <c r="H31" s="504"/>
      <c r="I31" s="501" t="s">
        <v>321</v>
      </c>
      <c r="J31" s="502"/>
      <c r="K31" s="535" t="s">
        <v>254</v>
      </c>
      <c r="L31" s="536"/>
      <c r="M31" s="7">
        <f>VLOOKUP(I1,'포괄 급여계산'!$A$3:$AG$12,19,0)</f>
        <v>0</v>
      </c>
      <c r="N31" s="145" t="s">
        <v>281</v>
      </c>
      <c r="O31" s="503">
        <f>K16</f>
        <v>0</v>
      </c>
      <c r="P31" s="504"/>
      <c r="Q31" s="501" t="s">
        <v>321</v>
      </c>
      <c r="R31" s="502"/>
      <c r="S31" s="535" t="s">
        <v>254</v>
      </c>
      <c r="T31" s="536"/>
      <c r="U31" s="7">
        <f>VLOOKUP(Q1,'포괄 급여계산'!$A$3:$AG$12,19,0)</f>
        <v>0</v>
      </c>
      <c r="V31" s="145" t="s">
        <v>281</v>
      </c>
      <c r="W31" s="503">
        <f>S16</f>
        <v>0</v>
      </c>
      <c r="X31" s="504"/>
      <c r="Y31" s="501" t="s">
        <v>321</v>
      </c>
      <c r="Z31" s="502"/>
      <c r="AA31" s="535" t="s">
        <v>254</v>
      </c>
      <c r="AB31" s="536"/>
      <c r="AC31" s="7">
        <f>VLOOKUP(Y1,'포괄 급여계산'!$A$3:$AG$12,19,0)</f>
        <v>0</v>
      </c>
      <c r="AD31" s="145" t="s">
        <v>281</v>
      </c>
      <c r="AE31" s="503">
        <f>AA16</f>
        <v>0</v>
      </c>
      <c r="AF31" s="504"/>
      <c r="AG31" s="501" t="s">
        <v>321</v>
      </c>
      <c r="AH31" s="502"/>
      <c r="AI31" s="535" t="s">
        <v>254</v>
      </c>
      <c r="AJ31" s="536"/>
      <c r="AK31" s="7">
        <f>VLOOKUP(AG1,'포괄 급여계산'!$A$3:$AG$12,19,0)</f>
        <v>0</v>
      </c>
      <c r="AL31" s="145" t="s">
        <v>281</v>
      </c>
      <c r="AM31" s="503" t="str">
        <f>AI16</f>
        <v/>
      </c>
      <c r="AN31" s="504"/>
      <c r="AO31" s="501" t="s">
        <v>321</v>
      </c>
      <c r="AP31" s="502"/>
      <c r="AQ31" s="535" t="s">
        <v>254</v>
      </c>
      <c r="AR31" s="536"/>
      <c r="AS31" s="7">
        <f>VLOOKUP(AO1,'포괄 급여계산'!$A$3:$AG$12,19,0)</f>
        <v>0</v>
      </c>
      <c r="AT31" s="145" t="s">
        <v>281</v>
      </c>
      <c r="AU31" s="503" t="str">
        <f>AQ16</f>
        <v/>
      </c>
      <c r="AV31" s="504"/>
      <c r="AW31" s="501" t="s">
        <v>321</v>
      </c>
      <c r="AX31" s="502"/>
      <c r="AY31" s="535" t="s">
        <v>254</v>
      </c>
      <c r="AZ31" s="536"/>
      <c r="BA31" s="7">
        <f>VLOOKUP(AW1,'포괄 급여계산'!$A$3:$AG$12,19,0)</f>
        <v>0</v>
      </c>
      <c r="BB31" s="145" t="s">
        <v>281</v>
      </c>
      <c r="BC31" s="503" t="str">
        <f>AY16</f>
        <v/>
      </c>
      <c r="BD31" s="504"/>
    </row>
    <row r="32" spans="1:56" ht="22.5" customHeight="1">
      <c r="A32" s="564"/>
      <c r="B32" s="512"/>
      <c r="C32" s="535"/>
      <c r="D32" s="536"/>
      <c r="E32" s="7"/>
      <c r="F32" s="145"/>
      <c r="G32" s="513"/>
      <c r="H32" s="565"/>
      <c r="I32" s="564"/>
      <c r="J32" s="512"/>
      <c r="K32" s="535"/>
      <c r="L32" s="536"/>
      <c r="M32" s="7"/>
      <c r="N32" s="145"/>
      <c r="O32" s="513"/>
      <c r="P32" s="565"/>
      <c r="Q32" s="564"/>
      <c r="R32" s="512"/>
      <c r="S32" s="535"/>
      <c r="T32" s="536"/>
      <c r="U32" s="7"/>
      <c r="V32" s="145"/>
      <c r="W32" s="513"/>
      <c r="X32" s="565"/>
      <c r="Y32" s="564"/>
      <c r="Z32" s="512"/>
      <c r="AA32" s="535"/>
      <c r="AB32" s="536"/>
      <c r="AC32" s="7"/>
      <c r="AD32" s="145"/>
      <c r="AE32" s="513"/>
      <c r="AF32" s="565"/>
      <c r="AG32" s="564"/>
      <c r="AH32" s="512"/>
      <c r="AI32" s="535"/>
      <c r="AJ32" s="536"/>
      <c r="AK32" s="7"/>
      <c r="AL32" s="145"/>
      <c r="AM32" s="513"/>
      <c r="AN32" s="565"/>
      <c r="AO32" s="564"/>
      <c r="AP32" s="512"/>
      <c r="AQ32" s="535"/>
      <c r="AR32" s="536"/>
      <c r="AS32" s="7"/>
      <c r="AT32" s="145"/>
      <c r="AU32" s="513"/>
      <c r="AV32" s="565"/>
      <c r="AW32" s="564"/>
      <c r="AX32" s="512"/>
      <c r="AY32" s="535"/>
      <c r="AZ32" s="536"/>
      <c r="BA32" s="7"/>
      <c r="BB32" s="145"/>
      <c r="BC32" s="513"/>
      <c r="BD32" s="565"/>
    </row>
    <row r="33" spans="1:56" ht="42" customHeight="1">
      <c r="A33" s="498" t="s">
        <v>90</v>
      </c>
      <c r="B33" s="499"/>
      <c r="C33" s="499"/>
      <c r="D33" s="499"/>
      <c r="E33" s="499"/>
      <c r="F33" s="499"/>
      <c r="G33" s="499"/>
      <c r="H33" s="500"/>
      <c r="I33" s="498" t="s">
        <v>90</v>
      </c>
      <c r="J33" s="499"/>
      <c r="K33" s="499"/>
      <c r="L33" s="499"/>
      <c r="M33" s="499"/>
      <c r="N33" s="499"/>
      <c r="O33" s="499"/>
      <c r="P33" s="500"/>
      <c r="Q33" s="498" t="s">
        <v>90</v>
      </c>
      <c r="R33" s="499"/>
      <c r="S33" s="499"/>
      <c r="T33" s="499"/>
      <c r="U33" s="499"/>
      <c r="V33" s="499"/>
      <c r="W33" s="499"/>
      <c r="X33" s="500"/>
      <c r="Y33" s="498" t="s">
        <v>90</v>
      </c>
      <c r="Z33" s="499"/>
      <c r="AA33" s="499"/>
      <c r="AB33" s="499"/>
      <c r="AC33" s="499"/>
      <c r="AD33" s="499"/>
      <c r="AE33" s="499"/>
      <c r="AF33" s="500"/>
      <c r="AG33" s="498" t="s">
        <v>90</v>
      </c>
      <c r="AH33" s="499"/>
      <c r="AI33" s="499"/>
      <c r="AJ33" s="499"/>
      <c r="AK33" s="499"/>
      <c r="AL33" s="499"/>
      <c r="AM33" s="499"/>
      <c r="AN33" s="500"/>
      <c r="AO33" s="498" t="s">
        <v>90</v>
      </c>
      <c r="AP33" s="499"/>
      <c r="AQ33" s="499"/>
      <c r="AR33" s="499"/>
      <c r="AS33" s="499"/>
      <c r="AT33" s="499"/>
      <c r="AU33" s="499"/>
      <c r="AV33" s="500"/>
      <c r="AW33" s="498" t="s">
        <v>90</v>
      </c>
      <c r="AX33" s="499"/>
      <c r="AY33" s="499"/>
      <c r="AZ33" s="499"/>
      <c r="BA33" s="499"/>
      <c r="BB33" s="499"/>
      <c r="BC33" s="499"/>
      <c r="BD33" s="500"/>
    </row>
  </sheetData>
  <mergeCells count="571">
    <mergeCell ref="AY30:AZ30"/>
    <mergeCell ref="AW32:AX32"/>
    <mergeCell ref="AY32:AZ32"/>
    <mergeCell ref="BC32:BD32"/>
    <mergeCell ref="S32:T32"/>
    <mergeCell ref="W32:X32"/>
    <mergeCell ref="Y32:Z32"/>
    <mergeCell ref="AA32:AB32"/>
    <mergeCell ref="AE32:AF32"/>
    <mergeCell ref="AG32:AH32"/>
    <mergeCell ref="AI32:AJ32"/>
    <mergeCell ref="AM32:AN32"/>
    <mergeCell ref="AO32:AP32"/>
    <mergeCell ref="AG30:AH30"/>
    <mergeCell ref="AM30:AN30"/>
    <mergeCell ref="AG31:AH31"/>
    <mergeCell ref="AM31:AN31"/>
    <mergeCell ref="AO31:AP31"/>
    <mergeCell ref="AU31:AV31"/>
    <mergeCell ref="AY31:AZ31"/>
    <mergeCell ref="AA30:AD30"/>
    <mergeCell ref="AS18:AT18"/>
    <mergeCell ref="Q27:X27"/>
    <mergeCell ref="U20:V20"/>
    <mergeCell ref="U21:V21"/>
    <mergeCell ref="W20:X20"/>
    <mergeCell ref="W21:X21"/>
    <mergeCell ref="W24:X24"/>
    <mergeCell ref="Q26:R26"/>
    <mergeCell ref="U26:V26"/>
    <mergeCell ref="W26:X26"/>
    <mergeCell ref="U23:V23"/>
    <mergeCell ref="W23:X23"/>
    <mergeCell ref="S24:T24"/>
    <mergeCell ref="U24:V24"/>
    <mergeCell ref="AO22:AO24"/>
    <mergeCell ref="AQ22:AR22"/>
    <mergeCell ref="AS22:AT22"/>
    <mergeCell ref="AS20:AT20"/>
    <mergeCell ref="AS21:AT21"/>
    <mergeCell ref="AA18:AB18"/>
    <mergeCell ref="AM22:AN22"/>
    <mergeCell ref="AC19:AD19"/>
    <mergeCell ref="AE19:AF19"/>
    <mergeCell ref="AM21:AN21"/>
    <mergeCell ref="AU20:AV20"/>
    <mergeCell ref="AU21:AV21"/>
    <mergeCell ref="AQ23:AR23"/>
    <mergeCell ref="AM20:AN20"/>
    <mergeCell ref="AC21:AD21"/>
    <mergeCell ref="K32:L32"/>
    <mergeCell ref="O32:P32"/>
    <mergeCell ref="Q32:R32"/>
    <mergeCell ref="AE23:AF23"/>
    <mergeCell ref="Q28:R28"/>
    <mergeCell ref="S28:V28"/>
    <mergeCell ref="AQ32:AR32"/>
    <mergeCell ref="AQ30:AT30"/>
    <mergeCell ref="AU32:AV32"/>
    <mergeCell ref="AA31:AB31"/>
    <mergeCell ref="AI30:AJ30"/>
    <mergeCell ref="AQ31:AR31"/>
    <mergeCell ref="AK23:AL23"/>
    <mergeCell ref="AM23:AN23"/>
    <mergeCell ref="AC20:AD20"/>
    <mergeCell ref="AE20:AF20"/>
    <mergeCell ref="AE21:AF21"/>
    <mergeCell ref="AK21:AL21"/>
    <mergeCell ref="W28:X28"/>
    <mergeCell ref="AU11:AV11"/>
    <mergeCell ref="AS7:AT7"/>
    <mergeCell ref="AU7:AV7"/>
    <mergeCell ref="AI18:AJ18"/>
    <mergeCell ref="AM18:AN18"/>
    <mergeCell ref="AI13:AJ13"/>
    <mergeCell ref="AQ15:AR15"/>
    <mergeCell ref="AS15:AT15"/>
    <mergeCell ref="AU15:AV15"/>
    <mergeCell ref="AI7:AJ7"/>
    <mergeCell ref="AK7:AL7"/>
    <mergeCell ref="AM7:AN7"/>
    <mergeCell ref="AQ16:AR16"/>
    <mergeCell ref="AS16:AT16"/>
    <mergeCell ref="AU16:AV16"/>
    <mergeCell ref="AI12:AJ12"/>
    <mergeCell ref="AK12:AL12"/>
    <mergeCell ref="AS17:AT17"/>
    <mergeCell ref="AU17:AV17"/>
    <mergeCell ref="AQ17:AR17"/>
    <mergeCell ref="AQ13:AR13"/>
    <mergeCell ref="AS13:AT13"/>
    <mergeCell ref="AK11:AL11"/>
    <mergeCell ref="AU18:AV18"/>
    <mergeCell ref="AM11:AN11"/>
    <mergeCell ref="AO10:AR10"/>
    <mergeCell ref="AG12:AG19"/>
    <mergeCell ref="AG11:AH11"/>
    <mergeCell ref="AI11:AJ11"/>
    <mergeCell ref="AM16:AN16"/>
    <mergeCell ref="AI19:AJ19"/>
    <mergeCell ref="AM12:AN12"/>
    <mergeCell ref="AK13:AL13"/>
    <mergeCell ref="AI16:AJ16"/>
    <mergeCell ref="AK17:AL17"/>
    <mergeCell ref="AO1:AV1"/>
    <mergeCell ref="AO3:AV3"/>
    <mergeCell ref="AO5:AP5"/>
    <mergeCell ref="AQ5:AV5"/>
    <mergeCell ref="AO6:AP6"/>
    <mergeCell ref="AQ6:AR6"/>
    <mergeCell ref="AS6:AT6"/>
    <mergeCell ref="AU6:AV6"/>
    <mergeCell ref="AK19:AL19"/>
    <mergeCell ref="AM19:AN19"/>
    <mergeCell ref="AM15:AN15"/>
    <mergeCell ref="AG1:AN1"/>
    <mergeCell ref="AG3:AN3"/>
    <mergeCell ref="AG5:AH5"/>
    <mergeCell ref="AI5:AN5"/>
    <mergeCell ref="AG6:AH6"/>
    <mergeCell ref="AI6:AJ6"/>
    <mergeCell ref="AK6:AL6"/>
    <mergeCell ref="AS10:AV10"/>
    <mergeCell ref="AI14:AJ14"/>
    <mergeCell ref="AK14:AL14"/>
    <mergeCell ref="AM14:AN14"/>
    <mergeCell ref="AG10:AJ10"/>
    <mergeCell ref="AS11:AT11"/>
    <mergeCell ref="AM6:AN6"/>
    <mergeCell ref="AK10:AN10"/>
    <mergeCell ref="AK15:AL15"/>
    <mergeCell ref="AK18:AL18"/>
    <mergeCell ref="AK16:AL16"/>
    <mergeCell ref="AO7:AP7"/>
    <mergeCell ref="AQ7:AR7"/>
    <mergeCell ref="AM17:AN17"/>
    <mergeCell ref="AO11:AP11"/>
    <mergeCell ref="AQ11:AR11"/>
    <mergeCell ref="AQ18:AR18"/>
    <mergeCell ref="AO8:AV9"/>
    <mergeCell ref="AS12:AT12"/>
    <mergeCell ref="AU12:AV12"/>
    <mergeCell ref="AM13:AN13"/>
    <mergeCell ref="AS14:AT14"/>
    <mergeCell ref="AU14:AV14"/>
    <mergeCell ref="AO12:AO19"/>
    <mergeCell ref="AQ12:AR12"/>
    <mergeCell ref="AQ19:AR19"/>
    <mergeCell ref="AS19:AT19"/>
    <mergeCell ref="AU19:AV19"/>
    <mergeCell ref="AU13:AV13"/>
    <mergeCell ref="AQ14:AR14"/>
    <mergeCell ref="AC16:AD16"/>
    <mergeCell ref="AC15:AD15"/>
    <mergeCell ref="AE15:AF15"/>
    <mergeCell ref="AE16:AF16"/>
    <mergeCell ref="AI29:AL29"/>
    <mergeCell ref="AG25:AH25"/>
    <mergeCell ref="AK20:AL20"/>
    <mergeCell ref="AI25:AJ25"/>
    <mergeCell ref="AK25:AL25"/>
    <mergeCell ref="AC24:AD24"/>
    <mergeCell ref="AE24:AF24"/>
    <mergeCell ref="AG22:AG24"/>
    <mergeCell ref="AI22:AJ22"/>
    <mergeCell ref="AK22:AL22"/>
    <mergeCell ref="AI24:AJ24"/>
    <mergeCell ref="AK24:AL24"/>
    <mergeCell ref="AI23:AJ23"/>
    <mergeCell ref="AC22:AD22"/>
    <mergeCell ref="AE22:AF22"/>
    <mergeCell ref="AC23:AD23"/>
    <mergeCell ref="Y27:AF27"/>
    <mergeCell ref="Y28:Z28"/>
    <mergeCell ref="AA28:AD28"/>
    <mergeCell ref="AA17:AB17"/>
    <mergeCell ref="AC10:AF10"/>
    <mergeCell ref="Y7:Z7"/>
    <mergeCell ref="Y12:Y19"/>
    <mergeCell ref="AC17:AD17"/>
    <mergeCell ref="AE17:AF17"/>
    <mergeCell ref="AC18:AD18"/>
    <mergeCell ref="AE18:AF18"/>
    <mergeCell ref="AI17:AJ17"/>
    <mergeCell ref="AG7:AH7"/>
    <mergeCell ref="AC13:AD13"/>
    <mergeCell ref="AE13:AF13"/>
    <mergeCell ref="AA14:AB14"/>
    <mergeCell ref="AC14:AD14"/>
    <mergeCell ref="AE14:AF14"/>
    <mergeCell ref="AA11:AB11"/>
    <mergeCell ref="AA12:AB12"/>
    <mergeCell ref="AC12:AD12"/>
    <mergeCell ref="AE12:AF12"/>
    <mergeCell ref="AA13:AB13"/>
    <mergeCell ref="Y11:Z11"/>
    <mergeCell ref="AC11:AD11"/>
    <mergeCell ref="AE11:AF11"/>
    <mergeCell ref="AA19:AB19"/>
    <mergeCell ref="AI15:AJ15"/>
    <mergeCell ref="AC7:AD7"/>
    <mergeCell ref="AE7:AF7"/>
    <mergeCell ref="W12:X12"/>
    <mergeCell ref="S13:T13"/>
    <mergeCell ref="U13:V13"/>
    <mergeCell ref="S14:T14"/>
    <mergeCell ref="U14:V14"/>
    <mergeCell ref="Q1:X1"/>
    <mergeCell ref="Q3:X3"/>
    <mergeCell ref="Q5:R5"/>
    <mergeCell ref="S5:X5"/>
    <mergeCell ref="Q6:R6"/>
    <mergeCell ref="S6:T6"/>
    <mergeCell ref="U6:V6"/>
    <mergeCell ref="W6:X6"/>
    <mergeCell ref="Y1:AF1"/>
    <mergeCell ref="Y3:AF3"/>
    <mergeCell ref="Y5:Z5"/>
    <mergeCell ref="AA5:AF5"/>
    <mergeCell ref="Y6:Z6"/>
    <mergeCell ref="AA6:AB6"/>
    <mergeCell ref="AC6:AD6"/>
    <mergeCell ref="AE6:AF6"/>
    <mergeCell ref="Y10:AB10"/>
    <mergeCell ref="AA15:AB15"/>
    <mergeCell ref="AA16:AB16"/>
    <mergeCell ref="Q25:R25"/>
    <mergeCell ref="S25:T25"/>
    <mergeCell ref="U25:V25"/>
    <mergeCell ref="W25:X25"/>
    <mergeCell ref="S16:T16"/>
    <mergeCell ref="AA7:AB7"/>
    <mergeCell ref="AA24:AB24"/>
    <mergeCell ref="Y22:Y24"/>
    <mergeCell ref="AA22:AB22"/>
    <mergeCell ref="AA23:AB23"/>
    <mergeCell ref="Q7:R7"/>
    <mergeCell ref="S7:T7"/>
    <mergeCell ref="U7:V7"/>
    <mergeCell ref="W7:X7"/>
    <mergeCell ref="S15:T15"/>
    <mergeCell ref="U15:V15"/>
    <mergeCell ref="W15:X15"/>
    <mergeCell ref="Q10:T10"/>
    <mergeCell ref="U10:X10"/>
    <mergeCell ref="Q11:R11"/>
    <mergeCell ref="S11:T11"/>
    <mergeCell ref="U11:V11"/>
    <mergeCell ref="W11:X11"/>
    <mergeCell ref="S19:T19"/>
    <mergeCell ref="U19:V19"/>
    <mergeCell ref="W19:X19"/>
    <mergeCell ref="Q22:Q24"/>
    <mergeCell ref="S22:T22"/>
    <mergeCell ref="U22:V22"/>
    <mergeCell ref="W22:X22"/>
    <mergeCell ref="S23:T23"/>
    <mergeCell ref="Q12:Q19"/>
    <mergeCell ref="S12:T12"/>
    <mergeCell ref="U12:V12"/>
    <mergeCell ref="W18:X18"/>
    <mergeCell ref="S18:T18"/>
    <mergeCell ref="U18:V18"/>
    <mergeCell ref="W13:X13"/>
    <mergeCell ref="W17:X17"/>
    <mergeCell ref="W14:X14"/>
    <mergeCell ref="S17:T17"/>
    <mergeCell ref="U17:V17"/>
    <mergeCell ref="U16:V16"/>
    <mergeCell ref="W16:X16"/>
    <mergeCell ref="Q29:R29"/>
    <mergeCell ref="W29:X29"/>
    <mergeCell ref="Q30:R30"/>
    <mergeCell ref="W30:X30"/>
    <mergeCell ref="Q31:R31"/>
    <mergeCell ref="W31:X31"/>
    <mergeCell ref="S29:V29"/>
    <mergeCell ref="C29:F29"/>
    <mergeCell ref="K29:N29"/>
    <mergeCell ref="I30:J30"/>
    <mergeCell ref="O30:P30"/>
    <mergeCell ref="O31:P31"/>
    <mergeCell ref="C30:D30"/>
    <mergeCell ref="K30:L30"/>
    <mergeCell ref="S30:T30"/>
    <mergeCell ref="S31:T31"/>
    <mergeCell ref="A33:H33"/>
    <mergeCell ref="A27:H27"/>
    <mergeCell ref="I27:P27"/>
    <mergeCell ref="A28:B28"/>
    <mergeCell ref="C28:F28"/>
    <mergeCell ref="G28:H28"/>
    <mergeCell ref="I28:J28"/>
    <mergeCell ref="K28:N28"/>
    <mergeCell ref="O28:P28"/>
    <mergeCell ref="A29:B29"/>
    <mergeCell ref="G29:H29"/>
    <mergeCell ref="I29:J29"/>
    <mergeCell ref="O29:P29"/>
    <mergeCell ref="A30:B30"/>
    <mergeCell ref="G30:H30"/>
    <mergeCell ref="A31:B31"/>
    <mergeCell ref="G31:H31"/>
    <mergeCell ref="I31:J31"/>
    <mergeCell ref="K31:L31"/>
    <mergeCell ref="C31:D31"/>
    <mergeCell ref="A32:B32"/>
    <mergeCell ref="G32:H32"/>
    <mergeCell ref="C32:D32"/>
    <mergeCell ref="I32:J32"/>
    <mergeCell ref="E22:F22"/>
    <mergeCell ref="G22:H22"/>
    <mergeCell ref="I22:I24"/>
    <mergeCell ref="K22:L22"/>
    <mergeCell ref="C24:D24"/>
    <mergeCell ref="E24:F24"/>
    <mergeCell ref="O25:P25"/>
    <mergeCell ref="A22:A24"/>
    <mergeCell ref="C22:D22"/>
    <mergeCell ref="G24:H24"/>
    <mergeCell ref="K24:L24"/>
    <mergeCell ref="M22:N22"/>
    <mergeCell ref="O22:P22"/>
    <mergeCell ref="C23:D23"/>
    <mergeCell ref="E23:F23"/>
    <mergeCell ref="G23:H23"/>
    <mergeCell ref="K23:L23"/>
    <mergeCell ref="M23:N23"/>
    <mergeCell ref="O23:P23"/>
    <mergeCell ref="A26:B26"/>
    <mergeCell ref="E26:F26"/>
    <mergeCell ref="G26:H26"/>
    <mergeCell ref="I26:J26"/>
    <mergeCell ref="M26:N26"/>
    <mergeCell ref="O26:P26"/>
    <mergeCell ref="M24:N24"/>
    <mergeCell ref="O24:P24"/>
    <mergeCell ref="A25:B25"/>
    <mergeCell ref="C25:D25"/>
    <mergeCell ref="E25:F25"/>
    <mergeCell ref="G25:H25"/>
    <mergeCell ref="I25:J25"/>
    <mergeCell ref="K25:L25"/>
    <mergeCell ref="M25:N25"/>
    <mergeCell ref="M20:N20"/>
    <mergeCell ref="M21:N21"/>
    <mergeCell ref="O20:P20"/>
    <mergeCell ref="O21:P21"/>
    <mergeCell ref="G19:H19"/>
    <mergeCell ref="K19:L19"/>
    <mergeCell ref="M19:N19"/>
    <mergeCell ref="O19:P19"/>
    <mergeCell ref="M10:P10"/>
    <mergeCell ref="I11:J11"/>
    <mergeCell ref="K11:L11"/>
    <mergeCell ref="M13:N13"/>
    <mergeCell ref="O13:P13"/>
    <mergeCell ref="M11:N11"/>
    <mergeCell ref="O11:P11"/>
    <mergeCell ref="G11:H11"/>
    <mergeCell ref="O18:P18"/>
    <mergeCell ref="G18:H18"/>
    <mergeCell ref="K18:L18"/>
    <mergeCell ref="M18:N18"/>
    <mergeCell ref="M15:N15"/>
    <mergeCell ref="O15:P15"/>
    <mergeCell ref="M12:N12"/>
    <mergeCell ref="O12:P12"/>
    <mergeCell ref="E13:F13"/>
    <mergeCell ref="G13:H13"/>
    <mergeCell ref="M14:N14"/>
    <mergeCell ref="O14:P14"/>
    <mergeCell ref="K17:L17"/>
    <mergeCell ref="M17:N17"/>
    <mergeCell ref="O17:P17"/>
    <mergeCell ref="M16:N16"/>
    <mergeCell ref="O16:P16"/>
    <mergeCell ref="G14:H14"/>
    <mergeCell ref="K14:L14"/>
    <mergeCell ref="A6:B6"/>
    <mergeCell ref="C6:D6"/>
    <mergeCell ref="E6:F6"/>
    <mergeCell ref="G6:H6"/>
    <mergeCell ref="I6:J6"/>
    <mergeCell ref="K6:L6"/>
    <mergeCell ref="K13:L13"/>
    <mergeCell ref="C12:D12"/>
    <mergeCell ref="E12:F12"/>
    <mergeCell ref="G12:H12"/>
    <mergeCell ref="I12:I19"/>
    <mergeCell ref="K12:L12"/>
    <mergeCell ref="G15:H15"/>
    <mergeCell ref="E18:F18"/>
    <mergeCell ref="K15:L15"/>
    <mergeCell ref="C15:D15"/>
    <mergeCell ref="E15:F15"/>
    <mergeCell ref="A11:B11"/>
    <mergeCell ref="C11:D11"/>
    <mergeCell ref="E11:F11"/>
    <mergeCell ref="C17:D17"/>
    <mergeCell ref="E17:F17"/>
    <mergeCell ref="G17:H17"/>
    <mergeCell ref="C13:D13"/>
    <mergeCell ref="AY18:AZ18"/>
    <mergeCell ref="BA18:BB18"/>
    <mergeCell ref="BC18:BD18"/>
    <mergeCell ref="AY17:AZ17"/>
    <mergeCell ref="BA17:BB17"/>
    <mergeCell ref="AY19:AZ19"/>
    <mergeCell ref="A1:H1"/>
    <mergeCell ref="I1:P1"/>
    <mergeCell ref="A3:H3"/>
    <mergeCell ref="I3:P3"/>
    <mergeCell ref="A5:B5"/>
    <mergeCell ref="C5:H5"/>
    <mergeCell ref="I5:J5"/>
    <mergeCell ref="K5:P5"/>
    <mergeCell ref="M6:N6"/>
    <mergeCell ref="O6:P6"/>
    <mergeCell ref="A7:B7"/>
    <mergeCell ref="C7:D7"/>
    <mergeCell ref="E7:F7"/>
    <mergeCell ref="G7:H7"/>
    <mergeCell ref="I7:J7"/>
    <mergeCell ref="K7:L7"/>
    <mergeCell ref="M7:N7"/>
    <mergeCell ref="O7:P7"/>
    <mergeCell ref="BC12:BD12"/>
    <mergeCell ref="AY13:AZ13"/>
    <mergeCell ref="BA13:BB13"/>
    <mergeCell ref="BC13:BD13"/>
    <mergeCell ref="AY14:AZ14"/>
    <mergeCell ref="BA14:BB14"/>
    <mergeCell ref="BC14:BD14"/>
    <mergeCell ref="AY15:AZ15"/>
    <mergeCell ref="BC17:BD17"/>
    <mergeCell ref="BA26:BB26"/>
    <mergeCell ref="BC26:BD26"/>
    <mergeCell ref="BC22:BD22"/>
    <mergeCell ref="AW1:BD1"/>
    <mergeCell ref="AW3:BD3"/>
    <mergeCell ref="AW5:AX5"/>
    <mergeCell ref="AY5:BD5"/>
    <mergeCell ref="AW6:AX6"/>
    <mergeCell ref="AY6:AZ6"/>
    <mergeCell ref="BA6:BB6"/>
    <mergeCell ref="BC6:BD6"/>
    <mergeCell ref="AW7:AX7"/>
    <mergeCell ref="AY7:AZ7"/>
    <mergeCell ref="BA7:BB7"/>
    <mergeCell ref="BC7:BD7"/>
    <mergeCell ref="AW10:AZ10"/>
    <mergeCell ref="BA10:BD10"/>
    <mergeCell ref="AW11:AX11"/>
    <mergeCell ref="AY11:AZ11"/>
    <mergeCell ref="BA11:BB11"/>
    <mergeCell ref="BC11:BD11"/>
    <mergeCell ref="AW12:AW19"/>
    <mergeCell ref="AY12:AZ12"/>
    <mergeCell ref="BA12:BB12"/>
    <mergeCell ref="AQ28:AT28"/>
    <mergeCell ref="AU28:AV28"/>
    <mergeCell ref="AU29:AV29"/>
    <mergeCell ref="AO25:AP25"/>
    <mergeCell ref="BC28:BD28"/>
    <mergeCell ref="AW25:AX25"/>
    <mergeCell ref="BA19:BB19"/>
    <mergeCell ref="BC19:BD19"/>
    <mergeCell ref="BA15:BB15"/>
    <mergeCell ref="BC15:BD15"/>
    <mergeCell ref="AY16:AZ16"/>
    <mergeCell ref="BA16:BB16"/>
    <mergeCell ref="BC16:BD16"/>
    <mergeCell ref="BC23:BD23"/>
    <mergeCell ref="AY23:AZ23"/>
    <mergeCell ref="BA23:BB23"/>
    <mergeCell ref="AY22:AZ22"/>
    <mergeCell ref="BA22:BB22"/>
    <mergeCell ref="BA20:BB20"/>
    <mergeCell ref="AW27:BD27"/>
    <mergeCell ref="AW28:AX28"/>
    <mergeCell ref="BC24:BD24"/>
    <mergeCell ref="BC25:BD25"/>
    <mergeCell ref="AW26:AX26"/>
    <mergeCell ref="AQ25:AR25"/>
    <mergeCell ref="AS25:AT25"/>
    <mergeCell ref="AI31:AJ31"/>
    <mergeCell ref="AO29:AP29"/>
    <mergeCell ref="AU24:AV24"/>
    <mergeCell ref="AQ24:AR24"/>
    <mergeCell ref="AS24:AT24"/>
    <mergeCell ref="AQ29:AT29"/>
    <mergeCell ref="AY29:BB29"/>
    <mergeCell ref="AO26:AP26"/>
    <mergeCell ref="AS26:AT26"/>
    <mergeCell ref="AU26:AV26"/>
    <mergeCell ref="AW22:AW24"/>
    <mergeCell ref="AY24:AZ24"/>
    <mergeCell ref="BA24:BB24"/>
    <mergeCell ref="AS23:AT23"/>
    <mergeCell ref="AU23:AV23"/>
    <mergeCell ref="AU25:AV25"/>
    <mergeCell ref="AY28:BB28"/>
    <mergeCell ref="AU22:AV22"/>
    <mergeCell ref="AY25:AZ25"/>
    <mergeCell ref="BA25:BB25"/>
    <mergeCell ref="AO27:AV27"/>
    <mergeCell ref="AO28:AP28"/>
    <mergeCell ref="AE26:AF26"/>
    <mergeCell ref="Y25:Z25"/>
    <mergeCell ref="AA25:AB25"/>
    <mergeCell ref="AC25:AD25"/>
    <mergeCell ref="AE25:AF25"/>
    <mergeCell ref="AG29:AH29"/>
    <mergeCell ref="AG27:AN27"/>
    <mergeCell ref="AI28:AL28"/>
    <mergeCell ref="AM28:AN28"/>
    <mergeCell ref="AG28:AH28"/>
    <mergeCell ref="AG26:AH26"/>
    <mergeCell ref="AK26:AL26"/>
    <mergeCell ref="AM26:AN26"/>
    <mergeCell ref="AM29:AN29"/>
    <mergeCell ref="AM25:AN25"/>
    <mergeCell ref="A8:H9"/>
    <mergeCell ref="I8:P9"/>
    <mergeCell ref="Q8:X9"/>
    <mergeCell ref="Y8:AF9"/>
    <mergeCell ref="AG8:AN9"/>
    <mergeCell ref="AA29:AD29"/>
    <mergeCell ref="AM24:AN24"/>
    <mergeCell ref="A10:D10"/>
    <mergeCell ref="E10:H10"/>
    <mergeCell ref="I10:L10"/>
    <mergeCell ref="A12:A21"/>
    <mergeCell ref="E20:F20"/>
    <mergeCell ref="G20:H20"/>
    <mergeCell ref="E21:F21"/>
    <mergeCell ref="G21:H21"/>
    <mergeCell ref="C18:D18"/>
    <mergeCell ref="C16:D16"/>
    <mergeCell ref="E16:F16"/>
    <mergeCell ref="G16:H16"/>
    <mergeCell ref="K16:L16"/>
    <mergeCell ref="C19:D19"/>
    <mergeCell ref="E19:F19"/>
    <mergeCell ref="C14:D14"/>
    <mergeCell ref="E14:F14"/>
    <mergeCell ref="AW8:BD9"/>
    <mergeCell ref="I33:P33"/>
    <mergeCell ref="Q33:X33"/>
    <mergeCell ref="Y33:AF33"/>
    <mergeCell ref="AG33:AN33"/>
    <mergeCell ref="AO33:AV33"/>
    <mergeCell ref="AW33:BD33"/>
    <mergeCell ref="AW29:AX29"/>
    <mergeCell ref="BC29:BD29"/>
    <mergeCell ref="AW30:AX30"/>
    <mergeCell ref="BC30:BD30"/>
    <mergeCell ref="AW31:AX31"/>
    <mergeCell ref="BC31:BD31"/>
    <mergeCell ref="Y29:Z29"/>
    <mergeCell ref="AE29:AF29"/>
    <mergeCell ref="Y30:Z30"/>
    <mergeCell ref="AE30:AF30"/>
    <mergeCell ref="Y31:Z31"/>
    <mergeCell ref="AO30:AP30"/>
    <mergeCell ref="AU30:AV30"/>
    <mergeCell ref="AE31:AF31"/>
    <mergeCell ref="AE28:AF28"/>
    <mergeCell ref="Y26:Z26"/>
    <mergeCell ref="AC26:AD26"/>
  </mergeCells>
  <phoneticPr fontId="4" type="noConversion"/>
  <printOptions horizontalCentered="1" verticalCentered="1"/>
  <pageMargins left="0.70866141732283472" right="0.70866141732283472" top="0.74803149606299213" bottom="0.74803149606299213" header="0.31496062992125984" footer="0.31496062992125984"/>
  <pageSetup paperSize="9" scale="101" orientation="portrait" r:id="rId1"/>
  <colBreaks count="5" manualBreakCount="5">
    <brk id="16" min="2" max="32" man="1"/>
    <brk id="24" min="2" max="32" man="1"/>
    <brk id="32" min="2" max="32" man="1"/>
    <brk id="40" min="2" max="32" man="1"/>
    <brk id="48" min="2" max="31"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AC690-BB62-4A45-A1DA-BB519F818D6D}">
  <sheetPr>
    <tabColor rgb="FF0000FF"/>
    <pageSetUpPr fitToPage="1"/>
  </sheetPr>
  <dimension ref="A1:AC169"/>
  <sheetViews>
    <sheetView view="pageBreakPreview" topLeftCell="A21" zoomScaleNormal="100" zoomScaleSheetLayoutView="100" workbookViewId="0">
      <selection activeCell="M2" sqref="M2"/>
    </sheetView>
  </sheetViews>
  <sheetFormatPr defaultRowHeight="21" customHeight="1"/>
  <cols>
    <col min="1" max="1" width="16.125" style="29" customWidth="1"/>
    <col min="2" max="2" width="18.375" style="29" customWidth="1"/>
    <col min="3" max="3" width="18.625" style="29" customWidth="1"/>
    <col min="4" max="10" width="14.375" style="29" customWidth="1"/>
    <col min="11" max="11" width="9" style="29"/>
    <col min="12" max="12" width="9" style="29" customWidth="1"/>
    <col min="13" max="225" width="9" style="29"/>
    <col min="226" max="226" width="3.25" style="29" customWidth="1"/>
    <col min="227" max="227" width="8.5" style="29" customWidth="1"/>
    <col min="228" max="228" width="20.375" style="29" customWidth="1"/>
    <col min="229" max="229" width="14.125" style="29" customWidth="1"/>
    <col min="230" max="230" width="24.875" style="29" customWidth="1"/>
    <col min="231" max="231" width="14.25" style="29" customWidth="1"/>
    <col min="232" max="241" width="9" style="29"/>
    <col min="242" max="242" width="13.875" style="29" customWidth="1"/>
    <col min="243" max="481" width="9" style="29"/>
    <col min="482" max="482" width="3.25" style="29" customWidth="1"/>
    <col min="483" max="483" width="8.5" style="29" customWidth="1"/>
    <col min="484" max="484" width="20.375" style="29" customWidth="1"/>
    <col min="485" max="485" width="14.125" style="29" customWidth="1"/>
    <col min="486" max="486" width="24.875" style="29" customWidth="1"/>
    <col min="487" max="487" width="14.25" style="29" customWidth="1"/>
    <col min="488" max="497" width="9" style="29"/>
    <col min="498" max="498" width="13.875" style="29" customWidth="1"/>
    <col min="499" max="737" width="9" style="29"/>
    <col min="738" max="738" width="3.25" style="29" customWidth="1"/>
    <col min="739" max="739" width="8.5" style="29" customWidth="1"/>
    <col min="740" max="740" width="20.375" style="29" customWidth="1"/>
    <col min="741" max="741" width="14.125" style="29" customWidth="1"/>
    <col min="742" max="742" width="24.875" style="29" customWidth="1"/>
    <col min="743" max="743" width="14.25" style="29" customWidth="1"/>
    <col min="744" max="753" width="9" style="29"/>
    <col min="754" max="754" width="13.875" style="29" customWidth="1"/>
    <col min="755" max="993" width="9" style="29"/>
    <col min="994" max="994" width="3.25" style="29" customWidth="1"/>
    <col min="995" max="995" width="8.5" style="29" customWidth="1"/>
    <col min="996" max="996" width="20.375" style="29" customWidth="1"/>
    <col min="997" max="997" width="14.125" style="29" customWidth="1"/>
    <col min="998" max="998" width="24.875" style="29" customWidth="1"/>
    <col min="999" max="999" width="14.25" style="29" customWidth="1"/>
    <col min="1000" max="1009" width="9" style="29"/>
    <col min="1010" max="1010" width="13.875" style="29" customWidth="1"/>
    <col min="1011" max="1249" width="9" style="29"/>
    <col min="1250" max="1250" width="3.25" style="29" customWidth="1"/>
    <col min="1251" max="1251" width="8.5" style="29" customWidth="1"/>
    <col min="1252" max="1252" width="20.375" style="29" customWidth="1"/>
    <col min="1253" max="1253" width="14.125" style="29" customWidth="1"/>
    <col min="1254" max="1254" width="24.875" style="29" customWidth="1"/>
    <col min="1255" max="1255" width="14.25" style="29" customWidth="1"/>
    <col min="1256" max="1265" width="9" style="29"/>
    <col min="1266" max="1266" width="13.875" style="29" customWidth="1"/>
    <col min="1267" max="1505" width="9" style="29"/>
    <col min="1506" max="1506" width="3.25" style="29" customWidth="1"/>
    <col min="1507" max="1507" width="8.5" style="29" customWidth="1"/>
    <col min="1508" max="1508" width="20.375" style="29" customWidth="1"/>
    <col min="1509" max="1509" width="14.125" style="29" customWidth="1"/>
    <col min="1510" max="1510" width="24.875" style="29" customWidth="1"/>
    <col min="1511" max="1511" width="14.25" style="29" customWidth="1"/>
    <col min="1512" max="1521" width="9" style="29"/>
    <col min="1522" max="1522" width="13.875" style="29" customWidth="1"/>
    <col min="1523" max="1761" width="9" style="29"/>
    <col min="1762" max="1762" width="3.25" style="29" customWidth="1"/>
    <col min="1763" max="1763" width="8.5" style="29" customWidth="1"/>
    <col min="1764" max="1764" width="20.375" style="29" customWidth="1"/>
    <col min="1765" max="1765" width="14.125" style="29" customWidth="1"/>
    <col min="1766" max="1766" width="24.875" style="29" customWidth="1"/>
    <col min="1767" max="1767" width="14.25" style="29" customWidth="1"/>
    <col min="1768" max="1777" width="9" style="29"/>
    <col min="1778" max="1778" width="13.875" style="29" customWidth="1"/>
    <col min="1779" max="2017" width="9" style="29"/>
    <col min="2018" max="2018" width="3.25" style="29" customWidth="1"/>
    <col min="2019" max="2019" width="8.5" style="29" customWidth="1"/>
    <col min="2020" max="2020" width="20.375" style="29" customWidth="1"/>
    <col min="2021" max="2021" width="14.125" style="29" customWidth="1"/>
    <col min="2022" max="2022" width="24.875" style="29" customWidth="1"/>
    <col min="2023" max="2023" width="14.25" style="29" customWidth="1"/>
    <col min="2024" max="2033" width="9" style="29"/>
    <col min="2034" max="2034" width="13.875" style="29" customWidth="1"/>
    <col min="2035" max="2273" width="9" style="29"/>
    <col min="2274" max="2274" width="3.25" style="29" customWidth="1"/>
    <col min="2275" max="2275" width="8.5" style="29" customWidth="1"/>
    <col min="2276" max="2276" width="20.375" style="29" customWidth="1"/>
    <col min="2277" max="2277" width="14.125" style="29" customWidth="1"/>
    <col min="2278" max="2278" width="24.875" style="29" customWidth="1"/>
    <col min="2279" max="2279" width="14.25" style="29" customWidth="1"/>
    <col min="2280" max="2289" width="9" style="29"/>
    <col min="2290" max="2290" width="13.875" style="29" customWidth="1"/>
    <col min="2291" max="2529" width="9" style="29"/>
    <col min="2530" max="2530" width="3.25" style="29" customWidth="1"/>
    <col min="2531" max="2531" width="8.5" style="29" customWidth="1"/>
    <col min="2532" max="2532" width="20.375" style="29" customWidth="1"/>
    <col min="2533" max="2533" width="14.125" style="29" customWidth="1"/>
    <col min="2534" max="2534" width="24.875" style="29" customWidth="1"/>
    <col min="2535" max="2535" width="14.25" style="29" customWidth="1"/>
    <col min="2536" max="2545" width="9" style="29"/>
    <col min="2546" max="2546" width="13.875" style="29" customWidth="1"/>
    <col min="2547" max="2785" width="9" style="29"/>
    <col min="2786" max="2786" width="3.25" style="29" customWidth="1"/>
    <col min="2787" max="2787" width="8.5" style="29" customWidth="1"/>
    <col min="2788" max="2788" width="20.375" style="29" customWidth="1"/>
    <col min="2789" max="2789" width="14.125" style="29" customWidth="1"/>
    <col min="2790" max="2790" width="24.875" style="29" customWidth="1"/>
    <col min="2791" max="2791" width="14.25" style="29" customWidth="1"/>
    <col min="2792" max="2801" width="9" style="29"/>
    <col min="2802" max="2802" width="13.875" style="29" customWidth="1"/>
    <col min="2803" max="3041" width="9" style="29"/>
    <col min="3042" max="3042" width="3.25" style="29" customWidth="1"/>
    <col min="3043" max="3043" width="8.5" style="29" customWidth="1"/>
    <col min="3044" max="3044" width="20.375" style="29" customWidth="1"/>
    <col min="3045" max="3045" width="14.125" style="29" customWidth="1"/>
    <col min="3046" max="3046" width="24.875" style="29" customWidth="1"/>
    <col min="3047" max="3047" width="14.25" style="29" customWidth="1"/>
    <col min="3048" max="3057" width="9" style="29"/>
    <col min="3058" max="3058" width="13.875" style="29" customWidth="1"/>
    <col min="3059" max="3297" width="9" style="29"/>
    <col min="3298" max="3298" width="3.25" style="29" customWidth="1"/>
    <col min="3299" max="3299" width="8.5" style="29" customWidth="1"/>
    <col min="3300" max="3300" width="20.375" style="29" customWidth="1"/>
    <col min="3301" max="3301" width="14.125" style="29" customWidth="1"/>
    <col min="3302" max="3302" width="24.875" style="29" customWidth="1"/>
    <col min="3303" max="3303" width="14.25" style="29" customWidth="1"/>
    <col min="3304" max="3313" width="9" style="29"/>
    <col min="3314" max="3314" width="13.875" style="29" customWidth="1"/>
    <col min="3315" max="3553" width="9" style="29"/>
    <col min="3554" max="3554" width="3.25" style="29" customWidth="1"/>
    <col min="3555" max="3555" width="8.5" style="29" customWidth="1"/>
    <col min="3556" max="3556" width="20.375" style="29" customWidth="1"/>
    <col min="3557" max="3557" width="14.125" style="29" customWidth="1"/>
    <col min="3558" max="3558" width="24.875" style="29" customWidth="1"/>
    <col min="3559" max="3559" width="14.25" style="29" customWidth="1"/>
    <col min="3560" max="3569" width="9" style="29"/>
    <col min="3570" max="3570" width="13.875" style="29" customWidth="1"/>
    <col min="3571" max="3809" width="9" style="29"/>
    <col min="3810" max="3810" width="3.25" style="29" customWidth="1"/>
    <col min="3811" max="3811" width="8.5" style="29" customWidth="1"/>
    <col min="3812" max="3812" width="20.375" style="29" customWidth="1"/>
    <col min="3813" max="3813" width="14.125" style="29" customWidth="1"/>
    <col min="3814" max="3814" width="24.875" style="29" customWidth="1"/>
    <col min="3815" max="3815" width="14.25" style="29" customWidth="1"/>
    <col min="3816" max="3825" width="9" style="29"/>
    <col min="3826" max="3826" width="13.875" style="29" customWidth="1"/>
    <col min="3827" max="4065" width="9" style="29"/>
    <col min="4066" max="4066" width="3.25" style="29" customWidth="1"/>
    <col min="4067" max="4067" width="8.5" style="29" customWidth="1"/>
    <col min="4068" max="4068" width="20.375" style="29" customWidth="1"/>
    <col min="4069" max="4069" width="14.125" style="29" customWidth="1"/>
    <col min="4070" max="4070" width="24.875" style="29" customWidth="1"/>
    <col min="4071" max="4071" width="14.25" style="29" customWidth="1"/>
    <col min="4072" max="4081" width="9" style="29"/>
    <col min="4082" max="4082" width="13.875" style="29" customWidth="1"/>
    <col min="4083" max="4321" width="9" style="29"/>
    <col min="4322" max="4322" width="3.25" style="29" customWidth="1"/>
    <col min="4323" max="4323" width="8.5" style="29" customWidth="1"/>
    <col min="4324" max="4324" width="20.375" style="29" customWidth="1"/>
    <col min="4325" max="4325" width="14.125" style="29" customWidth="1"/>
    <col min="4326" max="4326" width="24.875" style="29" customWidth="1"/>
    <col min="4327" max="4327" width="14.25" style="29" customWidth="1"/>
    <col min="4328" max="4337" width="9" style="29"/>
    <col min="4338" max="4338" width="13.875" style="29" customWidth="1"/>
    <col min="4339" max="4577" width="9" style="29"/>
    <col min="4578" max="4578" width="3.25" style="29" customWidth="1"/>
    <col min="4579" max="4579" width="8.5" style="29" customWidth="1"/>
    <col min="4580" max="4580" width="20.375" style="29" customWidth="1"/>
    <col min="4581" max="4581" width="14.125" style="29" customWidth="1"/>
    <col min="4582" max="4582" width="24.875" style="29" customWidth="1"/>
    <col min="4583" max="4583" width="14.25" style="29" customWidth="1"/>
    <col min="4584" max="4593" width="9" style="29"/>
    <col min="4594" max="4594" width="13.875" style="29" customWidth="1"/>
    <col min="4595" max="4833" width="9" style="29"/>
    <col min="4834" max="4834" width="3.25" style="29" customWidth="1"/>
    <col min="4835" max="4835" width="8.5" style="29" customWidth="1"/>
    <col min="4836" max="4836" width="20.375" style="29" customWidth="1"/>
    <col min="4837" max="4837" width="14.125" style="29" customWidth="1"/>
    <col min="4838" max="4838" width="24.875" style="29" customWidth="1"/>
    <col min="4839" max="4839" width="14.25" style="29" customWidth="1"/>
    <col min="4840" max="4849" width="9" style="29"/>
    <col min="4850" max="4850" width="13.875" style="29" customWidth="1"/>
    <col min="4851" max="5089" width="9" style="29"/>
    <col min="5090" max="5090" width="3.25" style="29" customWidth="1"/>
    <col min="5091" max="5091" width="8.5" style="29" customWidth="1"/>
    <col min="5092" max="5092" width="20.375" style="29" customWidth="1"/>
    <col min="5093" max="5093" width="14.125" style="29" customWidth="1"/>
    <col min="5094" max="5094" width="24.875" style="29" customWidth="1"/>
    <col min="5095" max="5095" width="14.25" style="29" customWidth="1"/>
    <col min="5096" max="5105" width="9" style="29"/>
    <col min="5106" max="5106" width="13.875" style="29" customWidth="1"/>
    <col min="5107" max="5345" width="9" style="29"/>
    <col min="5346" max="5346" width="3.25" style="29" customWidth="1"/>
    <col min="5347" max="5347" width="8.5" style="29" customWidth="1"/>
    <col min="5348" max="5348" width="20.375" style="29" customWidth="1"/>
    <col min="5349" max="5349" width="14.125" style="29" customWidth="1"/>
    <col min="5350" max="5350" width="24.875" style="29" customWidth="1"/>
    <col min="5351" max="5351" width="14.25" style="29" customWidth="1"/>
    <col min="5352" max="5361" width="9" style="29"/>
    <col min="5362" max="5362" width="13.875" style="29" customWidth="1"/>
    <col min="5363" max="5601" width="9" style="29"/>
    <col min="5602" max="5602" width="3.25" style="29" customWidth="1"/>
    <col min="5603" max="5603" width="8.5" style="29" customWidth="1"/>
    <col min="5604" max="5604" width="20.375" style="29" customWidth="1"/>
    <col min="5605" max="5605" width="14.125" style="29" customWidth="1"/>
    <col min="5606" max="5606" width="24.875" style="29" customWidth="1"/>
    <col min="5607" max="5607" width="14.25" style="29" customWidth="1"/>
    <col min="5608" max="5617" width="9" style="29"/>
    <col min="5618" max="5618" width="13.875" style="29" customWidth="1"/>
    <col min="5619" max="5857" width="9" style="29"/>
    <col min="5858" max="5858" width="3.25" style="29" customWidth="1"/>
    <col min="5859" max="5859" width="8.5" style="29" customWidth="1"/>
    <col min="5860" max="5860" width="20.375" style="29" customWidth="1"/>
    <col min="5861" max="5861" width="14.125" style="29" customWidth="1"/>
    <col min="5862" max="5862" width="24.875" style="29" customWidth="1"/>
    <col min="5863" max="5863" width="14.25" style="29" customWidth="1"/>
    <col min="5864" max="5873" width="9" style="29"/>
    <col min="5874" max="5874" width="13.875" style="29" customWidth="1"/>
    <col min="5875" max="6113" width="9" style="29"/>
    <col min="6114" max="6114" width="3.25" style="29" customWidth="1"/>
    <col min="6115" max="6115" width="8.5" style="29" customWidth="1"/>
    <col min="6116" max="6116" width="20.375" style="29" customWidth="1"/>
    <col min="6117" max="6117" width="14.125" style="29" customWidth="1"/>
    <col min="6118" max="6118" width="24.875" style="29" customWidth="1"/>
    <col min="6119" max="6119" width="14.25" style="29" customWidth="1"/>
    <col min="6120" max="6129" width="9" style="29"/>
    <col min="6130" max="6130" width="13.875" style="29" customWidth="1"/>
    <col min="6131" max="6369" width="9" style="29"/>
    <col min="6370" max="6370" width="3.25" style="29" customWidth="1"/>
    <col min="6371" max="6371" width="8.5" style="29" customWidth="1"/>
    <col min="6372" max="6372" width="20.375" style="29" customWidth="1"/>
    <col min="6373" max="6373" width="14.125" style="29" customWidth="1"/>
    <col min="6374" max="6374" width="24.875" style="29" customWidth="1"/>
    <col min="6375" max="6375" width="14.25" style="29" customWidth="1"/>
    <col min="6376" max="6385" width="9" style="29"/>
    <col min="6386" max="6386" width="13.875" style="29" customWidth="1"/>
    <col min="6387" max="6625" width="9" style="29"/>
    <col min="6626" max="6626" width="3.25" style="29" customWidth="1"/>
    <col min="6627" max="6627" width="8.5" style="29" customWidth="1"/>
    <col min="6628" max="6628" width="20.375" style="29" customWidth="1"/>
    <col min="6629" max="6629" width="14.125" style="29" customWidth="1"/>
    <col min="6630" max="6630" width="24.875" style="29" customWidth="1"/>
    <col min="6631" max="6631" width="14.25" style="29" customWidth="1"/>
    <col min="6632" max="6641" width="9" style="29"/>
    <col min="6642" max="6642" width="13.875" style="29" customWidth="1"/>
    <col min="6643" max="6881" width="9" style="29"/>
    <col min="6882" max="6882" width="3.25" style="29" customWidth="1"/>
    <col min="6883" max="6883" width="8.5" style="29" customWidth="1"/>
    <col min="6884" max="6884" width="20.375" style="29" customWidth="1"/>
    <col min="6885" max="6885" width="14.125" style="29" customWidth="1"/>
    <col min="6886" max="6886" width="24.875" style="29" customWidth="1"/>
    <col min="6887" max="6887" width="14.25" style="29" customWidth="1"/>
    <col min="6888" max="6897" width="9" style="29"/>
    <col min="6898" max="6898" width="13.875" style="29" customWidth="1"/>
    <col min="6899" max="7137" width="9" style="29"/>
    <col min="7138" max="7138" width="3.25" style="29" customWidth="1"/>
    <col min="7139" max="7139" width="8.5" style="29" customWidth="1"/>
    <col min="7140" max="7140" width="20.375" style="29" customWidth="1"/>
    <col min="7141" max="7141" width="14.125" style="29" customWidth="1"/>
    <col min="7142" max="7142" width="24.875" style="29" customWidth="1"/>
    <col min="7143" max="7143" width="14.25" style="29" customWidth="1"/>
    <col min="7144" max="7153" width="9" style="29"/>
    <col min="7154" max="7154" width="13.875" style="29" customWidth="1"/>
    <col min="7155" max="7393" width="9" style="29"/>
    <col min="7394" max="7394" width="3.25" style="29" customWidth="1"/>
    <col min="7395" max="7395" width="8.5" style="29" customWidth="1"/>
    <col min="7396" max="7396" width="20.375" style="29" customWidth="1"/>
    <col min="7397" max="7397" width="14.125" style="29" customWidth="1"/>
    <col min="7398" max="7398" width="24.875" style="29" customWidth="1"/>
    <col min="7399" max="7399" width="14.25" style="29" customWidth="1"/>
    <col min="7400" max="7409" width="9" style="29"/>
    <col min="7410" max="7410" width="13.875" style="29" customWidth="1"/>
    <col min="7411" max="7649" width="9" style="29"/>
    <col min="7650" max="7650" width="3.25" style="29" customWidth="1"/>
    <col min="7651" max="7651" width="8.5" style="29" customWidth="1"/>
    <col min="7652" max="7652" width="20.375" style="29" customWidth="1"/>
    <col min="7653" max="7653" width="14.125" style="29" customWidth="1"/>
    <col min="7654" max="7654" width="24.875" style="29" customWidth="1"/>
    <col min="7655" max="7655" width="14.25" style="29" customWidth="1"/>
    <col min="7656" max="7665" width="9" style="29"/>
    <col min="7666" max="7666" width="13.875" style="29" customWidth="1"/>
    <col min="7667" max="7905" width="9" style="29"/>
    <col min="7906" max="7906" width="3.25" style="29" customWidth="1"/>
    <col min="7907" max="7907" width="8.5" style="29" customWidth="1"/>
    <col min="7908" max="7908" width="20.375" style="29" customWidth="1"/>
    <col min="7909" max="7909" width="14.125" style="29" customWidth="1"/>
    <col min="7910" max="7910" width="24.875" style="29" customWidth="1"/>
    <col min="7911" max="7911" width="14.25" style="29" customWidth="1"/>
    <col min="7912" max="7921" width="9" style="29"/>
    <col min="7922" max="7922" width="13.875" style="29" customWidth="1"/>
    <col min="7923" max="8161" width="9" style="29"/>
    <col min="8162" max="8162" width="3.25" style="29" customWidth="1"/>
    <col min="8163" max="8163" width="8.5" style="29" customWidth="1"/>
    <col min="8164" max="8164" width="20.375" style="29" customWidth="1"/>
    <col min="8165" max="8165" width="14.125" style="29" customWidth="1"/>
    <col min="8166" max="8166" width="24.875" style="29" customWidth="1"/>
    <col min="8167" max="8167" width="14.25" style="29" customWidth="1"/>
    <col min="8168" max="8177" width="9" style="29"/>
    <col min="8178" max="8178" width="13.875" style="29" customWidth="1"/>
    <col min="8179" max="8417" width="9" style="29"/>
    <col min="8418" max="8418" width="3.25" style="29" customWidth="1"/>
    <col min="8419" max="8419" width="8.5" style="29" customWidth="1"/>
    <col min="8420" max="8420" width="20.375" style="29" customWidth="1"/>
    <col min="8421" max="8421" width="14.125" style="29" customWidth="1"/>
    <col min="8422" max="8422" width="24.875" style="29" customWidth="1"/>
    <col min="8423" max="8423" width="14.25" style="29" customWidth="1"/>
    <col min="8424" max="8433" width="9" style="29"/>
    <col min="8434" max="8434" width="13.875" style="29" customWidth="1"/>
    <col min="8435" max="8673" width="9" style="29"/>
    <col min="8674" max="8674" width="3.25" style="29" customWidth="1"/>
    <col min="8675" max="8675" width="8.5" style="29" customWidth="1"/>
    <col min="8676" max="8676" width="20.375" style="29" customWidth="1"/>
    <col min="8677" max="8677" width="14.125" style="29" customWidth="1"/>
    <col min="8678" max="8678" width="24.875" style="29" customWidth="1"/>
    <col min="8679" max="8679" width="14.25" style="29" customWidth="1"/>
    <col min="8680" max="8689" width="9" style="29"/>
    <col min="8690" max="8690" width="13.875" style="29" customWidth="1"/>
    <col min="8691" max="8929" width="9" style="29"/>
    <col min="8930" max="8930" width="3.25" style="29" customWidth="1"/>
    <col min="8931" max="8931" width="8.5" style="29" customWidth="1"/>
    <col min="8932" max="8932" width="20.375" style="29" customWidth="1"/>
    <col min="8933" max="8933" width="14.125" style="29" customWidth="1"/>
    <col min="8934" max="8934" width="24.875" style="29" customWidth="1"/>
    <col min="8935" max="8935" width="14.25" style="29" customWidth="1"/>
    <col min="8936" max="8945" width="9" style="29"/>
    <col min="8946" max="8946" width="13.875" style="29" customWidth="1"/>
    <col min="8947" max="9185" width="9" style="29"/>
    <col min="9186" max="9186" width="3.25" style="29" customWidth="1"/>
    <col min="9187" max="9187" width="8.5" style="29" customWidth="1"/>
    <col min="9188" max="9188" width="20.375" style="29" customWidth="1"/>
    <col min="9189" max="9189" width="14.125" style="29" customWidth="1"/>
    <col min="9190" max="9190" width="24.875" style="29" customWidth="1"/>
    <col min="9191" max="9191" width="14.25" style="29" customWidth="1"/>
    <col min="9192" max="9201" width="9" style="29"/>
    <col min="9202" max="9202" width="13.875" style="29" customWidth="1"/>
    <col min="9203" max="9441" width="9" style="29"/>
    <col min="9442" max="9442" width="3.25" style="29" customWidth="1"/>
    <col min="9443" max="9443" width="8.5" style="29" customWidth="1"/>
    <col min="9444" max="9444" width="20.375" style="29" customWidth="1"/>
    <col min="9445" max="9445" width="14.125" style="29" customWidth="1"/>
    <col min="9446" max="9446" width="24.875" style="29" customWidth="1"/>
    <col min="9447" max="9447" width="14.25" style="29" customWidth="1"/>
    <col min="9448" max="9457" width="9" style="29"/>
    <col min="9458" max="9458" width="13.875" style="29" customWidth="1"/>
    <col min="9459" max="9697" width="9" style="29"/>
    <col min="9698" max="9698" width="3.25" style="29" customWidth="1"/>
    <col min="9699" max="9699" width="8.5" style="29" customWidth="1"/>
    <col min="9700" max="9700" width="20.375" style="29" customWidth="1"/>
    <col min="9701" max="9701" width="14.125" style="29" customWidth="1"/>
    <col min="9702" max="9702" width="24.875" style="29" customWidth="1"/>
    <col min="9703" max="9703" width="14.25" style="29" customWidth="1"/>
    <col min="9704" max="9713" width="9" style="29"/>
    <col min="9714" max="9714" width="13.875" style="29" customWidth="1"/>
    <col min="9715" max="9953" width="9" style="29"/>
    <col min="9954" max="9954" width="3.25" style="29" customWidth="1"/>
    <col min="9955" max="9955" width="8.5" style="29" customWidth="1"/>
    <col min="9956" max="9956" width="20.375" style="29" customWidth="1"/>
    <col min="9957" max="9957" width="14.125" style="29" customWidth="1"/>
    <col min="9958" max="9958" width="24.875" style="29" customWidth="1"/>
    <col min="9959" max="9959" width="14.25" style="29" customWidth="1"/>
    <col min="9960" max="9969" width="9" style="29"/>
    <col min="9970" max="9970" width="13.875" style="29" customWidth="1"/>
    <col min="9971" max="10209" width="9" style="29"/>
    <col min="10210" max="10210" width="3.25" style="29" customWidth="1"/>
    <col min="10211" max="10211" width="8.5" style="29" customWidth="1"/>
    <col min="10212" max="10212" width="20.375" style="29" customWidth="1"/>
    <col min="10213" max="10213" width="14.125" style="29" customWidth="1"/>
    <col min="10214" max="10214" width="24.875" style="29" customWidth="1"/>
    <col min="10215" max="10215" width="14.25" style="29" customWidth="1"/>
    <col min="10216" max="10225" width="9" style="29"/>
    <col min="10226" max="10226" width="13.875" style="29" customWidth="1"/>
    <col min="10227" max="10465" width="9" style="29"/>
    <col min="10466" max="10466" width="3.25" style="29" customWidth="1"/>
    <col min="10467" max="10467" width="8.5" style="29" customWidth="1"/>
    <col min="10468" max="10468" width="20.375" style="29" customWidth="1"/>
    <col min="10469" max="10469" width="14.125" style="29" customWidth="1"/>
    <col min="10470" max="10470" width="24.875" style="29" customWidth="1"/>
    <col min="10471" max="10471" width="14.25" style="29" customWidth="1"/>
    <col min="10472" max="10481" width="9" style="29"/>
    <col min="10482" max="10482" width="13.875" style="29" customWidth="1"/>
    <col min="10483" max="10721" width="9" style="29"/>
    <col min="10722" max="10722" width="3.25" style="29" customWidth="1"/>
    <col min="10723" max="10723" width="8.5" style="29" customWidth="1"/>
    <col min="10724" max="10724" width="20.375" style="29" customWidth="1"/>
    <col min="10725" max="10725" width="14.125" style="29" customWidth="1"/>
    <col min="10726" max="10726" width="24.875" style="29" customWidth="1"/>
    <col min="10727" max="10727" width="14.25" style="29" customWidth="1"/>
    <col min="10728" max="10737" width="9" style="29"/>
    <col min="10738" max="10738" width="13.875" style="29" customWidth="1"/>
    <col min="10739" max="10977" width="9" style="29"/>
    <col min="10978" max="10978" width="3.25" style="29" customWidth="1"/>
    <col min="10979" max="10979" width="8.5" style="29" customWidth="1"/>
    <col min="10980" max="10980" width="20.375" style="29" customWidth="1"/>
    <col min="10981" max="10981" width="14.125" style="29" customWidth="1"/>
    <col min="10982" max="10982" width="24.875" style="29" customWidth="1"/>
    <col min="10983" max="10983" width="14.25" style="29" customWidth="1"/>
    <col min="10984" max="10993" width="9" style="29"/>
    <col min="10994" max="10994" width="13.875" style="29" customWidth="1"/>
    <col min="10995" max="11233" width="9" style="29"/>
    <col min="11234" max="11234" width="3.25" style="29" customWidth="1"/>
    <col min="11235" max="11235" width="8.5" style="29" customWidth="1"/>
    <col min="11236" max="11236" width="20.375" style="29" customWidth="1"/>
    <col min="11237" max="11237" width="14.125" style="29" customWidth="1"/>
    <col min="11238" max="11238" width="24.875" style="29" customWidth="1"/>
    <col min="11239" max="11239" width="14.25" style="29" customWidth="1"/>
    <col min="11240" max="11249" width="9" style="29"/>
    <col min="11250" max="11250" width="13.875" style="29" customWidth="1"/>
    <col min="11251" max="11489" width="9" style="29"/>
    <col min="11490" max="11490" width="3.25" style="29" customWidth="1"/>
    <col min="11491" max="11491" width="8.5" style="29" customWidth="1"/>
    <col min="11492" max="11492" width="20.375" style="29" customWidth="1"/>
    <col min="11493" max="11493" width="14.125" style="29" customWidth="1"/>
    <col min="11494" max="11494" width="24.875" style="29" customWidth="1"/>
    <col min="11495" max="11495" width="14.25" style="29" customWidth="1"/>
    <col min="11496" max="11505" width="9" style="29"/>
    <col min="11506" max="11506" width="13.875" style="29" customWidth="1"/>
    <col min="11507" max="11745" width="9" style="29"/>
    <col min="11746" max="11746" width="3.25" style="29" customWidth="1"/>
    <col min="11747" max="11747" width="8.5" style="29" customWidth="1"/>
    <col min="11748" max="11748" width="20.375" style="29" customWidth="1"/>
    <col min="11749" max="11749" width="14.125" style="29" customWidth="1"/>
    <col min="11750" max="11750" width="24.875" style="29" customWidth="1"/>
    <col min="11751" max="11751" width="14.25" style="29" customWidth="1"/>
    <col min="11752" max="11761" width="9" style="29"/>
    <col min="11762" max="11762" width="13.875" style="29" customWidth="1"/>
    <col min="11763" max="12001" width="9" style="29"/>
    <col min="12002" max="12002" width="3.25" style="29" customWidth="1"/>
    <col min="12003" max="12003" width="8.5" style="29" customWidth="1"/>
    <col min="12004" max="12004" width="20.375" style="29" customWidth="1"/>
    <col min="12005" max="12005" width="14.125" style="29" customWidth="1"/>
    <col min="12006" max="12006" width="24.875" style="29" customWidth="1"/>
    <col min="12007" max="12007" width="14.25" style="29" customWidth="1"/>
    <col min="12008" max="12017" width="9" style="29"/>
    <col min="12018" max="12018" width="13.875" style="29" customWidth="1"/>
    <col min="12019" max="12257" width="9" style="29"/>
    <col min="12258" max="12258" width="3.25" style="29" customWidth="1"/>
    <col min="12259" max="12259" width="8.5" style="29" customWidth="1"/>
    <col min="12260" max="12260" width="20.375" style="29" customWidth="1"/>
    <col min="12261" max="12261" width="14.125" style="29" customWidth="1"/>
    <col min="12262" max="12262" width="24.875" style="29" customWidth="1"/>
    <col min="12263" max="12263" width="14.25" style="29" customWidth="1"/>
    <col min="12264" max="12273" width="9" style="29"/>
    <col min="12274" max="12274" width="13.875" style="29" customWidth="1"/>
    <col min="12275" max="12513" width="9" style="29"/>
    <col min="12514" max="12514" width="3.25" style="29" customWidth="1"/>
    <col min="12515" max="12515" width="8.5" style="29" customWidth="1"/>
    <col min="12516" max="12516" width="20.375" style="29" customWidth="1"/>
    <col min="12517" max="12517" width="14.125" style="29" customWidth="1"/>
    <col min="12518" max="12518" width="24.875" style="29" customWidth="1"/>
    <col min="12519" max="12519" width="14.25" style="29" customWidth="1"/>
    <col min="12520" max="12529" width="9" style="29"/>
    <col min="12530" max="12530" width="13.875" style="29" customWidth="1"/>
    <col min="12531" max="12769" width="9" style="29"/>
    <col min="12770" max="12770" width="3.25" style="29" customWidth="1"/>
    <col min="12771" max="12771" width="8.5" style="29" customWidth="1"/>
    <col min="12772" max="12772" width="20.375" style="29" customWidth="1"/>
    <col min="12773" max="12773" width="14.125" style="29" customWidth="1"/>
    <col min="12774" max="12774" width="24.875" style="29" customWidth="1"/>
    <col min="12775" max="12775" width="14.25" style="29" customWidth="1"/>
    <col min="12776" max="12785" width="9" style="29"/>
    <col min="12786" max="12786" width="13.875" style="29" customWidth="1"/>
    <col min="12787" max="13025" width="9" style="29"/>
    <col min="13026" max="13026" width="3.25" style="29" customWidth="1"/>
    <col min="13027" max="13027" width="8.5" style="29" customWidth="1"/>
    <col min="13028" max="13028" width="20.375" style="29" customWidth="1"/>
    <col min="13029" max="13029" width="14.125" style="29" customWidth="1"/>
    <col min="13030" max="13030" width="24.875" style="29" customWidth="1"/>
    <col min="13031" max="13031" width="14.25" style="29" customWidth="1"/>
    <col min="13032" max="13041" width="9" style="29"/>
    <col min="13042" max="13042" width="13.875" style="29" customWidth="1"/>
    <col min="13043" max="13281" width="9" style="29"/>
    <col min="13282" max="13282" width="3.25" style="29" customWidth="1"/>
    <col min="13283" max="13283" width="8.5" style="29" customWidth="1"/>
    <col min="13284" max="13284" width="20.375" style="29" customWidth="1"/>
    <col min="13285" max="13285" width="14.125" style="29" customWidth="1"/>
    <col min="13286" max="13286" width="24.875" style="29" customWidth="1"/>
    <col min="13287" max="13287" width="14.25" style="29" customWidth="1"/>
    <col min="13288" max="13297" width="9" style="29"/>
    <col min="13298" max="13298" width="13.875" style="29" customWidth="1"/>
    <col min="13299" max="13537" width="9" style="29"/>
    <col min="13538" max="13538" width="3.25" style="29" customWidth="1"/>
    <col min="13539" max="13539" width="8.5" style="29" customWidth="1"/>
    <col min="13540" max="13540" width="20.375" style="29" customWidth="1"/>
    <col min="13541" max="13541" width="14.125" style="29" customWidth="1"/>
    <col min="13542" max="13542" width="24.875" style="29" customWidth="1"/>
    <col min="13543" max="13543" width="14.25" style="29" customWidth="1"/>
    <col min="13544" max="13553" width="9" style="29"/>
    <col min="13554" max="13554" width="13.875" style="29" customWidth="1"/>
    <col min="13555" max="13793" width="9" style="29"/>
    <col min="13794" max="13794" width="3.25" style="29" customWidth="1"/>
    <col min="13795" max="13795" width="8.5" style="29" customWidth="1"/>
    <col min="13796" max="13796" width="20.375" style="29" customWidth="1"/>
    <col min="13797" max="13797" width="14.125" style="29" customWidth="1"/>
    <col min="13798" max="13798" width="24.875" style="29" customWidth="1"/>
    <col min="13799" max="13799" width="14.25" style="29" customWidth="1"/>
    <col min="13800" max="13809" width="9" style="29"/>
    <col min="13810" max="13810" width="13.875" style="29" customWidth="1"/>
    <col min="13811" max="14049" width="9" style="29"/>
    <col min="14050" max="14050" width="3.25" style="29" customWidth="1"/>
    <col min="14051" max="14051" width="8.5" style="29" customWidth="1"/>
    <col min="14052" max="14052" width="20.375" style="29" customWidth="1"/>
    <col min="14053" max="14053" width="14.125" style="29" customWidth="1"/>
    <col min="14054" max="14054" width="24.875" style="29" customWidth="1"/>
    <col min="14055" max="14055" width="14.25" style="29" customWidth="1"/>
    <col min="14056" max="14065" width="9" style="29"/>
    <col min="14066" max="14066" width="13.875" style="29" customWidth="1"/>
    <col min="14067" max="14305" width="9" style="29"/>
    <col min="14306" max="14306" width="3.25" style="29" customWidth="1"/>
    <col min="14307" max="14307" width="8.5" style="29" customWidth="1"/>
    <col min="14308" max="14308" width="20.375" style="29" customWidth="1"/>
    <col min="14309" max="14309" width="14.125" style="29" customWidth="1"/>
    <col min="14310" max="14310" width="24.875" style="29" customWidth="1"/>
    <col min="14311" max="14311" width="14.25" style="29" customWidth="1"/>
    <col min="14312" max="14321" width="9" style="29"/>
    <col min="14322" max="14322" width="13.875" style="29" customWidth="1"/>
    <col min="14323" max="14561" width="9" style="29"/>
    <col min="14562" max="14562" width="3.25" style="29" customWidth="1"/>
    <col min="14563" max="14563" width="8.5" style="29" customWidth="1"/>
    <col min="14564" max="14564" width="20.375" style="29" customWidth="1"/>
    <col min="14565" max="14565" width="14.125" style="29" customWidth="1"/>
    <col min="14566" max="14566" width="24.875" style="29" customWidth="1"/>
    <col min="14567" max="14567" width="14.25" style="29" customWidth="1"/>
    <col min="14568" max="14577" width="9" style="29"/>
    <col min="14578" max="14578" width="13.875" style="29" customWidth="1"/>
    <col min="14579" max="14817" width="9" style="29"/>
    <col min="14818" max="14818" width="3.25" style="29" customWidth="1"/>
    <col min="14819" max="14819" width="8.5" style="29" customWidth="1"/>
    <col min="14820" max="14820" width="20.375" style="29" customWidth="1"/>
    <col min="14821" max="14821" width="14.125" style="29" customWidth="1"/>
    <col min="14822" max="14822" width="24.875" style="29" customWidth="1"/>
    <col min="14823" max="14823" width="14.25" style="29" customWidth="1"/>
    <col min="14824" max="14833" width="9" style="29"/>
    <col min="14834" max="14834" width="13.875" style="29" customWidth="1"/>
    <col min="14835" max="15073" width="9" style="29"/>
    <col min="15074" max="15074" width="3.25" style="29" customWidth="1"/>
    <col min="15075" max="15075" width="8.5" style="29" customWidth="1"/>
    <col min="15076" max="15076" width="20.375" style="29" customWidth="1"/>
    <col min="15077" max="15077" width="14.125" style="29" customWidth="1"/>
    <col min="15078" max="15078" width="24.875" style="29" customWidth="1"/>
    <col min="15079" max="15079" width="14.25" style="29" customWidth="1"/>
    <col min="15080" max="15089" width="9" style="29"/>
    <col min="15090" max="15090" width="13.875" style="29" customWidth="1"/>
    <col min="15091" max="15329" width="9" style="29"/>
    <col min="15330" max="15330" width="3.25" style="29" customWidth="1"/>
    <col min="15331" max="15331" width="8.5" style="29" customWidth="1"/>
    <col min="15332" max="15332" width="20.375" style="29" customWidth="1"/>
    <col min="15333" max="15333" width="14.125" style="29" customWidth="1"/>
    <col min="15334" max="15334" width="24.875" style="29" customWidth="1"/>
    <col min="15335" max="15335" width="14.25" style="29" customWidth="1"/>
    <col min="15336" max="15345" width="9" style="29"/>
    <col min="15346" max="15346" width="13.875" style="29" customWidth="1"/>
    <col min="15347" max="15585" width="9" style="29"/>
    <col min="15586" max="15586" width="3.25" style="29" customWidth="1"/>
    <col min="15587" max="15587" width="8.5" style="29" customWidth="1"/>
    <col min="15588" max="15588" width="20.375" style="29" customWidth="1"/>
    <col min="15589" max="15589" width="14.125" style="29" customWidth="1"/>
    <col min="15590" max="15590" width="24.875" style="29" customWidth="1"/>
    <col min="15591" max="15591" width="14.25" style="29" customWidth="1"/>
    <col min="15592" max="15601" width="9" style="29"/>
    <col min="15602" max="15602" width="13.875" style="29" customWidth="1"/>
    <col min="15603" max="15841" width="9" style="29"/>
    <col min="15842" max="15842" width="3.25" style="29" customWidth="1"/>
    <col min="15843" max="15843" width="8.5" style="29" customWidth="1"/>
    <col min="15844" max="15844" width="20.375" style="29" customWidth="1"/>
    <col min="15845" max="15845" width="14.125" style="29" customWidth="1"/>
    <col min="15846" max="15846" width="24.875" style="29" customWidth="1"/>
    <col min="15847" max="15847" width="14.25" style="29" customWidth="1"/>
    <col min="15848" max="15857" width="9" style="29"/>
    <col min="15858" max="15858" width="13.875" style="29" customWidth="1"/>
    <col min="15859" max="16097" width="9" style="29"/>
    <col min="16098" max="16098" width="3.25" style="29" customWidth="1"/>
    <col min="16099" max="16099" width="8.5" style="29" customWidth="1"/>
    <col min="16100" max="16100" width="20.375" style="29" customWidth="1"/>
    <col min="16101" max="16101" width="14.125" style="29" customWidth="1"/>
    <col min="16102" max="16102" width="24.875" style="29" customWidth="1"/>
    <col min="16103" max="16103" width="14.25" style="29" customWidth="1"/>
    <col min="16104" max="16113" width="9" style="29"/>
    <col min="16114" max="16114" width="13.875" style="29" customWidth="1"/>
    <col min="16115" max="16384" width="9" style="29"/>
  </cols>
  <sheetData>
    <row r="1" spans="1:13" ht="39.950000000000003" customHeight="1" thickTop="1" thickBot="1">
      <c r="A1" s="370" t="s">
        <v>102</v>
      </c>
      <c r="B1" s="371"/>
      <c r="C1" s="371"/>
      <c r="D1" s="371"/>
      <c r="E1" s="371"/>
      <c r="F1" s="371"/>
      <c r="G1" s="371"/>
      <c r="H1" s="371"/>
      <c r="I1" s="371"/>
      <c r="J1" s="372"/>
      <c r="M1" s="142">
        <v>4</v>
      </c>
    </row>
    <row r="2" spans="1:13" s="35" customFormat="1" ht="32.25" customHeight="1" thickTop="1" thickBot="1">
      <c r="A2" s="30"/>
      <c r="B2" s="31"/>
      <c r="C2" s="31"/>
      <c r="D2" s="31"/>
      <c r="E2" s="31"/>
      <c r="F2" s="31"/>
      <c r="G2" s="32"/>
      <c r="H2" s="31"/>
      <c r="I2" s="33"/>
      <c r="J2" s="34"/>
    </row>
    <row r="3" spans="1:13" ht="32.25" customHeight="1" thickTop="1" thickBot="1">
      <c r="A3" s="373" t="str">
        <f>급여셋팅!$D$14</f>
        <v>제이엠건축인테리어 주식회사</v>
      </c>
      <c r="B3" s="374"/>
      <c r="C3" s="36" t="s">
        <v>103</v>
      </c>
      <c r="E3" s="37" t="str">
        <f>VLOOKUP($M$1,'포괄 급여계산'!$A$3:$AG$12,2,0)</f>
        <v>정휘범</v>
      </c>
      <c r="F3" s="38" t="s">
        <v>104</v>
      </c>
      <c r="G3" s="39"/>
      <c r="H3" s="39"/>
      <c r="I3" s="39"/>
      <c r="J3" s="40"/>
    </row>
    <row r="4" spans="1:13" ht="20.100000000000001" customHeight="1" thickTop="1" thickBot="1">
      <c r="A4" s="375" t="s">
        <v>105</v>
      </c>
      <c r="B4" s="41" t="s">
        <v>106</v>
      </c>
      <c r="C4" s="155" t="str">
        <f>VLOOKUP($M$1,'포괄 급여계산'!$A$3:$AG$12,5,0)</f>
        <v>2025.03.24</v>
      </c>
      <c r="D4" s="42" t="s">
        <v>107</v>
      </c>
      <c r="E4" s="43"/>
      <c r="F4" s="43"/>
      <c r="G4" s="43"/>
      <c r="H4" s="43"/>
      <c r="I4" s="43"/>
      <c r="J4" s="44"/>
    </row>
    <row r="5" spans="1:13" ht="20.100000000000001" customHeight="1" thickTop="1" thickBot="1">
      <c r="A5" s="375"/>
      <c r="B5" s="45" t="s">
        <v>108</v>
      </c>
      <c r="C5" s="156"/>
      <c r="D5" s="46" t="s">
        <v>109</v>
      </c>
      <c r="E5" s="47"/>
      <c r="F5" s="48"/>
      <c r="G5" s="49"/>
      <c r="H5" s="49"/>
      <c r="I5" s="49"/>
      <c r="J5" s="50"/>
    </row>
    <row r="6" spans="1:13" ht="20.100000000000001" customHeight="1" thickTop="1" thickBot="1">
      <c r="A6" s="375"/>
      <c r="B6" s="51" t="s">
        <v>110</v>
      </c>
      <c r="C6" s="49"/>
      <c r="D6" s="49"/>
      <c r="E6" s="47"/>
      <c r="F6" s="48"/>
      <c r="G6" s="49"/>
      <c r="H6" s="49"/>
      <c r="I6" s="49"/>
      <c r="J6" s="50"/>
    </row>
    <row r="7" spans="1:13" ht="20.100000000000001" customHeight="1" thickTop="1" thickBot="1">
      <c r="A7" s="375"/>
      <c r="B7" s="51" t="s">
        <v>111</v>
      </c>
      <c r="C7" s="49"/>
      <c r="D7" s="49"/>
      <c r="E7" s="47"/>
      <c r="F7" s="48"/>
      <c r="G7" s="49"/>
      <c r="H7" s="49"/>
      <c r="I7" s="49"/>
      <c r="J7" s="50"/>
    </row>
    <row r="8" spans="1:13" ht="20.100000000000001" customHeight="1" thickTop="1" thickBot="1">
      <c r="A8" s="375"/>
      <c r="B8" s="52" t="s">
        <v>112</v>
      </c>
      <c r="C8" s="53"/>
      <c r="D8" s="53"/>
      <c r="E8" s="54"/>
      <c r="F8" s="55"/>
      <c r="G8" s="53"/>
      <c r="H8" s="53"/>
      <c r="I8" s="53"/>
      <c r="J8" s="56"/>
    </row>
    <row r="9" spans="1:13" s="57" customFormat="1" ht="20.100000000000001" customHeight="1" thickTop="1" thickBot="1">
      <c r="A9" s="375" t="s">
        <v>113</v>
      </c>
      <c r="B9" s="41" t="s">
        <v>114</v>
      </c>
      <c r="C9" s="376" t="str">
        <f>VLOOKUP($M$1,'포괄 급여계산'!$A$3:$AG$12,8,0)</f>
        <v>본사</v>
      </c>
      <c r="D9" s="376"/>
      <c r="E9" s="43" t="s">
        <v>115</v>
      </c>
      <c r="F9" s="43"/>
      <c r="G9" s="43"/>
      <c r="H9" s="43"/>
      <c r="I9" s="43"/>
      <c r="J9" s="44"/>
    </row>
    <row r="10" spans="1:13" s="57" customFormat="1" ht="20.100000000000001" customHeight="1" thickTop="1" thickBot="1">
      <c r="A10" s="375"/>
      <c r="B10" s="51" t="s">
        <v>116</v>
      </c>
      <c r="C10" s="376" t="str">
        <f>VLOOKUP($M$1,'포괄 급여계산'!$A$3:$AG$12,9,0)</f>
        <v>디자인</v>
      </c>
      <c r="D10" s="376"/>
      <c r="E10" s="58" t="s">
        <v>117</v>
      </c>
      <c r="F10" s="49"/>
      <c r="G10" s="49"/>
      <c r="H10" s="49"/>
      <c r="I10" s="49"/>
      <c r="J10" s="50"/>
    </row>
    <row r="11" spans="1:13" s="57" customFormat="1" ht="20.100000000000001" customHeight="1" thickTop="1" thickBot="1">
      <c r="A11" s="375"/>
      <c r="B11" s="52" t="s">
        <v>118</v>
      </c>
      <c r="C11" s="53"/>
      <c r="D11" s="53"/>
      <c r="E11" s="53"/>
      <c r="F11" s="53"/>
      <c r="G11" s="53"/>
      <c r="H11" s="53"/>
      <c r="I11" s="53"/>
      <c r="J11" s="56"/>
    </row>
    <row r="12" spans="1:13" s="57" customFormat="1" ht="20.100000000000001" customHeight="1" thickTop="1" thickBot="1">
      <c r="A12" s="375" t="s">
        <v>119</v>
      </c>
      <c r="B12" s="59" t="s">
        <v>120</v>
      </c>
      <c r="C12" s="60">
        <f>VLOOKUP($M$1,'포괄 급여계산'!$A$3:$AC$12,14,0)</f>
        <v>0.375</v>
      </c>
      <c r="D12" s="61" t="s">
        <v>97</v>
      </c>
      <c r="E12" s="60">
        <f>VLOOKUP($M$1,'포괄 급여계산'!$A$3:$AC$12,15,0)</f>
        <v>0.75</v>
      </c>
      <c r="F12" s="61" t="s">
        <v>121</v>
      </c>
      <c r="G12" s="62"/>
      <c r="H12" s="43"/>
      <c r="I12" s="43"/>
      <c r="J12" s="44"/>
    </row>
    <row r="13" spans="1:13" s="57" customFormat="1" ht="20.100000000000001" customHeight="1" thickTop="1" thickBot="1">
      <c r="A13" s="375"/>
      <c r="B13" s="45" t="s">
        <v>122</v>
      </c>
      <c r="C13" s="63" t="s">
        <v>123</v>
      </c>
      <c r="D13" s="64">
        <f>VLOOKUP($M$1,'포괄 급여계산'!$A$3:$AC$12,16,0)</f>
        <v>0.5</v>
      </c>
      <c r="E13" s="66" t="s">
        <v>124</v>
      </c>
      <c r="F13" s="65">
        <f>VLOOKUP($M$1,'포괄 급여계산'!$A$3:$AC$12,17,0)</f>
        <v>0.54166666666666663</v>
      </c>
      <c r="G13" s="49"/>
      <c r="H13" s="49"/>
      <c r="I13" s="49"/>
      <c r="J13" s="50"/>
    </row>
    <row r="14" spans="1:13" s="57" customFormat="1" ht="20.100000000000001" customHeight="1" thickTop="1" thickBot="1">
      <c r="A14" s="375"/>
      <c r="B14" s="52" t="s">
        <v>125</v>
      </c>
      <c r="C14" s="53"/>
      <c r="D14" s="53"/>
      <c r="E14" s="53"/>
      <c r="F14" s="53"/>
      <c r="G14" s="53"/>
      <c r="H14" s="53"/>
      <c r="I14" s="53"/>
      <c r="J14" s="56"/>
    </row>
    <row r="15" spans="1:13" s="57" customFormat="1" ht="20.100000000000001" customHeight="1" thickTop="1">
      <c r="A15" s="389" t="s">
        <v>126</v>
      </c>
      <c r="B15" s="59" t="s">
        <v>127</v>
      </c>
      <c r="C15" s="67" t="str">
        <f>VLOOKUP($M$1,'포괄 급여계산'!$A$3:$AC$12,10,0)</f>
        <v>월~금</v>
      </c>
      <c r="D15" s="68" t="s">
        <v>346</v>
      </c>
      <c r="E15" s="43"/>
      <c r="F15" s="43"/>
      <c r="G15" s="43"/>
      <c r="H15" s="43"/>
      <c r="I15" s="43"/>
      <c r="J15" s="44"/>
    </row>
    <row r="16" spans="1:13" s="57" customFormat="1" ht="20.100000000000001" customHeight="1">
      <c r="A16" s="390"/>
      <c r="B16" s="51" t="s">
        <v>129</v>
      </c>
      <c r="C16" s="49"/>
      <c r="D16" s="49"/>
      <c r="E16" s="49"/>
      <c r="F16" s="49"/>
      <c r="G16" s="49"/>
      <c r="H16" s="49"/>
      <c r="I16" s="49"/>
      <c r="J16" s="50"/>
    </row>
    <row r="17" spans="1:29" s="57" customFormat="1" ht="20.100000000000001" customHeight="1">
      <c r="A17" s="390"/>
      <c r="B17" s="51" t="s">
        <v>130</v>
      </c>
      <c r="C17" s="49"/>
      <c r="D17" s="49"/>
      <c r="E17" s="49"/>
      <c r="F17" s="49"/>
      <c r="G17" s="49"/>
      <c r="H17" s="49"/>
      <c r="I17" s="49"/>
      <c r="J17" s="50"/>
    </row>
    <row r="18" spans="1:29" s="57" customFormat="1" ht="20.100000000000001" customHeight="1">
      <c r="A18" s="390"/>
      <c r="B18" s="51" t="s">
        <v>131</v>
      </c>
      <c r="C18" s="49"/>
      <c r="D18" s="49"/>
      <c r="E18" s="49"/>
      <c r="F18" s="49"/>
      <c r="G18" s="58"/>
      <c r="H18" s="49"/>
      <c r="I18" s="49"/>
      <c r="J18" s="50"/>
    </row>
    <row r="19" spans="1:29" s="57" customFormat="1" ht="20.100000000000001" customHeight="1">
      <c r="A19" s="390"/>
      <c r="B19" s="51" t="s">
        <v>132</v>
      </c>
      <c r="C19" s="49"/>
      <c r="D19" s="49"/>
      <c r="E19" s="49"/>
      <c r="F19" s="49"/>
      <c r="G19" s="49"/>
      <c r="H19" s="49"/>
      <c r="I19" s="49"/>
      <c r="J19" s="50"/>
    </row>
    <row r="20" spans="1:29" s="57" customFormat="1" ht="20.100000000000001" customHeight="1">
      <c r="A20" s="390"/>
      <c r="B20" s="51" t="s">
        <v>133</v>
      </c>
      <c r="C20" s="49"/>
      <c r="D20" s="49"/>
      <c r="E20" s="49"/>
      <c r="F20" s="49"/>
      <c r="G20" s="49"/>
      <c r="H20" s="49"/>
      <c r="I20" s="49"/>
      <c r="J20" s="50"/>
    </row>
    <row r="21" spans="1:29" s="57" customFormat="1" ht="20.100000000000001" customHeight="1" thickBot="1">
      <c r="A21" s="391"/>
      <c r="B21" s="52" t="s">
        <v>134</v>
      </c>
      <c r="C21" s="53"/>
      <c r="D21" s="53"/>
      <c r="E21" s="53"/>
      <c r="F21" s="53"/>
      <c r="G21" s="53"/>
      <c r="H21" s="53"/>
      <c r="I21" s="53"/>
      <c r="J21" s="56"/>
      <c r="AC21" s="57">
        <v>1</v>
      </c>
    </row>
    <row r="22" spans="1:29" s="57" customFormat="1" ht="20.100000000000001" customHeight="1" thickTop="1">
      <c r="A22" s="389" t="s">
        <v>135</v>
      </c>
      <c r="B22" s="69" t="s">
        <v>136</v>
      </c>
      <c r="C22" s="69"/>
      <c r="D22" s="69"/>
      <c r="E22" s="49"/>
      <c r="F22" s="49"/>
      <c r="G22" s="49"/>
      <c r="H22" s="49"/>
      <c r="I22" s="49"/>
      <c r="J22" s="50"/>
    </row>
    <row r="23" spans="1:29" s="57" customFormat="1" ht="20.100000000000001" customHeight="1">
      <c r="A23" s="390"/>
      <c r="B23" s="49" t="s">
        <v>137</v>
      </c>
      <c r="C23" s="49"/>
      <c r="D23" s="49"/>
      <c r="E23" s="49"/>
      <c r="F23" s="49"/>
      <c r="G23" s="49"/>
      <c r="H23" s="49"/>
      <c r="I23" s="49"/>
      <c r="J23" s="50"/>
    </row>
    <row r="24" spans="1:29" s="57" customFormat="1" ht="20.100000000000001" customHeight="1" thickBot="1">
      <c r="A24" s="391"/>
      <c r="B24" s="53" t="s">
        <v>138</v>
      </c>
      <c r="C24" s="53"/>
      <c r="D24" s="53"/>
      <c r="E24" s="53"/>
      <c r="F24" s="53"/>
      <c r="G24" s="53"/>
      <c r="H24" s="53"/>
      <c r="I24" s="53"/>
      <c r="J24" s="56"/>
    </row>
    <row r="25" spans="1:29" s="57" customFormat="1" ht="20.100000000000001" customHeight="1" thickTop="1" thickBot="1">
      <c r="A25" s="70" t="s">
        <v>139</v>
      </c>
      <c r="B25" s="71" t="s">
        <v>140</v>
      </c>
      <c r="C25" s="71"/>
      <c r="D25" s="71"/>
      <c r="E25" s="71"/>
      <c r="F25" s="71"/>
      <c r="G25" s="71"/>
      <c r="H25" s="71"/>
      <c r="I25" s="71"/>
      <c r="J25" s="72"/>
    </row>
    <row r="26" spans="1:29" s="57" customFormat="1" ht="20.100000000000001" customHeight="1" thickTop="1">
      <c r="A26" s="380" t="s">
        <v>141</v>
      </c>
      <c r="B26" s="73" t="s">
        <v>142</v>
      </c>
      <c r="C26" s="73"/>
      <c r="D26" s="73"/>
      <c r="E26" s="43"/>
      <c r="F26" s="43"/>
      <c r="G26" s="74"/>
      <c r="H26" s="74"/>
      <c r="I26" s="43"/>
      <c r="J26" s="44"/>
    </row>
    <row r="27" spans="1:29" s="57" customFormat="1" ht="20.100000000000001" customHeight="1">
      <c r="A27" s="381"/>
      <c r="B27" s="49" t="s">
        <v>143</v>
      </c>
      <c r="C27" s="49"/>
      <c r="D27" s="49"/>
      <c r="E27" s="49"/>
      <c r="F27" s="49"/>
      <c r="G27" s="75"/>
      <c r="H27" s="75"/>
      <c r="I27" s="49"/>
      <c r="J27" s="50"/>
    </row>
    <row r="28" spans="1:29" s="57" customFormat="1" ht="20.100000000000001" customHeight="1">
      <c r="A28" s="381"/>
      <c r="B28" s="49" t="s">
        <v>144</v>
      </c>
      <c r="C28" s="49"/>
      <c r="D28" s="49"/>
      <c r="E28" s="49"/>
      <c r="F28" s="49"/>
      <c r="G28" s="75"/>
      <c r="H28" s="75"/>
      <c r="I28" s="49"/>
      <c r="J28" s="50"/>
    </row>
    <row r="29" spans="1:29" s="57" customFormat="1" ht="20.100000000000001" customHeight="1" thickBot="1">
      <c r="A29" s="382"/>
      <c r="B29" s="392" t="s">
        <v>283</v>
      </c>
      <c r="C29" s="393"/>
      <c r="D29" s="393"/>
      <c r="E29" s="393"/>
      <c r="F29" s="393"/>
      <c r="G29" s="393"/>
      <c r="H29" s="393"/>
      <c r="I29" s="393"/>
      <c r="J29" s="394"/>
    </row>
    <row r="30" spans="1:29" s="57" customFormat="1" ht="20.100000000000001" customHeight="1" thickTop="1">
      <c r="A30" s="380" t="s">
        <v>145</v>
      </c>
      <c r="B30" s="43" t="s">
        <v>146</v>
      </c>
      <c r="C30" s="43"/>
      <c r="D30" s="43"/>
      <c r="E30" s="77"/>
      <c r="F30" s="77"/>
      <c r="G30" s="43"/>
      <c r="H30" s="43"/>
      <c r="I30" s="43"/>
      <c r="J30" s="44"/>
    </row>
    <row r="31" spans="1:29" s="57" customFormat="1" ht="20.100000000000001" customHeight="1">
      <c r="A31" s="381"/>
      <c r="B31" s="49" t="s">
        <v>147</v>
      </c>
      <c r="C31" s="49"/>
      <c r="D31" s="49"/>
      <c r="E31" s="78"/>
      <c r="F31" s="78"/>
      <c r="G31" s="49"/>
      <c r="H31" s="49"/>
      <c r="I31" s="49"/>
      <c r="J31" s="50"/>
    </row>
    <row r="32" spans="1:29" s="57" customFormat="1" ht="20.100000000000001" customHeight="1">
      <c r="A32" s="381"/>
      <c r="B32" s="49" t="s">
        <v>148</v>
      </c>
      <c r="C32" s="49"/>
      <c r="D32" s="49"/>
      <c r="E32" s="49"/>
      <c r="F32" s="49"/>
      <c r="G32" s="49"/>
      <c r="H32" s="49"/>
      <c r="I32" s="49"/>
      <c r="J32" s="50"/>
    </row>
    <row r="33" spans="1:10" s="57" customFormat="1" ht="20.100000000000001" customHeight="1" thickBot="1">
      <c r="A33" s="382"/>
      <c r="B33" s="53" t="s">
        <v>149</v>
      </c>
      <c r="C33" s="53"/>
      <c r="D33" s="53"/>
      <c r="E33" s="53"/>
      <c r="F33" s="53"/>
      <c r="G33" s="53"/>
      <c r="H33" s="53"/>
      <c r="I33" s="53"/>
      <c r="J33" s="56"/>
    </row>
    <row r="34" spans="1:10" s="57" customFormat="1" ht="20.100000000000001" customHeight="1" thickTop="1">
      <c r="A34" s="377" t="s">
        <v>150</v>
      </c>
      <c r="B34" s="41" t="s">
        <v>151</v>
      </c>
      <c r="C34" s="43"/>
      <c r="D34" s="43"/>
      <c r="E34" s="79"/>
      <c r="F34" s="79"/>
      <c r="G34" s="79"/>
      <c r="H34" s="80"/>
      <c r="I34" s="43"/>
      <c r="J34" s="44"/>
    </row>
    <row r="35" spans="1:10" s="57" customFormat="1" ht="20.100000000000001" customHeight="1">
      <c r="A35" s="378"/>
      <c r="B35" s="51" t="s">
        <v>152</v>
      </c>
      <c r="C35" s="49"/>
      <c r="D35" s="49"/>
      <c r="E35" s="81"/>
      <c r="F35" s="81"/>
      <c r="G35" s="81"/>
      <c r="H35" s="82"/>
      <c r="I35" s="49"/>
      <c r="J35" s="50"/>
    </row>
    <row r="36" spans="1:10" s="57" customFormat="1" ht="20.100000000000001" customHeight="1">
      <c r="A36" s="378"/>
      <c r="B36" s="51" t="s">
        <v>153</v>
      </c>
      <c r="C36" s="49"/>
      <c r="D36" s="49"/>
      <c r="E36" s="49"/>
      <c r="F36" s="49"/>
      <c r="G36" s="49"/>
      <c r="H36" s="49"/>
      <c r="I36" s="49"/>
      <c r="J36" s="50"/>
    </row>
    <row r="37" spans="1:10" s="57" customFormat="1" ht="20.100000000000001" customHeight="1">
      <c r="A37" s="378"/>
      <c r="B37" s="51" t="s">
        <v>154</v>
      </c>
      <c r="C37" s="49"/>
      <c r="D37" s="49"/>
      <c r="E37" s="75"/>
      <c r="F37" s="75"/>
      <c r="G37" s="75"/>
      <c r="H37" s="49"/>
      <c r="I37" s="49"/>
      <c r="J37" s="50"/>
    </row>
    <row r="38" spans="1:10" s="57" customFormat="1" ht="20.100000000000001" customHeight="1">
      <c r="A38" s="378"/>
      <c r="B38" s="51" t="s">
        <v>155</v>
      </c>
      <c r="C38" s="49"/>
      <c r="D38" s="49"/>
      <c r="E38" s="78"/>
      <c r="F38" s="78"/>
      <c r="G38" s="49"/>
      <c r="H38" s="49"/>
      <c r="I38" s="49"/>
      <c r="J38" s="50"/>
    </row>
    <row r="39" spans="1:10" s="57" customFormat="1" ht="20.100000000000001" customHeight="1">
      <c r="A39" s="378"/>
      <c r="B39" s="51" t="s">
        <v>156</v>
      </c>
      <c r="C39" s="49"/>
      <c r="D39" s="49"/>
      <c r="E39" s="78"/>
      <c r="F39" s="78"/>
      <c r="G39" s="49"/>
      <c r="H39" s="49"/>
      <c r="I39" s="49"/>
      <c r="J39" s="50"/>
    </row>
    <row r="40" spans="1:10" s="57" customFormat="1" ht="20.100000000000001" customHeight="1">
      <c r="A40" s="378"/>
      <c r="B40" s="51" t="s">
        <v>157</v>
      </c>
      <c r="C40" s="49"/>
      <c r="D40" s="49"/>
      <c r="E40" s="49"/>
      <c r="F40" s="49"/>
      <c r="G40" s="49"/>
      <c r="H40" s="49"/>
      <c r="I40" s="49"/>
      <c r="J40" s="50"/>
    </row>
    <row r="41" spans="1:10" s="57" customFormat="1" ht="20.100000000000001" customHeight="1" thickBot="1">
      <c r="A41" s="379"/>
      <c r="B41" s="52" t="s">
        <v>158</v>
      </c>
      <c r="C41" s="53"/>
      <c r="D41" s="53"/>
      <c r="E41" s="53"/>
      <c r="F41" s="53"/>
      <c r="G41" s="53"/>
      <c r="H41" s="53"/>
      <c r="I41" s="53"/>
      <c r="J41" s="56"/>
    </row>
    <row r="42" spans="1:10" s="57" customFormat="1" ht="20.100000000000001" customHeight="1" thickTop="1">
      <c r="A42" s="377" t="s">
        <v>159</v>
      </c>
      <c r="B42" s="43" t="s">
        <v>160</v>
      </c>
      <c r="C42" s="43"/>
      <c r="D42" s="43"/>
      <c r="E42" s="79"/>
      <c r="F42" s="79"/>
      <c r="G42" s="79"/>
      <c r="H42" s="80"/>
      <c r="I42" s="43"/>
      <c r="J42" s="44"/>
    </row>
    <row r="43" spans="1:10" s="57" customFormat="1" ht="20.100000000000001" customHeight="1">
      <c r="A43" s="378"/>
      <c r="B43" s="49" t="s">
        <v>161</v>
      </c>
      <c r="C43" s="49"/>
      <c r="D43" s="49"/>
      <c r="E43" s="81"/>
      <c r="F43" s="81"/>
      <c r="G43" s="81"/>
      <c r="H43" s="82"/>
      <c r="I43" s="49"/>
      <c r="J43" s="50"/>
    </row>
    <row r="44" spans="1:10" s="57" customFormat="1" ht="20.100000000000001" customHeight="1">
      <c r="A44" s="378"/>
      <c r="B44" s="49" t="s">
        <v>162</v>
      </c>
      <c r="C44" s="49"/>
      <c r="D44" s="49"/>
      <c r="E44" s="49"/>
      <c r="F44" s="49"/>
      <c r="G44" s="49"/>
      <c r="H44" s="49"/>
      <c r="I44" s="49"/>
      <c r="J44" s="50"/>
    </row>
    <row r="45" spans="1:10" s="57" customFormat="1" ht="20.100000000000001" customHeight="1" thickBot="1">
      <c r="A45" s="378"/>
      <c r="B45" s="49" t="s">
        <v>163</v>
      </c>
      <c r="C45" s="49"/>
      <c r="D45" s="49"/>
      <c r="E45" s="75"/>
      <c r="F45" s="75"/>
      <c r="G45" s="75"/>
      <c r="H45" s="49"/>
      <c r="I45" s="49"/>
      <c r="J45" s="50"/>
    </row>
    <row r="46" spans="1:10" s="57" customFormat="1" ht="20.100000000000001" customHeight="1" thickTop="1">
      <c r="A46" s="380" t="s">
        <v>164</v>
      </c>
      <c r="B46" s="41" t="s">
        <v>165</v>
      </c>
      <c r="C46" s="43"/>
      <c r="D46" s="43"/>
      <c r="E46" s="74"/>
      <c r="F46" s="74"/>
      <c r="G46" s="74"/>
      <c r="H46" s="43"/>
      <c r="I46" s="43"/>
      <c r="J46" s="44"/>
    </row>
    <row r="47" spans="1:10" s="57" customFormat="1" ht="20.100000000000001" customHeight="1" thickBot="1">
      <c r="A47" s="381"/>
      <c r="B47" s="51" t="s">
        <v>166</v>
      </c>
      <c r="C47" s="49"/>
      <c r="D47" s="49"/>
      <c r="E47" s="75"/>
      <c r="F47" s="75"/>
      <c r="G47" s="75"/>
      <c r="H47" s="49"/>
      <c r="I47" s="49"/>
      <c r="J47" s="50"/>
    </row>
    <row r="48" spans="1:10" s="57" customFormat="1" ht="20.100000000000001" customHeight="1" thickTop="1">
      <c r="A48" s="380" t="s">
        <v>167</v>
      </c>
      <c r="B48" s="41" t="s">
        <v>168</v>
      </c>
      <c r="C48" s="43"/>
      <c r="D48" s="43"/>
      <c r="E48" s="43"/>
      <c r="F48" s="43"/>
      <c r="G48" s="74"/>
      <c r="H48" s="74"/>
      <c r="I48" s="43"/>
      <c r="J48" s="44"/>
    </row>
    <row r="49" spans="1:10" s="57" customFormat="1" ht="20.100000000000001" customHeight="1" thickBot="1">
      <c r="A49" s="382"/>
      <c r="B49" s="52" t="s">
        <v>169</v>
      </c>
      <c r="C49" s="53"/>
      <c r="D49" s="53"/>
      <c r="E49" s="53"/>
      <c r="F49" s="53"/>
      <c r="G49" s="76"/>
      <c r="H49" s="76"/>
      <c r="I49" s="53"/>
      <c r="J49" s="56"/>
    </row>
    <row r="50" spans="1:10" s="57" customFormat="1" ht="24.95" customHeight="1" thickTop="1">
      <c r="A50" s="383" t="s">
        <v>170</v>
      </c>
      <c r="B50" s="384"/>
      <c r="C50" s="384"/>
      <c r="D50" s="384"/>
      <c r="E50" s="384"/>
      <c r="F50" s="384"/>
      <c r="G50" s="384"/>
      <c r="H50" s="384"/>
      <c r="I50" s="384"/>
      <c r="J50" s="385"/>
    </row>
    <row r="51" spans="1:10" s="57" customFormat="1" ht="24.95" customHeight="1" thickBot="1">
      <c r="A51" s="83" t="s">
        <v>171</v>
      </c>
      <c r="B51" s="84"/>
      <c r="C51" s="84"/>
      <c r="D51" s="84"/>
      <c r="E51" s="84"/>
      <c r="F51" s="84"/>
      <c r="G51" s="84"/>
      <c r="H51" s="85" t="s">
        <v>172</v>
      </c>
      <c r="I51" s="86" t="str">
        <f>+E3</f>
        <v>정휘범</v>
      </c>
      <c r="J51" s="87" t="s">
        <v>173</v>
      </c>
    </row>
    <row r="52" spans="1:10" s="57" customFormat="1" ht="30" customHeight="1" thickTop="1" thickBot="1">
      <c r="A52" s="386" t="s">
        <v>174</v>
      </c>
      <c r="B52" s="387"/>
      <c r="C52" s="387"/>
      <c r="D52" s="387"/>
      <c r="E52" s="387"/>
      <c r="F52" s="387"/>
      <c r="G52" s="387"/>
      <c r="H52" s="387"/>
      <c r="I52" s="387"/>
      <c r="J52" s="388"/>
    </row>
    <row r="53" spans="1:10" ht="30" customHeight="1" thickTop="1">
      <c r="A53" s="406" t="s">
        <v>175</v>
      </c>
      <c r="B53" s="397" t="str">
        <f>$A$3</f>
        <v>제이엠건축인테리어 주식회사</v>
      </c>
      <c r="C53" s="398"/>
      <c r="D53" s="88" t="str">
        <f>'[14]회사 정보'!E1</f>
        <v>대표이사</v>
      </c>
      <c r="E53" s="399" t="str">
        <f>급여셋팅!$D$17</f>
        <v>이소연</v>
      </c>
      <c r="F53" s="398"/>
      <c r="G53" s="398"/>
      <c r="H53" s="398"/>
      <c r="I53" s="408" t="s">
        <v>176</v>
      </c>
      <c r="J53" s="409"/>
    </row>
    <row r="54" spans="1:10" ht="30" customHeight="1" thickBot="1">
      <c r="A54" s="407"/>
      <c r="B54" s="402" t="s">
        <v>177</v>
      </c>
      <c r="C54" s="403"/>
      <c r="D54" s="403"/>
      <c r="E54" s="410" t="str">
        <f>급여셋팅!$D$16</f>
        <v>경상남도 창원시 의창구 평산로 135번길 4 , 2층</v>
      </c>
      <c r="F54" s="411"/>
      <c r="G54" s="411"/>
      <c r="H54" s="411"/>
      <c r="I54" s="411"/>
      <c r="J54" s="412"/>
    </row>
    <row r="55" spans="1:10" ht="30" customHeight="1" thickTop="1">
      <c r="A55" s="395" t="s">
        <v>172</v>
      </c>
      <c r="B55" s="397" t="s">
        <v>178</v>
      </c>
      <c r="C55" s="398"/>
      <c r="D55" s="398"/>
      <c r="E55" s="399" t="str">
        <f>+E3</f>
        <v>정휘범</v>
      </c>
      <c r="F55" s="399"/>
      <c r="G55" s="399"/>
      <c r="H55" s="399"/>
      <c r="I55" s="400" t="s">
        <v>176</v>
      </c>
      <c r="J55" s="401"/>
    </row>
    <row r="56" spans="1:10" ht="30" customHeight="1" thickBot="1">
      <c r="A56" s="396"/>
      <c r="B56" s="402" t="s">
        <v>179</v>
      </c>
      <c r="C56" s="403"/>
      <c r="D56" s="403"/>
      <c r="E56" s="404" t="str">
        <f>VLOOKUP(M1,'포괄 급여계산'!$A$3:$AG$12,3,0)</f>
        <v>000420-3861929</v>
      </c>
      <c r="F56" s="404"/>
      <c r="G56" s="404"/>
      <c r="H56" s="404"/>
      <c r="I56" s="404"/>
      <c r="J56" s="405"/>
    </row>
    <row r="57" spans="1:10" ht="0.2" customHeight="1" thickTop="1" thickBot="1">
      <c r="A57" s="49"/>
      <c r="B57" s="89"/>
      <c r="C57" s="89"/>
      <c r="D57" s="89"/>
      <c r="E57" s="75"/>
      <c r="F57" s="75"/>
      <c r="G57" s="90"/>
      <c r="H57" s="90"/>
      <c r="I57" s="90"/>
      <c r="J57" s="90"/>
    </row>
    <row r="58" spans="1:10" ht="0.2" customHeight="1" thickTop="1" thickBot="1">
      <c r="A58" s="49"/>
      <c r="B58" s="89"/>
      <c r="C58" s="89"/>
      <c r="D58" s="89"/>
      <c r="E58" s="75"/>
      <c r="F58" s="75"/>
      <c r="G58" s="90"/>
      <c r="H58" s="90"/>
      <c r="I58" s="90"/>
      <c r="J58" s="90"/>
    </row>
    <row r="59" spans="1:10" ht="0.2" customHeight="1" thickTop="1" thickBot="1">
      <c r="A59" s="49"/>
      <c r="B59" s="89"/>
      <c r="C59" s="89"/>
      <c r="D59" s="89"/>
      <c r="E59" s="75"/>
      <c r="F59" s="75"/>
      <c r="G59" s="90"/>
      <c r="H59" s="90"/>
      <c r="I59" s="90"/>
      <c r="J59" s="90"/>
    </row>
    <row r="60" spans="1:10" ht="0.2" customHeight="1" thickTop="1" thickBot="1">
      <c r="A60" s="49"/>
      <c r="B60" s="89"/>
      <c r="C60" s="89"/>
      <c r="D60" s="89"/>
      <c r="E60" s="75"/>
      <c r="F60" s="75"/>
      <c r="G60" s="90"/>
      <c r="H60" s="90"/>
      <c r="I60" s="90"/>
      <c r="J60" s="90"/>
    </row>
    <row r="61" spans="1:10" ht="0.2" customHeight="1" thickTop="1" thickBot="1">
      <c r="A61" s="49"/>
      <c r="B61" s="89"/>
      <c r="C61" s="89"/>
      <c r="D61" s="89"/>
      <c r="E61" s="75"/>
      <c r="F61" s="75"/>
      <c r="G61" s="90"/>
      <c r="H61" s="90"/>
      <c r="I61" s="90"/>
      <c r="J61" s="90"/>
    </row>
    <row r="62" spans="1:10" ht="39.950000000000003" customHeight="1" thickTop="1" thickBot="1">
      <c r="A62" s="370" t="s">
        <v>180</v>
      </c>
      <c r="B62" s="371"/>
      <c r="C62" s="371"/>
      <c r="D62" s="371"/>
      <c r="E62" s="371"/>
      <c r="F62" s="371"/>
      <c r="G62" s="371"/>
      <c r="H62" s="371"/>
      <c r="I62" s="371"/>
      <c r="J62" s="372"/>
    </row>
    <row r="63" spans="1:10" ht="32.25" customHeight="1" thickTop="1" thickBot="1">
      <c r="A63" s="413" t="str">
        <f>A3</f>
        <v>제이엠건축인테리어 주식회사</v>
      </c>
      <c r="B63" s="414"/>
      <c r="C63" s="53" t="s">
        <v>181</v>
      </c>
      <c r="E63" s="91" t="str">
        <f>+E3</f>
        <v>정휘범</v>
      </c>
      <c r="F63" s="92" t="s">
        <v>182</v>
      </c>
      <c r="G63" s="53"/>
      <c r="H63" s="53"/>
      <c r="I63" s="53"/>
      <c r="J63" s="56"/>
    </row>
    <row r="64" spans="1:10" s="57" customFormat="1" ht="20.100000000000001" customHeight="1" thickTop="1">
      <c r="A64" s="380" t="s">
        <v>183</v>
      </c>
      <c r="B64" s="43" t="s">
        <v>184</v>
      </c>
      <c r="C64" s="93" t="s">
        <v>185</v>
      </c>
      <c r="D64" s="42"/>
      <c r="E64" s="43"/>
      <c r="F64" s="43"/>
      <c r="G64" s="43"/>
      <c r="H64" s="43"/>
      <c r="I64" s="43"/>
      <c r="J64" s="44"/>
    </row>
    <row r="65" spans="1:10" s="57" customFormat="1" ht="20.100000000000001" customHeight="1">
      <c r="A65" s="381"/>
      <c r="B65" s="49" t="s">
        <v>186</v>
      </c>
      <c r="C65" s="49"/>
      <c r="D65" s="49"/>
      <c r="E65" s="49"/>
      <c r="F65" s="49"/>
      <c r="G65" s="49"/>
      <c r="H65" s="49"/>
      <c r="I65" s="49"/>
      <c r="J65" s="50"/>
    </row>
    <row r="66" spans="1:10" s="57" customFormat="1" ht="20.100000000000001" customHeight="1" thickBot="1">
      <c r="A66" s="382"/>
      <c r="B66" s="53" t="s">
        <v>187</v>
      </c>
      <c r="C66" s="53"/>
      <c r="D66" s="53"/>
      <c r="E66" s="53"/>
      <c r="F66" s="53"/>
      <c r="G66" s="53"/>
      <c r="H66" s="53"/>
      <c r="I66" s="53"/>
      <c r="J66" s="56"/>
    </row>
    <row r="67" spans="1:10" ht="20.100000000000001" customHeight="1" thickTop="1">
      <c r="A67" s="389" t="s">
        <v>188</v>
      </c>
      <c r="B67" s="41" t="s">
        <v>189</v>
      </c>
      <c r="C67" s="43"/>
      <c r="D67" s="43"/>
      <c r="E67" s="94"/>
      <c r="F67" s="94"/>
      <c r="G67" s="43"/>
      <c r="H67" s="43"/>
      <c r="I67" s="43"/>
      <c r="J67" s="44"/>
    </row>
    <row r="68" spans="1:10" ht="20.100000000000001" customHeight="1" thickBot="1">
      <c r="A68" s="390"/>
      <c r="B68" s="51" t="s">
        <v>190</v>
      </c>
      <c r="C68" s="49"/>
      <c r="D68" s="49"/>
      <c r="E68" s="49"/>
      <c r="F68" s="49"/>
      <c r="G68" s="95"/>
      <c r="H68" s="85" t="s">
        <v>172</v>
      </c>
      <c r="I68" s="86" t="str">
        <f>+E3</f>
        <v>정휘범</v>
      </c>
      <c r="J68" s="87" t="s">
        <v>173</v>
      </c>
    </row>
    <row r="69" spans="1:10" ht="20.100000000000001" customHeight="1" thickTop="1" thickBot="1">
      <c r="A69" s="390"/>
      <c r="B69" s="415" t="s">
        <v>191</v>
      </c>
      <c r="C69" s="416"/>
      <c r="D69" s="416"/>
      <c r="E69" s="417"/>
      <c r="F69" s="418" t="s">
        <v>192</v>
      </c>
      <c r="G69" s="419"/>
      <c r="H69" s="420" t="s">
        <v>193</v>
      </c>
      <c r="I69" s="421"/>
      <c r="J69" s="422"/>
    </row>
    <row r="70" spans="1:10" ht="20.100000000000001" customHeight="1" thickTop="1">
      <c r="A70" s="390"/>
      <c r="B70" s="423" t="s">
        <v>247</v>
      </c>
      <c r="C70" s="424"/>
      <c r="D70" s="424"/>
      <c r="E70" s="425"/>
      <c r="F70" s="426">
        <f>VLOOKUP($M$1,'포괄 급여계산'!$A$3:$AC$12,21,0)</f>
        <v>1956880</v>
      </c>
      <c r="G70" s="427"/>
      <c r="H70" s="428" t="s">
        <v>285</v>
      </c>
      <c r="I70" s="429"/>
      <c r="J70" s="430"/>
    </row>
    <row r="71" spans="1:10" ht="20.100000000000001" customHeight="1">
      <c r="A71" s="390"/>
      <c r="B71" s="431" t="s">
        <v>284</v>
      </c>
      <c r="C71" s="432"/>
      <c r="D71" s="432"/>
      <c r="E71" s="433"/>
      <c r="F71" s="426">
        <f>VLOOKUP($M$1,'포괄 급여계산'!$A$3:$AC$12,26,0)</f>
        <v>336303</v>
      </c>
      <c r="G71" s="427"/>
      <c r="H71" s="343">
        <f>VLOOKUP($M$1,'포괄 급여계산'!$A$3:$AC$12,18,0)</f>
        <v>32.587499999999999</v>
      </c>
      <c r="I71" s="434" t="s">
        <v>339</v>
      </c>
      <c r="J71" s="435"/>
    </row>
    <row r="72" spans="1:10" ht="20.100000000000001" hidden="1" customHeight="1">
      <c r="A72" s="390"/>
      <c r="B72" s="431"/>
      <c r="C72" s="432"/>
      <c r="D72" s="432"/>
      <c r="E72" s="433"/>
      <c r="F72" s="426"/>
      <c r="G72" s="427"/>
      <c r="H72" s="96"/>
      <c r="I72" s="434" t="s">
        <v>290</v>
      </c>
      <c r="J72" s="435"/>
    </row>
    <row r="73" spans="1:10" ht="20.100000000000001" customHeight="1">
      <c r="A73" s="390"/>
      <c r="B73" s="431" t="s">
        <v>337</v>
      </c>
      <c r="C73" s="432"/>
      <c r="D73" s="432"/>
      <c r="E73" s="433"/>
      <c r="F73" s="439">
        <f>VLOOKUP($M$1,'포괄 급여계산'!$A$3:$AC$12,29,0)</f>
        <v>0</v>
      </c>
      <c r="G73" s="433"/>
      <c r="H73" s="439"/>
      <c r="I73" s="432"/>
      <c r="J73" s="566"/>
    </row>
    <row r="74" spans="1:10" ht="20.100000000000001" customHeight="1">
      <c r="A74" s="390"/>
      <c r="B74" s="431" t="s">
        <v>248</v>
      </c>
      <c r="C74" s="432"/>
      <c r="D74" s="432"/>
      <c r="E74" s="433"/>
      <c r="F74" s="439">
        <f>VLOOKUP($M$1,'포괄 급여계산'!$A$3:$AC$12,24,0)</f>
        <v>200000</v>
      </c>
      <c r="G74" s="433"/>
      <c r="H74" s="439"/>
      <c r="I74" s="432"/>
      <c r="J74" s="566"/>
    </row>
    <row r="75" spans="1:10" ht="20.100000000000001" customHeight="1">
      <c r="A75" s="390"/>
      <c r="B75" s="431" t="s">
        <v>46</v>
      </c>
      <c r="C75" s="432"/>
      <c r="D75" s="432"/>
      <c r="E75" s="433"/>
      <c r="F75" s="439">
        <f>VLOOKUP($M$1,'포괄 급여계산'!$A$3:$AC$12,25,0)</f>
        <v>0</v>
      </c>
      <c r="G75" s="433"/>
      <c r="H75" s="439"/>
      <c r="I75" s="432"/>
      <c r="J75" s="566"/>
    </row>
    <row r="76" spans="1:10" ht="20.100000000000001" customHeight="1">
      <c r="A76" s="390"/>
      <c r="B76" s="431" t="s">
        <v>49</v>
      </c>
      <c r="C76" s="432"/>
      <c r="D76" s="432"/>
      <c r="E76" s="433"/>
      <c r="F76" s="426">
        <f>VLOOKUP($M$1,'포괄 급여계산'!$A$3:$AC$12,22,0)</f>
        <v>0</v>
      </c>
      <c r="G76" s="427"/>
      <c r="H76" s="436"/>
      <c r="I76" s="437"/>
      <c r="J76" s="438"/>
    </row>
    <row r="77" spans="1:10" ht="20.100000000000001" customHeight="1">
      <c r="A77" s="390"/>
      <c r="B77" s="431"/>
      <c r="C77" s="432"/>
      <c r="D77" s="432"/>
      <c r="E77" s="433"/>
      <c r="F77" s="426"/>
      <c r="G77" s="427"/>
      <c r="H77" s="436"/>
      <c r="I77" s="437"/>
      <c r="J77" s="438"/>
    </row>
    <row r="78" spans="1:10" ht="20.100000000000001" customHeight="1">
      <c r="A78" s="390"/>
      <c r="B78" s="431"/>
      <c r="C78" s="432"/>
      <c r="D78" s="432"/>
      <c r="E78" s="433"/>
      <c r="F78" s="426"/>
      <c r="G78" s="427"/>
      <c r="H78" s="436"/>
      <c r="I78" s="437"/>
      <c r="J78" s="438"/>
    </row>
    <row r="79" spans="1:10" ht="20.100000000000001" customHeight="1">
      <c r="A79" s="390"/>
      <c r="B79" s="431"/>
      <c r="C79" s="432"/>
      <c r="D79" s="432"/>
      <c r="E79" s="433"/>
      <c r="F79" s="426"/>
      <c r="G79" s="427"/>
      <c r="H79" s="436"/>
      <c r="I79" s="437"/>
      <c r="J79" s="438"/>
    </row>
    <row r="80" spans="1:10" ht="20.100000000000001" customHeight="1">
      <c r="A80" s="390"/>
      <c r="B80" s="431"/>
      <c r="C80" s="432"/>
      <c r="D80" s="432"/>
      <c r="E80" s="433"/>
      <c r="F80" s="426"/>
      <c r="G80" s="427"/>
      <c r="H80" s="436"/>
      <c r="I80" s="437"/>
      <c r="J80" s="438"/>
    </row>
    <row r="81" spans="1:10" ht="20.100000000000001" customHeight="1">
      <c r="A81" s="390"/>
      <c r="B81" s="431"/>
      <c r="C81" s="432"/>
      <c r="D81" s="432"/>
      <c r="E81" s="433"/>
      <c r="F81" s="439"/>
      <c r="G81" s="433"/>
      <c r="H81" s="436"/>
      <c r="I81" s="437"/>
      <c r="J81" s="438"/>
    </row>
    <row r="82" spans="1:10" ht="20.100000000000001" customHeight="1">
      <c r="A82" s="390"/>
      <c r="B82" s="440"/>
      <c r="C82" s="437"/>
      <c r="D82" s="437"/>
      <c r="E82" s="427"/>
      <c r="F82" s="439"/>
      <c r="G82" s="433"/>
      <c r="H82" s="436"/>
      <c r="I82" s="437"/>
      <c r="J82" s="438"/>
    </row>
    <row r="83" spans="1:10" ht="20.100000000000001" customHeight="1">
      <c r="A83" s="390"/>
      <c r="B83" s="440"/>
      <c r="C83" s="437"/>
      <c r="D83" s="437"/>
      <c r="E83" s="427"/>
      <c r="F83" s="439"/>
      <c r="G83" s="433"/>
      <c r="H83" s="436"/>
      <c r="I83" s="437"/>
      <c r="J83" s="438"/>
    </row>
    <row r="84" spans="1:10" ht="20.100000000000001" customHeight="1">
      <c r="A84" s="390"/>
      <c r="B84" s="440"/>
      <c r="C84" s="437"/>
      <c r="D84" s="437"/>
      <c r="E84" s="427"/>
      <c r="F84" s="439"/>
      <c r="G84" s="433"/>
      <c r="H84" s="436"/>
      <c r="I84" s="437"/>
      <c r="J84" s="438"/>
    </row>
    <row r="85" spans="1:10" ht="20.100000000000001" customHeight="1" thickBot="1">
      <c r="A85" s="390"/>
      <c r="B85" s="441"/>
      <c r="C85" s="442"/>
      <c r="D85" s="442"/>
      <c r="E85" s="443"/>
      <c r="F85" s="444"/>
      <c r="G85" s="443"/>
      <c r="H85" s="445"/>
      <c r="I85" s="442"/>
      <c r="J85" s="446"/>
    </row>
    <row r="86" spans="1:10" ht="20.100000000000001" customHeight="1" thickTop="1" thickBot="1">
      <c r="A86" s="390"/>
      <c r="B86" s="415" t="s">
        <v>194</v>
      </c>
      <c r="C86" s="447"/>
      <c r="D86" s="447"/>
      <c r="E86" s="447"/>
      <c r="F86" s="448">
        <f>SUM(F70:G85)</f>
        <v>2493183</v>
      </c>
      <c r="G86" s="448"/>
      <c r="H86" s="448"/>
      <c r="I86" s="448"/>
      <c r="J86" s="449"/>
    </row>
    <row r="87" spans="1:10" s="57" customFormat="1" ht="20.100000000000001" customHeight="1" thickTop="1">
      <c r="A87" s="390"/>
      <c r="B87" s="45" t="s">
        <v>195</v>
      </c>
      <c r="C87" s="46"/>
      <c r="D87" s="46"/>
      <c r="E87" s="46"/>
      <c r="F87" s="46"/>
      <c r="G87" s="46"/>
      <c r="H87" s="46"/>
      <c r="I87" s="46"/>
      <c r="J87" s="97"/>
    </row>
    <row r="88" spans="1:10" s="57" customFormat="1" ht="20.100000000000001" customHeight="1">
      <c r="A88" s="390"/>
      <c r="B88" s="45" t="s">
        <v>196</v>
      </c>
      <c r="C88" s="46"/>
      <c r="D88" s="46"/>
      <c r="E88" s="46"/>
      <c r="F88" s="46"/>
      <c r="G88" s="46"/>
      <c r="H88" s="46"/>
      <c r="I88" s="46"/>
      <c r="J88" s="97"/>
    </row>
    <row r="89" spans="1:10" s="57" customFormat="1" ht="20.100000000000001" customHeight="1">
      <c r="A89" s="390"/>
      <c r="B89" s="45" t="s">
        <v>197</v>
      </c>
      <c r="C89" s="46"/>
      <c r="D89" s="46"/>
      <c r="E89" s="46"/>
      <c r="F89" s="46"/>
      <c r="G89" s="46"/>
      <c r="H89" s="46"/>
      <c r="I89" s="46"/>
      <c r="J89" s="97"/>
    </row>
    <row r="90" spans="1:10" s="57" customFormat="1" ht="20.100000000000001" customHeight="1">
      <c r="A90" s="390"/>
      <c r="B90" s="45" t="s">
        <v>198</v>
      </c>
      <c r="C90" s="46"/>
      <c r="D90" s="46"/>
      <c r="E90" s="46"/>
      <c r="F90" s="46"/>
      <c r="G90" s="46"/>
      <c r="H90" s="46"/>
      <c r="I90" s="46"/>
      <c r="J90" s="97"/>
    </row>
    <row r="91" spans="1:10" s="57" customFormat="1" ht="20.100000000000001" customHeight="1">
      <c r="A91" s="390"/>
      <c r="B91" s="45" t="s">
        <v>199</v>
      </c>
      <c r="C91" s="46"/>
      <c r="D91" s="46"/>
      <c r="E91" s="46"/>
      <c r="F91" s="46"/>
      <c r="G91" s="46"/>
      <c r="H91" s="46"/>
      <c r="I91" s="46"/>
      <c r="J91" s="97"/>
    </row>
    <row r="92" spans="1:10" s="57" customFormat="1" ht="20.100000000000001" customHeight="1">
      <c r="A92" s="390"/>
      <c r="B92" s="45" t="s">
        <v>200</v>
      </c>
      <c r="C92" s="46"/>
      <c r="D92" s="46"/>
      <c r="E92" s="46"/>
      <c r="F92" s="46"/>
      <c r="G92" s="46"/>
      <c r="H92" s="46"/>
      <c r="I92" s="46"/>
      <c r="J92" s="97"/>
    </row>
    <row r="93" spans="1:10" s="57" customFormat="1" ht="20.100000000000001" customHeight="1">
      <c r="A93" s="390"/>
      <c r="B93" s="45" t="s">
        <v>201</v>
      </c>
      <c r="C93" s="46"/>
      <c r="D93" s="46"/>
      <c r="E93" s="46"/>
      <c r="F93" s="46"/>
      <c r="G93" s="46"/>
      <c r="H93" s="46"/>
      <c r="I93" s="46"/>
      <c r="J93" s="97"/>
    </row>
    <row r="94" spans="1:10" s="57" customFormat="1" ht="20.100000000000001" customHeight="1">
      <c r="A94" s="390"/>
      <c r="B94" s="51" t="s">
        <v>202</v>
      </c>
      <c r="C94" s="49"/>
      <c r="D94" s="49"/>
      <c r="E94" s="49"/>
      <c r="F94" s="49"/>
      <c r="G94" s="49"/>
      <c r="H94" s="49"/>
      <c r="I94" s="49"/>
      <c r="J94" s="50"/>
    </row>
    <row r="95" spans="1:10" s="57" customFormat="1" ht="20.100000000000001" customHeight="1">
      <c r="A95" s="390"/>
      <c r="B95" s="51" t="s">
        <v>203</v>
      </c>
      <c r="C95" s="49"/>
      <c r="D95" s="49"/>
      <c r="E95" s="49"/>
      <c r="F95" s="49"/>
      <c r="G95" s="49"/>
      <c r="H95" s="49"/>
      <c r="I95" s="49"/>
      <c r="J95" s="50"/>
    </row>
    <row r="96" spans="1:10" ht="20.100000000000001" customHeight="1">
      <c r="A96" s="390"/>
      <c r="B96" s="51" t="s">
        <v>204</v>
      </c>
      <c r="C96" s="49"/>
      <c r="D96" s="49"/>
      <c r="E96" s="49"/>
      <c r="F96" s="49"/>
      <c r="G96" s="49"/>
      <c r="H96" s="49"/>
      <c r="I96" s="49"/>
      <c r="J96" s="50"/>
    </row>
    <row r="97" spans="1:13" ht="20.100000000000001" customHeight="1">
      <c r="A97" s="390"/>
      <c r="B97" s="51" t="s">
        <v>205</v>
      </c>
      <c r="C97" s="49"/>
      <c r="D97" s="49"/>
      <c r="E97" s="49"/>
      <c r="F97" s="49"/>
      <c r="G97" s="49"/>
      <c r="H97" s="49"/>
      <c r="I97" s="49"/>
      <c r="J97" s="50"/>
      <c r="K97" s="98"/>
      <c r="L97" s="98"/>
      <c r="M97" s="98"/>
    </row>
    <row r="98" spans="1:13" ht="20.100000000000001" customHeight="1">
      <c r="A98" s="390"/>
      <c r="B98" s="51" t="s">
        <v>206</v>
      </c>
      <c r="C98" s="49"/>
      <c r="D98" s="49"/>
      <c r="E98" s="49"/>
      <c r="F98" s="49"/>
      <c r="G98" s="49"/>
      <c r="H98" s="49"/>
      <c r="I98" s="49"/>
      <c r="J98" s="50"/>
      <c r="K98" s="98"/>
      <c r="L98" s="98"/>
      <c r="M98" s="98"/>
    </row>
    <row r="99" spans="1:13" ht="20.100000000000001" customHeight="1">
      <c r="A99" s="390"/>
      <c r="B99" s="45" t="s">
        <v>207</v>
      </c>
      <c r="C99" s="46"/>
      <c r="D99" s="46"/>
      <c r="E99" s="46"/>
      <c r="F99" s="46"/>
      <c r="G99" s="46"/>
      <c r="H99" s="49"/>
      <c r="I99" s="49"/>
      <c r="J99" s="50"/>
    </row>
    <row r="100" spans="1:13" ht="20.100000000000001" customHeight="1" thickBot="1">
      <c r="A100" s="391"/>
      <c r="B100" s="99" t="s">
        <v>208</v>
      </c>
      <c r="C100" s="53"/>
      <c r="D100" s="53"/>
      <c r="E100" s="53"/>
      <c r="F100" s="53"/>
      <c r="G100" s="53"/>
      <c r="H100" s="53"/>
      <c r="I100" s="53"/>
      <c r="J100" s="56"/>
    </row>
    <row r="101" spans="1:13" s="102" customFormat="1" ht="20.100000000000001" customHeight="1" thickTop="1">
      <c r="A101" s="380" t="s">
        <v>209</v>
      </c>
      <c r="B101" s="450" t="s">
        <v>210</v>
      </c>
      <c r="C101" s="451"/>
      <c r="D101" s="451"/>
      <c r="E101" s="451"/>
      <c r="F101" s="451"/>
      <c r="G101" s="451"/>
      <c r="H101" s="61"/>
      <c r="I101" s="100"/>
      <c r="J101" s="101"/>
    </row>
    <row r="102" spans="1:13" s="102" customFormat="1" ht="20.100000000000001" customHeight="1" thickBot="1">
      <c r="A102" s="382"/>
      <c r="B102" s="52" t="s">
        <v>211</v>
      </c>
      <c r="C102" s="53"/>
      <c r="D102" s="53"/>
      <c r="E102" s="53"/>
      <c r="F102" s="53"/>
      <c r="G102" s="53"/>
      <c r="H102" s="103"/>
      <c r="I102" s="104"/>
      <c r="J102" s="105"/>
    </row>
    <row r="103" spans="1:13" ht="30" customHeight="1" thickTop="1" thickBot="1">
      <c r="A103" s="386" t="s">
        <v>174</v>
      </c>
      <c r="B103" s="387"/>
      <c r="C103" s="387"/>
      <c r="D103" s="387"/>
      <c r="E103" s="387"/>
      <c r="F103" s="387"/>
      <c r="G103" s="387"/>
      <c r="H103" s="387"/>
      <c r="I103" s="387"/>
      <c r="J103" s="388"/>
    </row>
    <row r="104" spans="1:13" ht="30" customHeight="1" thickTop="1">
      <c r="A104" s="406" t="s">
        <v>175</v>
      </c>
      <c r="B104" s="397" t="str">
        <f>$A$3</f>
        <v>제이엠건축인테리어 주식회사</v>
      </c>
      <c r="C104" s="398"/>
      <c r="D104" s="88" t="str">
        <f>'[14]회사 정보'!E1</f>
        <v>대표이사</v>
      </c>
      <c r="E104" s="399" t="str">
        <f>$E$53</f>
        <v>이소연</v>
      </c>
      <c r="F104" s="398"/>
      <c r="G104" s="398"/>
      <c r="H104" s="398"/>
      <c r="I104" s="408" t="s">
        <v>176</v>
      </c>
      <c r="J104" s="409"/>
    </row>
    <row r="105" spans="1:13" ht="30" customHeight="1" thickBot="1">
      <c r="A105" s="407"/>
      <c r="B105" s="452" t="s">
        <v>177</v>
      </c>
      <c r="C105" s="453"/>
      <c r="D105" s="453"/>
      <c r="E105" s="454" t="str">
        <f>급여셋팅!$D$16</f>
        <v>경상남도 창원시 의창구 평산로 135번길 4 , 2층</v>
      </c>
      <c r="F105" s="455"/>
      <c r="G105" s="455"/>
      <c r="H105" s="455"/>
      <c r="I105" s="455"/>
      <c r="J105" s="456"/>
    </row>
    <row r="106" spans="1:13" ht="30" customHeight="1" thickTop="1">
      <c r="A106" s="406" t="s">
        <v>172</v>
      </c>
      <c r="B106" s="397" t="s">
        <v>178</v>
      </c>
      <c r="C106" s="398"/>
      <c r="D106" s="398"/>
      <c r="E106" s="399" t="str">
        <f>+E3</f>
        <v>정휘범</v>
      </c>
      <c r="F106" s="399"/>
      <c r="G106" s="399"/>
      <c r="H106" s="399"/>
      <c r="I106" s="400" t="s">
        <v>176</v>
      </c>
      <c r="J106" s="401"/>
    </row>
    <row r="107" spans="1:13" ht="30" customHeight="1" thickBot="1">
      <c r="A107" s="396"/>
      <c r="B107" s="402" t="s">
        <v>179</v>
      </c>
      <c r="C107" s="403"/>
      <c r="D107" s="403"/>
      <c r="E107" s="404" t="str">
        <f>$E$56</f>
        <v>000420-3861929</v>
      </c>
      <c r="F107" s="404"/>
      <c r="G107" s="404"/>
      <c r="H107" s="404"/>
      <c r="I107" s="404"/>
      <c r="J107" s="405"/>
    </row>
    <row r="108" spans="1:13" ht="30" customHeight="1" thickTop="1">
      <c r="A108" s="467" t="s">
        <v>212</v>
      </c>
      <c r="B108" s="468"/>
      <c r="C108" s="468"/>
      <c r="D108" s="468"/>
      <c r="E108" s="468"/>
      <c r="F108" s="468"/>
      <c r="G108" s="468"/>
      <c r="H108" s="468"/>
      <c r="I108" s="468"/>
      <c r="J108" s="469"/>
    </row>
    <row r="109" spans="1:13" ht="20.100000000000001" customHeight="1">
      <c r="A109" s="106"/>
      <c r="B109" s="49"/>
      <c r="C109" s="49"/>
      <c r="D109" s="49"/>
      <c r="E109" s="49"/>
      <c r="F109" s="49"/>
      <c r="G109" s="49"/>
      <c r="H109" s="49"/>
      <c r="I109" s="49"/>
      <c r="J109" s="50"/>
    </row>
    <row r="110" spans="1:13" ht="20.100000000000001" customHeight="1">
      <c r="A110" s="107" t="s">
        <v>213</v>
      </c>
      <c r="B110" s="108"/>
      <c r="C110" s="108"/>
      <c r="D110" s="108"/>
      <c r="E110" s="108"/>
      <c r="F110" s="108"/>
      <c r="G110" s="108"/>
      <c r="H110" s="108"/>
      <c r="I110" s="108"/>
      <c r="J110" s="109"/>
    </row>
    <row r="111" spans="1:13" ht="20.100000000000001" customHeight="1">
      <c r="A111" s="51"/>
      <c r="B111" s="108"/>
      <c r="C111" s="108"/>
      <c r="D111" s="108"/>
      <c r="E111" s="49"/>
      <c r="F111" s="49"/>
      <c r="G111" s="49"/>
      <c r="H111" s="49"/>
      <c r="I111" s="49"/>
      <c r="J111" s="50"/>
    </row>
    <row r="112" spans="1:13" ht="20.100000000000001" customHeight="1">
      <c r="A112" s="470" t="s">
        <v>214</v>
      </c>
      <c r="B112" s="471"/>
      <c r="C112" s="471"/>
      <c r="D112" s="471"/>
      <c r="E112" s="471"/>
      <c r="F112" s="471"/>
      <c r="G112" s="471"/>
      <c r="H112" s="471"/>
      <c r="I112" s="471"/>
      <c r="J112" s="472"/>
    </row>
    <row r="113" spans="1:10" ht="20.100000000000001" customHeight="1">
      <c r="A113" s="51"/>
      <c r="B113" s="108"/>
      <c r="C113" s="108"/>
      <c r="D113" s="108"/>
      <c r="E113" s="49"/>
      <c r="F113" s="49"/>
      <c r="G113" s="49"/>
      <c r="H113" s="49"/>
      <c r="I113" s="49"/>
      <c r="J113" s="50"/>
    </row>
    <row r="114" spans="1:10" ht="20.100000000000001" customHeight="1">
      <c r="A114" s="51"/>
      <c r="B114" s="110" t="s">
        <v>215</v>
      </c>
      <c r="C114" s="110"/>
      <c r="D114" s="110"/>
      <c r="E114" s="69"/>
      <c r="F114" s="69"/>
      <c r="G114" s="69"/>
      <c r="H114" s="69"/>
      <c r="I114" s="69"/>
      <c r="J114" s="111"/>
    </row>
    <row r="115" spans="1:10" ht="20.100000000000001" customHeight="1">
      <c r="A115" s="51"/>
      <c r="B115" s="110" t="s">
        <v>216</v>
      </c>
      <c r="C115" s="110"/>
      <c r="D115" s="110"/>
      <c r="E115" s="69"/>
      <c r="F115" s="69"/>
      <c r="G115" s="69"/>
      <c r="H115" s="69"/>
      <c r="I115" s="69"/>
      <c r="J115" s="111"/>
    </row>
    <row r="116" spans="1:10" ht="20.100000000000001" customHeight="1">
      <c r="A116" s="51"/>
      <c r="B116" s="110" t="s">
        <v>217</v>
      </c>
      <c r="C116" s="110"/>
      <c r="D116" s="110"/>
      <c r="E116" s="69"/>
      <c r="F116" s="69"/>
      <c r="G116" s="69"/>
      <c r="H116" s="69"/>
      <c r="I116" s="69"/>
      <c r="J116" s="111"/>
    </row>
    <row r="117" spans="1:10" ht="20.100000000000001" customHeight="1">
      <c r="A117" s="51"/>
      <c r="B117" s="110" t="s">
        <v>218</v>
      </c>
      <c r="C117" s="110"/>
      <c r="D117" s="110"/>
      <c r="E117" s="69"/>
      <c r="F117" s="69"/>
      <c r="G117" s="69"/>
      <c r="H117" s="69"/>
      <c r="I117" s="69"/>
      <c r="J117" s="111"/>
    </row>
    <row r="118" spans="1:10" ht="20.100000000000001" customHeight="1">
      <c r="A118" s="51"/>
      <c r="B118" s="112"/>
      <c r="C118" s="112"/>
      <c r="D118" s="112"/>
      <c r="E118" s="69"/>
      <c r="F118" s="69"/>
      <c r="G118" s="113"/>
      <c r="H118" s="113"/>
      <c r="I118" s="113"/>
      <c r="J118" s="114"/>
    </row>
    <row r="119" spans="1:10" ht="20.100000000000001" customHeight="1">
      <c r="A119" s="51"/>
      <c r="B119" s="112"/>
      <c r="C119" s="112"/>
      <c r="D119" s="112"/>
      <c r="E119" s="69"/>
      <c r="F119" s="69"/>
      <c r="G119" s="113"/>
      <c r="H119" s="113"/>
      <c r="I119" s="113"/>
      <c r="J119" s="114"/>
    </row>
    <row r="120" spans="1:10" ht="20.100000000000001" customHeight="1">
      <c r="A120" s="115"/>
      <c r="B120" s="473" t="s">
        <v>174</v>
      </c>
      <c r="C120" s="473"/>
      <c r="D120" s="473"/>
      <c r="E120" s="473"/>
      <c r="F120" s="473"/>
      <c r="G120" s="473"/>
      <c r="H120" s="473"/>
      <c r="I120" s="473"/>
      <c r="J120" s="474"/>
    </row>
    <row r="121" spans="1:10" ht="20.100000000000001" customHeight="1">
      <c r="A121" s="118"/>
      <c r="B121" s="116"/>
      <c r="C121" s="116"/>
      <c r="D121" s="116"/>
      <c r="E121" s="116"/>
      <c r="F121" s="116"/>
      <c r="G121" s="116"/>
      <c r="H121" s="116"/>
      <c r="I121" s="116"/>
      <c r="J121" s="117"/>
    </row>
    <row r="122" spans="1:10" ht="20.100000000000001" customHeight="1">
      <c r="A122" s="51"/>
      <c r="B122" s="119"/>
      <c r="C122" s="119"/>
      <c r="D122" s="119"/>
      <c r="E122" s="120"/>
      <c r="F122" s="120"/>
      <c r="G122" s="121"/>
      <c r="H122" s="121"/>
      <c r="I122" s="121"/>
      <c r="J122" s="122"/>
    </row>
    <row r="123" spans="1:10" ht="20.100000000000001" customHeight="1">
      <c r="A123" s="51"/>
      <c r="B123" s="49"/>
      <c r="C123" s="49"/>
      <c r="D123" s="457" t="s">
        <v>178</v>
      </c>
      <c r="E123" s="457"/>
      <c r="F123" s="475" t="str">
        <f>+E3</f>
        <v>정휘범</v>
      </c>
      <c r="G123" s="476"/>
      <c r="H123" s="457" t="s">
        <v>176</v>
      </c>
      <c r="I123" s="457"/>
      <c r="J123" s="50"/>
    </row>
    <row r="124" spans="1:10" ht="20.100000000000001" customHeight="1">
      <c r="A124" s="51"/>
      <c r="B124" s="49"/>
      <c r="C124" s="49"/>
      <c r="D124" s="457" t="s">
        <v>219</v>
      </c>
      <c r="E124" s="457"/>
      <c r="F124" s="458" t="str">
        <f>C9</f>
        <v>본사</v>
      </c>
      <c r="G124" s="458"/>
      <c r="H124" s="458"/>
      <c r="I124" s="458"/>
      <c r="J124" s="50"/>
    </row>
    <row r="125" spans="1:10" ht="20.100000000000001" customHeight="1" thickBot="1">
      <c r="A125" s="52"/>
      <c r="B125" s="123"/>
      <c r="C125" s="123"/>
      <c r="D125" s="459" t="s">
        <v>220</v>
      </c>
      <c r="E125" s="459"/>
      <c r="F125" s="460" t="str">
        <f>$E$56</f>
        <v>000420-3861929</v>
      </c>
      <c r="G125" s="460"/>
      <c r="H125" s="460"/>
      <c r="I125" s="460"/>
      <c r="J125" s="124"/>
    </row>
    <row r="126" spans="1:10" ht="20.100000000000001" customHeight="1" thickTop="1">
      <c r="A126" s="49"/>
      <c r="B126" s="119"/>
      <c r="C126" s="119"/>
      <c r="D126" s="119"/>
      <c r="E126" s="120"/>
      <c r="F126" s="120"/>
      <c r="G126" s="58"/>
      <c r="H126" s="58"/>
      <c r="I126" s="58"/>
      <c r="J126" s="58"/>
    </row>
    <row r="127" spans="1:10" ht="20.100000000000001" customHeight="1">
      <c r="A127" s="49"/>
      <c r="B127" s="119"/>
      <c r="C127" s="119"/>
      <c r="D127" s="119"/>
      <c r="E127" s="125"/>
      <c r="F127" s="120"/>
      <c r="G127" s="58"/>
      <c r="H127" s="58"/>
      <c r="I127" s="58"/>
      <c r="J127" s="58"/>
    </row>
    <row r="128" spans="1:10" ht="20.100000000000001" customHeight="1">
      <c r="A128" s="49"/>
      <c r="B128" s="119"/>
      <c r="C128" s="119"/>
      <c r="D128" s="119"/>
      <c r="E128" s="120"/>
      <c r="F128" s="120"/>
      <c r="G128" s="58"/>
      <c r="H128" s="58"/>
      <c r="I128" s="58"/>
      <c r="J128" s="58"/>
    </row>
    <row r="129" spans="1:10" ht="20.100000000000001" customHeight="1">
      <c r="A129" s="49"/>
      <c r="B129" s="119"/>
      <c r="C129" s="119"/>
      <c r="D129" s="119"/>
      <c r="E129" s="120"/>
      <c r="F129" s="120"/>
      <c r="G129" s="58"/>
      <c r="H129" s="58"/>
      <c r="I129" s="58"/>
      <c r="J129" s="58"/>
    </row>
    <row r="130" spans="1:10" ht="20.100000000000001" customHeight="1">
      <c r="A130" s="49"/>
      <c r="B130" s="126"/>
      <c r="C130" s="126"/>
      <c r="D130" s="126"/>
      <c r="E130" s="120"/>
      <c r="F130" s="120"/>
      <c r="G130" s="58"/>
      <c r="H130" s="58"/>
      <c r="I130" s="58"/>
      <c r="J130" s="58"/>
    </row>
    <row r="131" spans="1:10" ht="20.100000000000001" customHeight="1" thickBot="1">
      <c r="A131" s="49"/>
      <c r="B131" s="127"/>
      <c r="C131" s="127"/>
      <c r="D131" s="127"/>
      <c r="E131" s="120"/>
      <c r="F131" s="120"/>
      <c r="G131" s="58"/>
      <c r="H131" s="58"/>
      <c r="I131" s="58"/>
      <c r="J131" s="58"/>
    </row>
    <row r="132" spans="1:10" ht="30" customHeight="1" thickTop="1">
      <c r="A132" s="461" t="s">
        <v>221</v>
      </c>
      <c r="B132" s="462"/>
      <c r="C132" s="462"/>
      <c r="D132" s="462"/>
      <c r="E132" s="462"/>
      <c r="F132" s="462"/>
      <c r="G132" s="462"/>
      <c r="H132" s="462"/>
      <c r="I132" s="462"/>
      <c r="J132" s="463"/>
    </row>
    <row r="133" spans="1:10" ht="20.100000000000001" customHeight="1">
      <c r="A133" s="128"/>
      <c r="B133" s="69"/>
      <c r="C133" s="69"/>
      <c r="D133" s="69"/>
      <c r="E133" s="69"/>
      <c r="F133" s="69"/>
      <c r="G133" s="69"/>
      <c r="H133" s="69"/>
      <c r="I133" s="69"/>
      <c r="J133" s="50"/>
    </row>
    <row r="134" spans="1:10" ht="20.100000000000001" customHeight="1" thickBot="1">
      <c r="A134" s="110" t="s">
        <v>222</v>
      </c>
      <c r="B134" s="110"/>
      <c r="C134" s="110"/>
      <c r="D134" s="129"/>
      <c r="E134" s="129"/>
      <c r="F134" s="129"/>
      <c r="G134" s="129"/>
      <c r="H134" s="129"/>
      <c r="I134" s="129"/>
      <c r="J134" s="49"/>
    </row>
    <row r="135" spans="1:10" ht="20.100000000000001" customHeight="1" thickTop="1" thickBot="1">
      <c r="A135" s="464" t="s">
        <v>223</v>
      </c>
      <c r="B135" s="465"/>
      <c r="C135" s="465"/>
      <c r="D135" s="465"/>
      <c r="E135" s="465"/>
      <c r="F135" s="465"/>
      <c r="G135" s="465"/>
      <c r="H135" s="465"/>
      <c r="I135" s="465"/>
      <c r="J135" s="466"/>
    </row>
    <row r="136" spans="1:10" ht="20.100000000000001" customHeight="1" thickTop="1">
      <c r="A136" s="487" t="str">
        <f>$A$3</f>
        <v>제이엠건축인테리어 주식회사</v>
      </c>
      <c r="B136" s="488"/>
      <c r="C136" s="133" t="s">
        <v>224</v>
      </c>
      <c r="D136" s="133"/>
      <c r="E136" s="133"/>
      <c r="F136" s="133"/>
      <c r="G136" s="133"/>
      <c r="H136" s="133"/>
      <c r="I136" s="133"/>
      <c r="J136" s="134"/>
    </row>
    <row r="137" spans="1:10" ht="20.100000000000001" customHeight="1" thickBot="1">
      <c r="A137" s="128" t="s">
        <v>225</v>
      </c>
      <c r="B137" s="69"/>
      <c r="C137" s="69"/>
      <c r="D137" s="113"/>
      <c r="E137" s="113"/>
      <c r="F137" s="113"/>
      <c r="G137" s="113"/>
      <c r="H137" s="113"/>
      <c r="I137" s="113"/>
      <c r="J137" s="50"/>
    </row>
    <row r="138" spans="1:10" ht="20.100000000000001" customHeight="1" thickTop="1" thickBot="1">
      <c r="A138" s="464" t="s">
        <v>226</v>
      </c>
      <c r="B138" s="465"/>
      <c r="C138" s="465"/>
      <c r="D138" s="465"/>
      <c r="E138" s="465"/>
      <c r="F138" s="465"/>
      <c r="G138" s="465"/>
      <c r="H138" s="465"/>
      <c r="I138" s="465"/>
      <c r="J138" s="466"/>
    </row>
    <row r="139" spans="1:10" ht="20.100000000000001" customHeight="1" thickTop="1">
      <c r="A139" s="481" t="s">
        <v>227</v>
      </c>
      <c r="B139" s="482"/>
      <c r="C139" s="482"/>
      <c r="D139" s="482"/>
      <c r="E139" s="482"/>
      <c r="F139" s="482"/>
      <c r="G139" s="482"/>
      <c r="H139" s="482"/>
      <c r="I139" s="482"/>
      <c r="J139" s="483"/>
    </row>
    <row r="140" spans="1:10" ht="20.100000000000001" customHeight="1">
      <c r="A140" s="489"/>
      <c r="B140" s="490"/>
      <c r="C140" s="490"/>
      <c r="D140" s="490"/>
      <c r="E140" s="490"/>
      <c r="F140" s="490"/>
      <c r="G140" s="490"/>
      <c r="H140" s="490"/>
      <c r="I140" s="490"/>
      <c r="J140" s="491"/>
    </row>
    <row r="141" spans="1:10" ht="20.100000000000001" customHeight="1" thickBot="1">
      <c r="A141" s="484"/>
      <c r="B141" s="485"/>
      <c r="C141" s="485"/>
      <c r="D141" s="485"/>
      <c r="E141" s="485"/>
      <c r="F141" s="485"/>
      <c r="G141" s="485"/>
      <c r="H141" s="485"/>
      <c r="I141" s="485"/>
      <c r="J141" s="486"/>
    </row>
    <row r="142" spans="1:10" ht="20.100000000000001" customHeight="1" thickTop="1" thickBot="1">
      <c r="A142" s="130" t="s">
        <v>228</v>
      </c>
      <c r="B142" s="131"/>
      <c r="C142" s="131"/>
      <c r="D142" s="131"/>
      <c r="E142" s="131"/>
      <c r="F142" s="131"/>
      <c r="G142" s="131"/>
      <c r="H142" s="131"/>
      <c r="I142" s="131"/>
      <c r="J142" s="132"/>
    </row>
    <row r="143" spans="1:10" ht="20.100000000000001" customHeight="1" thickTop="1">
      <c r="A143" s="481" t="s">
        <v>229</v>
      </c>
      <c r="B143" s="482"/>
      <c r="C143" s="482"/>
      <c r="D143" s="482"/>
      <c r="E143" s="482"/>
      <c r="F143" s="482"/>
      <c r="G143" s="482"/>
      <c r="H143" s="482"/>
      <c r="I143" s="482"/>
      <c r="J143" s="483"/>
    </row>
    <row r="144" spans="1:10" ht="20.100000000000001" customHeight="1" thickBot="1">
      <c r="A144" s="484"/>
      <c r="B144" s="485"/>
      <c r="C144" s="485"/>
      <c r="D144" s="485"/>
      <c r="E144" s="485"/>
      <c r="F144" s="485"/>
      <c r="G144" s="485"/>
      <c r="H144" s="485"/>
      <c r="I144" s="485"/>
      <c r="J144" s="486"/>
    </row>
    <row r="145" spans="1:10" ht="20.100000000000001" customHeight="1" thickTop="1" thickBot="1">
      <c r="A145" s="464" t="s">
        <v>230</v>
      </c>
      <c r="B145" s="465"/>
      <c r="C145" s="465"/>
      <c r="D145" s="465"/>
      <c r="E145" s="465"/>
      <c r="F145" s="465"/>
      <c r="G145" s="465"/>
      <c r="H145" s="465"/>
      <c r="I145" s="465"/>
      <c r="J145" s="466"/>
    </row>
    <row r="146" spans="1:10" ht="20.100000000000001" customHeight="1" thickTop="1">
      <c r="A146" s="481" t="s">
        <v>231</v>
      </c>
      <c r="B146" s="482"/>
      <c r="C146" s="482"/>
      <c r="D146" s="482"/>
      <c r="E146" s="482"/>
      <c r="F146" s="482"/>
      <c r="G146" s="482"/>
      <c r="H146" s="482"/>
      <c r="I146" s="482"/>
      <c r="J146" s="483"/>
    </row>
    <row r="147" spans="1:10" ht="20.100000000000001" customHeight="1">
      <c r="A147" s="489"/>
      <c r="B147" s="490"/>
      <c r="C147" s="490"/>
      <c r="D147" s="490"/>
      <c r="E147" s="490"/>
      <c r="F147" s="490"/>
      <c r="G147" s="490"/>
      <c r="H147" s="490"/>
      <c r="I147" s="490"/>
      <c r="J147" s="491"/>
    </row>
    <row r="148" spans="1:10" ht="20.100000000000001" customHeight="1">
      <c r="A148" s="489"/>
      <c r="B148" s="490"/>
      <c r="C148" s="490"/>
      <c r="D148" s="490"/>
      <c r="E148" s="490"/>
      <c r="F148" s="490"/>
      <c r="G148" s="490"/>
      <c r="H148" s="490"/>
      <c r="I148" s="490"/>
      <c r="J148" s="491"/>
    </row>
    <row r="149" spans="1:10" ht="20.100000000000001" customHeight="1" thickBot="1">
      <c r="A149" s="484"/>
      <c r="B149" s="485"/>
      <c r="C149" s="485"/>
      <c r="D149" s="485"/>
      <c r="E149" s="485"/>
      <c r="F149" s="485"/>
      <c r="G149" s="485"/>
      <c r="H149" s="485"/>
      <c r="I149" s="485"/>
      <c r="J149" s="486"/>
    </row>
    <row r="150" spans="1:10" ht="20.100000000000001" customHeight="1" thickTop="1" thickBot="1">
      <c r="A150" s="464" t="s">
        <v>232</v>
      </c>
      <c r="B150" s="465"/>
      <c r="C150" s="465"/>
      <c r="D150" s="465"/>
      <c r="E150" s="465"/>
      <c r="F150" s="465"/>
      <c r="G150" s="465"/>
      <c r="H150" s="465"/>
      <c r="I150" s="465"/>
      <c r="J150" s="466"/>
    </row>
    <row r="151" spans="1:10" ht="20.100000000000001" customHeight="1" thickTop="1">
      <c r="A151" s="481" t="s">
        <v>233</v>
      </c>
      <c r="B151" s="482"/>
      <c r="C151" s="482"/>
      <c r="D151" s="482"/>
      <c r="E151" s="482"/>
      <c r="F151" s="482"/>
      <c r="G151" s="482"/>
      <c r="H151" s="482"/>
      <c r="I151" s="482"/>
      <c r="J151" s="483"/>
    </row>
    <row r="152" spans="1:10" ht="20.100000000000001" customHeight="1" thickBot="1">
      <c r="A152" s="484"/>
      <c r="B152" s="485"/>
      <c r="C152" s="485"/>
      <c r="D152" s="485"/>
      <c r="E152" s="485"/>
      <c r="F152" s="485"/>
      <c r="G152" s="485"/>
      <c r="H152" s="485"/>
      <c r="I152" s="485"/>
      <c r="J152" s="486"/>
    </row>
    <row r="153" spans="1:10" ht="20.100000000000001" customHeight="1" thickTop="1" thickBot="1">
      <c r="A153" s="477" t="s">
        <v>234</v>
      </c>
      <c r="B153" s="478"/>
      <c r="C153" s="478"/>
      <c r="D153" s="478"/>
      <c r="E153" s="478"/>
      <c r="F153" s="478"/>
      <c r="G153" s="478"/>
      <c r="H153" s="478"/>
      <c r="I153" s="478"/>
      <c r="J153" s="479"/>
    </row>
    <row r="154" spans="1:10" ht="20.100000000000001" customHeight="1" thickTop="1">
      <c r="A154" s="69"/>
      <c r="B154" s="69"/>
      <c r="C154" s="69"/>
      <c r="D154" s="69"/>
      <c r="E154" s="69"/>
      <c r="F154" s="69"/>
      <c r="G154" s="69"/>
      <c r="H154" s="69"/>
      <c r="I154" s="69"/>
      <c r="J154" s="49"/>
    </row>
    <row r="155" spans="1:10" ht="20.100000000000001" customHeight="1" thickBot="1">
      <c r="A155" s="110" t="s">
        <v>235</v>
      </c>
      <c r="B155" s="110"/>
      <c r="C155" s="110"/>
      <c r="D155" s="69"/>
      <c r="E155" s="69"/>
      <c r="F155" s="69"/>
      <c r="G155" s="69"/>
      <c r="H155" s="69"/>
      <c r="I155" s="69"/>
      <c r="J155" s="49"/>
    </row>
    <row r="156" spans="1:10" ht="20.100000000000001" customHeight="1" thickTop="1">
      <c r="A156" s="487" t="str">
        <f>$A$3</f>
        <v>제이엠건축인테리어 주식회사</v>
      </c>
      <c r="B156" s="488"/>
      <c r="C156" s="73" t="s">
        <v>236</v>
      </c>
      <c r="D156" s="73"/>
      <c r="E156" s="73"/>
      <c r="F156" s="73"/>
      <c r="G156" s="73"/>
      <c r="H156" s="73"/>
      <c r="I156" s="73"/>
      <c r="J156" s="135"/>
    </row>
    <row r="157" spans="1:10" ht="20.100000000000001" customHeight="1">
      <c r="A157" s="128" t="s">
        <v>237</v>
      </c>
      <c r="B157" s="69"/>
      <c r="C157" s="69"/>
      <c r="D157" s="69"/>
      <c r="E157" s="69"/>
      <c r="F157" s="69"/>
      <c r="G157" s="69"/>
      <c r="H157" s="69"/>
      <c r="I157" s="69"/>
      <c r="J157" s="50"/>
    </row>
    <row r="158" spans="1:10" ht="20.100000000000001" customHeight="1" thickBot="1">
      <c r="A158" s="136" t="s">
        <v>238</v>
      </c>
      <c r="B158" s="137"/>
      <c r="C158" s="137"/>
      <c r="D158" s="137"/>
      <c r="E158" s="137"/>
      <c r="F158" s="137"/>
      <c r="G158" s="137"/>
      <c r="H158" s="137"/>
      <c r="I158" s="137"/>
      <c r="J158" s="56"/>
    </row>
    <row r="159" spans="1:10" ht="20.100000000000001" customHeight="1" thickTop="1" thickBot="1">
      <c r="A159" s="477" t="s">
        <v>239</v>
      </c>
      <c r="B159" s="478"/>
      <c r="C159" s="478"/>
      <c r="D159" s="478"/>
      <c r="E159" s="478"/>
      <c r="F159" s="478"/>
      <c r="G159" s="478"/>
      <c r="H159" s="478"/>
      <c r="I159" s="478"/>
      <c r="J159" s="479"/>
    </row>
    <row r="160" spans="1:10" ht="20.100000000000001" customHeight="1" thickTop="1">
      <c r="A160" s="69"/>
      <c r="B160" s="69"/>
      <c r="C160" s="69"/>
      <c r="D160" s="69"/>
      <c r="E160" s="69"/>
      <c r="F160" s="69"/>
      <c r="G160" s="69"/>
      <c r="H160" s="69"/>
      <c r="I160" s="69"/>
      <c r="J160" s="49"/>
    </row>
    <row r="161" spans="1:10" ht="20.100000000000001" customHeight="1" thickBot="1">
      <c r="A161" s="138" t="s">
        <v>240</v>
      </c>
      <c r="B161" s="138"/>
      <c r="C161" s="138"/>
      <c r="D161" s="69"/>
      <c r="E161" s="69"/>
      <c r="F161" s="69"/>
      <c r="G161" s="69"/>
      <c r="H161" s="69"/>
      <c r="I161" s="69"/>
      <c r="J161" s="49"/>
    </row>
    <row r="162" spans="1:10" ht="20.100000000000001" customHeight="1" thickTop="1">
      <c r="A162" s="487" t="str">
        <f>$A$3</f>
        <v>제이엠건축인테리어 주식회사</v>
      </c>
      <c r="B162" s="488"/>
      <c r="C162" s="139" t="s">
        <v>241</v>
      </c>
      <c r="D162" s="43"/>
      <c r="E162" s="73"/>
      <c r="F162" s="73"/>
      <c r="G162" s="73"/>
      <c r="H162" s="73"/>
      <c r="I162" s="73"/>
      <c r="J162" s="44"/>
    </row>
    <row r="163" spans="1:10" ht="20.100000000000001" customHeight="1">
      <c r="A163" s="128" t="s">
        <v>242</v>
      </c>
      <c r="B163" s="69"/>
      <c r="C163" s="69"/>
      <c r="D163" s="140"/>
      <c r="E163" s="69"/>
      <c r="F163" s="69"/>
      <c r="G163" s="69"/>
      <c r="H163" s="69"/>
      <c r="I163" s="69"/>
      <c r="J163" s="50"/>
    </row>
    <row r="164" spans="1:10" ht="20.100000000000001" customHeight="1" thickBot="1">
      <c r="A164" s="136" t="s">
        <v>243</v>
      </c>
      <c r="B164" s="137"/>
      <c r="C164" s="137"/>
      <c r="D164" s="141"/>
      <c r="E164" s="137"/>
      <c r="F164" s="137"/>
      <c r="G164" s="137"/>
      <c r="H164" s="137"/>
      <c r="I164" s="137"/>
      <c r="J164" s="56"/>
    </row>
    <row r="165" spans="1:10" ht="20.100000000000001" customHeight="1" thickTop="1" thickBot="1">
      <c r="A165" s="477" t="s">
        <v>244</v>
      </c>
      <c r="B165" s="478"/>
      <c r="C165" s="478"/>
      <c r="D165" s="478"/>
      <c r="E165" s="478"/>
      <c r="F165" s="478"/>
      <c r="G165" s="478"/>
      <c r="H165" s="478"/>
      <c r="I165" s="478"/>
      <c r="J165" s="479"/>
    </row>
    <row r="166" spans="1:10" ht="20.100000000000001" customHeight="1" thickTop="1">
      <c r="A166" s="51"/>
      <c r="B166" s="49"/>
      <c r="C166" s="49"/>
      <c r="D166" s="49"/>
      <c r="E166" s="49"/>
      <c r="F166" s="49"/>
      <c r="G166" s="49"/>
      <c r="H166" s="49"/>
      <c r="I166" s="49"/>
      <c r="J166" s="50"/>
    </row>
    <row r="167" spans="1:10" ht="20.100000000000001" customHeight="1">
      <c r="A167" s="51"/>
      <c r="B167" s="49"/>
      <c r="C167" s="49"/>
      <c r="D167" s="49"/>
      <c r="E167" s="49"/>
      <c r="F167" s="49"/>
      <c r="G167" s="49" t="s">
        <v>245</v>
      </c>
      <c r="H167" s="49"/>
      <c r="I167" s="49"/>
      <c r="J167" s="50"/>
    </row>
    <row r="168" spans="1:10" ht="20.100000000000001" customHeight="1" thickBot="1">
      <c r="A168" s="52"/>
      <c r="B168" s="53"/>
      <c r="C168" s="53"/>
      <c r="D168" s="53"/>
      <c r="E168" s="53"/>
      <c r="F168" s="480" t="s">
        <v>246</v>
      </c>
      <c r="G168" s="480"/>
      <c r="H168" s="91" t="str">
        <f>+E3</f>
        <v>정휘범</v>
      </c>
      <c r="I168" s="123" t="s">
        <v>173</v>
      </c>
      <c r="J168" s="56"/>
    </row>
    <row r="169" spans="1:10" ht="21" customHeight="1" thickTop="1"/>
  </sheetData>
  <sheetProtection selectLockedCells="1"/>
  <mergeCells count="128">
    <mergeCell ref="A1:J1"/>
    <mergeCell ref="A3:B3"/>
    <mergeCell ref="A4:A8"/>
    <mergeCell ref="A9:A11"/>
    <mergeCell ref="C9:D9"/>
    <mergeCell ref="C10:D10"/>
    <mergeCell ref="A26:A29"/>
    <mergeCell ref="B29:J29"/>
    <mergeCell ref="E54:J54"/>
    <mergeCell ref="A42:A45"/>
    <mergeCell ref="A46:A47"/>
    <mergeCell ref="A48:A49"/>
    <mergeCell ref="A53:A54"/>
    <mergeCell ref="B53:C53"/>
    <mergeCell ref="E53:H53"/>
    <mergeCell ref="I53:J53"/>
    <mergeCell ref="B54:D54"/>
    <mergeCell ref="A12:A14"/>
    <mergeCell ref="A15:A21"/>
    <mergeCell ref="A22:A24"/>
    <mergeCell ref="A30:A33"/>
    <mergeCell ref="A34:A41"/>
    <mergeCell ref="B73:E73"/>
    <mergeCell ref="F73:G73"/>
    <mergeCell ref="B72:E72"/>
    <mergeCell ref="I72:J72"/>
    <mergeCell ref="F72:G72"/>
    <mergeCell ref="F77:G77"/>
    <mergeCell ref="H73:J73"/>
    <mergeCell ref="A50:J50"/>
    <mergeCell ref="A52:J52"/>
    <mergeCell ref="A55:A56"/>
    <mergeCell ref="B55:D55"/>
    <mergeCell ref="E55:H55"/>
    <mergeCell ref="I55:J55"/>
    <mergeCell ref="B56:D56"/>
    <mergeCell ref="E56:J56"/>
    <mergeCell ref="B71:E71"/>
    <mergeCell ref="F71:G71"/>
    <mergeCell ref="I71:J71"/>
    <mergeCell ref="A62:J62"/>
    <mergeCell ref="A63:B63"/>
    <mergeCell ref="A64:A66"/>
    <mergeCell ref="A67:A100"/>
    <mergeCell ref="B69:E69"/>
    <mergeCell ref="F69:G69"/>
    <mergeCell ref="B84:E84"/>
    <mergeCell ref="F84:G84"/>
    <mergeCell ref="H69:J69"/>
    <mergeCell ref="B70:E70"/>
    <mergeCell ref="F70:G70"/>
    <mergeCell ref="H84:J84"/>
    <mergeCell ref="H75:J75"/>
    <mergeCell ref="B76:E76"/>
    <mergeCell ref="F76:G76"/>
    <mergeCell ref="H76:J76"/>
    <mergeCell ref="B81:E81"/>
    <mergeCell ref="F81:G81"/>
    <mergeCell ref="H70:J70"/>
    <mergeCell ref="B77:E77"/>
    <mergeCell ref="B75:E75"/>
    <mergeCell ref="H82:J82"/>
    <mergeCell ref="B79:E79"/>
    <mergeCell ref="F79:G79"/>
    <mergeCell ref="H79:J79"/>
    <mergeCell ref="B80:E80"/>
    <mergeCell ref="F80:G80"/>
    <mergeCell ref="H80:J80"/>
    <mergeCell ref="B74:E74"/>
    <mergeCell ref="F74:G74"/>
    <mergeCell ref="H74:J74"/>
    <mergeCell ref="F75:G75"/>
    <mergeCell ref="F78:G78"/>
    <mergeCell ref="H77:J77"/>
    <mergeCell ref="B78:E78"/>
    <mergeCell ref="H78:J78"/>
    <mergeCell ref="B83:E83"/>
    <mergeCell ref="F83:G83"/>
    <mergeCell ref="H83:J83"/>
    <mergeCell ref="H81:J81"/>
    <mergeCell ref="B82:E82"/>
    <mergeCell ref="F82:G82"/>
    <mergeCell ref="A103:J103"/>
    <mergeCell ref="A104:A105"/>
    <mergeCell ref="B104:C104"/>
    <mergeCell ref="E104:H104"/>
    <mergeCell ref="I104:J104"/>
    <mergeCell ref="B105:D105"/>
    <mergeCell ref="E105:J105"/>
    <mergeCell ref="B85:E85"/>
    <mergeCell ref="F85:G85"/>
    <mergeCell ref="H85:J85"/>
    <mergeCell ref="B86:E86"/>
    <mergeCell ref="F86:J86"/>
    <mergeCell ref="A101:A102"/>
    <mergeCell ref="B101:G101"/>
    <mergeCell ref="A135:J135"/>
    <mergeCell ref="A108:J108"/>
    <mergeCell ref="A112:J112"/>
    <mergeCell ref="B120:J120"/>
    <mergeCell ref="D123:E123"/>
    <mergeCell ref="F123:G123"/>
    <mergeCell ref="H123:I123"/>
    <mergeCell ref="A106:A107"/>
    <mergeCell ref="B106:D106"/>
    <mergeCell ref="E106:H106"/>
    <mergeCell ref="I106:J106"/>
    <mergeCell ref="B107:D107"/>
    <mergeCell ref="E107:J107"/>
    <mergeCell ref="D124:E124"/>
    <mergeCell ref="F124:I124"/>
    <mergeCell ref="D125:E125"/>
    <mergeCell ref="F125:I125"/>
    <mergeCell ref="A132:J132"/>
    <mergeCell ref="A165:J165"/>
    <mergeCell ref="F168:G168"/>
    <mergeCell ref="A150:J150"/>
    <mergeCell ref="A151:J152"/>
    <mergeCell ref="A153:J153"/>
    <mergeCell ref="A156:B156"/>
    <mergeCell ref="A159:J159"/>
    <mergeCell ref="A162:B162"/>
    <mergeCell ref="A136:B136"/>
    <mergeCell ref="A138:J138"/>
    <mergeCell ref="A139:J141"/>
    <mergeCell ref="A143:J144"/>
    <mergeCell ref="A145:J145"/>
    <mergeCell ref="A146:J149"/>
  </mergeCells>
  <phoneticPr fontId="4" type="noConversion"/>
  <printOptions horizontalCentered="1"/>
  <pageMargins left="0.7" right="0.7" top="0.75" bottom="0.75" header="0.3" footer="0.3"/>
  <pageSetup paperSize="9" scale="52" fitToHeight="0" orientation="portrait" r:id="rId1"/>
  <rowBreaks count="2" manualBreakCount="2">
    <brk id="56" max="9" man="1"/>
    <brk id="107" max="9"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7C366-B95C-4F0C-8EE4-D96477BBA743}">
  <sheetPr>
    <tabColor rgb="FF0000FF"/>
    <pageSetUpPr fitToPage="1"/>
  </sheetPr>
  <dimension ref="A1:AC169"/>
  <sheetViews>
    <sheetView view="pageBreakPreview" zoomScaleNormal="100" zoomScaleSheetLayoutView="100" workbookViewId="0">
      <selection activeCell="D26" sqref="D26"/>
    </sheetView>
  </sheetViews>
  <sheetFormatPr defaultRowHeight="21" customHeight="1"/>
  <cols>
    <col min="1" max="1" width="16.125" style="29" customWidth="1"/>
    <col min="2" max="2" width="18.375" style="29" customWidth="1"/>
    <col min="3" max="3" width="18.625" style="29" customWidth="1"/>
    <col min="4" max="10" width="14.375" style="29" customWidth="1"/>
    <col min="11" max="11" width="9" style="29"/>
    <col min="12" max="12" width="9" style="29" customWidth="1"/>
    <col min="13" max="225" width="9" style="29"/>
    <col min="226" max="226" width="3.25" style="29" customWidth="1"/>
    <col min="227" max="227" width="8.5" style="29" customWidth="1"/>
    <col min="228" max="228" width="20.375" style="29" customWidth="1"/>
    <col min="229" max="229" width="14.125" style="29" customWidth="1"/>
    <col min="230" max="230" width="24.875" style="29" customWidth="1"/>
    <col min="231" max="231" width="14.25" style="29" customWidth="1"/>
    <col min="232" max="241" width="9" style="29"/>
    <col min="242" max="242" width="13.875" style="29" customWidth="1"/>
    <col min="243" max="481" width="9" style="29"/>
    <col min="482" max="482" width="3.25" style="29" customWidth="1"/>
    <col min="483" max="483" width="8.5" style="29" customWidth="1"/>
    <col min="484" max="484" width="20.375" style="29" customWidth="1"/>
    <col min="485" max="485" width="14.125" style="29" customWidth="1"/>
    <col min="486" max="486" width="24.875" style="29" customWidth="1"/>
    <col min="487" max="487" width="14.25" style="29" customWidth="1"/>
    <col min="488" max="497" width="9" style="29"/>
    <col min="498" max="498" width="13.875" style="29" customWidth="1"/>
    <col min="499" max="737" width="9" style="29"/>
    <col min="738" max="738" width="3.25" style="29" customWidth="1"/>
    <col min="739" max="739" width="8.5" style="29" customWidth="1"/>
    <col min="740" max="740" width="20.375" style="29" customWidth="1"/>
    <col min="741" max="741" width="14.125" style="29" customWidth="1"/>
    <col min="742" max="742" width="24.875" style="29" customWidth="1"/>
    <col min="743" max="743" width="14.25" style="29" customWidth="1"/>
    <col min="744" max="753" width="9" style="29"/>
    <col min="754" max="754" width="13.875" style="29" customWidth="1"/>
    <col min="755" max="993" width="9" style="29"/>
    <col min="994" max="994" width="3.25" style="29" customWidth="1"/>
    <col min="995" max="995" width="8.5" style="29" customWidth="1"/>
    <col min="996" max="996" width="20.375" style="29" customWidth="1"/>
    <col min="997" max="997" width="14.125" style="29" customWidth="1"/>
    <col min="998" max="998" width="24.875" style="29" customWidth="1"/>
    <col min="999" max="999" width="14.25" style="29" customWidth="1"/>
    <col min="1000" max="1009" width="9" style="29"/>
    <col min="1010" max="1010" width="13.875" style="29" customWidth="1"/>
    <col min="1011" max="1249" width="9" style="29"/>
    <col min="1250" max="1250" width="3.25" style="29" customWidth="1"/>
    <col min="1251" max="1251" width="8.5" style="29" customWidth="1"/>
    <col min="1252" max="1252" width="20.375" style="29" customWidth="1"/>
    <col min="1253" max="1253" width="14.125" style="29" customWidth="1"/>
    <col min="1254" max="1254" width="24.875" style="29" customWidth="1"/>
    <col min="1255" max="1255" width="14.25" style="29" customWidth="1"/>
    <col min="1256" max="1265" width="9" style="29"/>
    <col min="1266" max="1266" width="13.875" style="29" customWidth="1"/>
    <col min="1267" max="1505" width="9" style="29"/>
    <col min="1506" max="1506" width="3.25" style="29" customWidth="1"/>
    <col min="1507" max="1507" width="8.5" style="29" customWidth="1"/>
    <col min="1508" max="1508" width="20.375" style="29" customWidth="1"/>
    <col min="1509" max="1509" width="14.125" style="29" customWidth="1"/>
    <col min="1510" max="1510" width="24.875" style="29" customWidth="1"/>
    <col min="1511" max="1511" width="14.25" style="29" customWidth="1"/>
    <col min="1512" max="1521" width="9" style="29"/>
    <col min="1522" max="1522" width="13.875" style="29" customWidth="1"/>
    <col min="1523" max="1761" width="9" style="29"/>
    <col min="1762" max="1762" width="3.25" style="29" customWidth="1"/>
    <col min="1763" max="1763" width="8.5" style="29" customWidth="1"/>
    <col min="1764" max="1764" width="20.375" style="29" customWidth="1"/>
    <col min="1765" max="1765" width="14.125" style="29" customWidth="1"/>
    <col min="1766" max="1766" width="24.875" style="29" customWidth="1"/>
    <col min="1767" max="1767" width="14.25" style="29" customWidth="1"/>
    <col min="1768" max="1777" width="9" style="29"/>
    <col min="1778" max="1778" width="13.875" style="29" customWidth="1"/>
    <col min="1779" max="2017" width="9" style="29"/>
    <col min="2018" max="2018" width="3.25" style="29" customWidth="1"/>
    <col min="2019" max="2019" width="8.5" style="29" customWidth="1"/>
    <col min="2020" max="2020" width="20.375" style="29" customWidth="1"/>
    <col min="2021" max="2021" width="14.125" style="29" customWidth="1"/>
    <col min="2022" max="2022" width="24.875" style="29" customWidth="1"/>
    <col min="2023" max="2023" width="14.25" style="29" customWidth="1"/>
    <col min="2024" max="2033" width="9" style="29"/>
    <col min="2034" max="2034" width="13.875" style="29" customWidth="1"/>
    <col min="2035" max="2273" width="9" style="29"/>
    <col min="2274" max="2274" width="3.25" style="29" customWidth="1"/>
    <col min="2275" max="2275" width="8.5" style="29" customWidth="1"/>
    <col min="2276" max="2276" width="20.375" style="29" customWidth="1"/>
    <col min="2277" max="2277" width="14.125" style="29" customWidth="1"/>
    <col min="2278" max="2278" width="24.875" style="29" customWidth="1"/>
    <col min="2279" max="2279" width="14.25" style="29" customWidth="1"/>
    <col min="2280" max="2289" width="9" style="29"/>
    <col min="2290" max="2290" width="13.875" style="29" customWidth="1"/>
    <col min="2291" max="2529" width="9" style="29"/>
    <col min="2530" max="2530" width="3.25" style="29" customWidth="1"/>
    <col min="2531" max="2531" width="8.5" style="29" customWidth="1"/>
    <col min="2532" max="2532" width="20.375" style="29" customWidth="1"/>
    <col min="2533" max="2533" width="14.125" style="29" customWidth="1"/>
    <col min="2534" max="2534" width="24.875" style="29" customWidth="1"/>
    <col min="2535" max="2535" width="14.25" style="29" customWidth="1"/>
    <col min="2536" max="2545" width="9" style="29"/>
    <col min="2546" max="2546" width="13.875" style="29" customWidth="1"/>
    <col min="2547" max="2785" width="9" style="29"/>
    <col min="2786" max="2786" width="3.25" style="29" customWidth="1"/>
    <col min="2787" max="2787" width="8.5" style="29" customWidth="1"/>
    <col min="2788" max="2788" width="20.375" style="29" customWidth="1"/>
    <col min="2789" max="2789" width="14.125" style="29" customWidth="1"/>
    <col min="2790" max="2790" width="24.875" style="29" customWidth="1"/>
    <col min="2791" max="2791" width="14.25" style="29" customWidth="1"/>
    <col min="2792" max="2801" width="9" style="29"/>
    <col min="2802" max="2802" width="13.875" style="29" customWidth="1"/>
    <col min="2803" max="3041" width="9" style="29"/>
    <col min="3042" max="3042" width="3.25" style="29" customWidth="1"/>
    <col min="3043" max="3043" width="8.5" style="29" customWidth="1"/>
    <col min="3044" max="3044" width="20.375" style="29" customWidth="1"/>
    <col min="3045" max="3045" width="14.125" style="29" customWidth="1"/>
    <col min="3046" max="3046" width="24.875" style="29" customWidth="1"/>
    <col min="3047" max="3047" width="14.25" style="29" customWidth="1"/>
    <col min="3048" max="3057" width="9" style="29"/>
    <col min="3058" max="3058" width="13.875" style="29" customWidth="1"/>
    <col min="3059" max="3297" width="9" style="29"/>
    <col min="3298" max="3298" width="3.25" style="29" customWidth="1"/>
    <col min="3299" max="3299" width="8.5" style="29" customWidth="1"/>
    <col min="3300" max="3300" width="20.375" style="29" customWidth="1"/>
    <col min="3301" max="3301" width="14.125" style="29" customWidth="1"/>
    <col min="3302" max="3302" width="24.875" style="29" customWidth="1"/>
    <col min="3303" max="3303" width="14.25" style="29" customWidth="1"/>
    <col min="3304" max="3313" width="9" style="29"/>
    <col min="3314" max="3314" width="13.875" style="29" customWidth="1"/>
    <col min="3315" max="3553" width="9" style="29"/>
    <col min="3554" max="3554" width="3.25" style="29" customWidth="1"/>
    <col min="3555" max="3555" width="8.5" style="29" customWidth="1"/>
    <col min="3556" max="3556" width="20.375" style="29" customWidth="1"/>
    <col min="3557" max="3557" width="14.125" style="29" customWidth="1"/>
    <col min="3558" max="3558" width="24.875" style="29" customWidth="1"/>
    <col min="3559" max="3559" width="14.25" style="29" customWidth="1"/>
    <col min="3560" max="3569" width="9" style="29"/>
    <col min="3570" max="3570" width="13.875" style="29" customWidth="1"/>
    <col min="3571" max="3809" width="9" style="29"/>
    <col min="3810" max="3810" width="3.25" style="29" customWidth="1"/>
    <col min="3811" max="3811" width="8.5" style="29" customWidth="1"/>
    <col min="3812" max="3812" width="20.375" style="29" customWidth="1"/>
    <col min="3813" max="3813" width="14.125" style="29" customWidth="1"/>
    <col min="3814" max="3814" width="24.875" style="29" customWidth="1"/>
    <col min="3815" max="3815" width="14.25" style="29" customWidth="1"/>
    <col min="3816" max="3825" width="9" style="29"/>
    <col min="3826" max="3826" width="13.875" style="29" customWidth="1"/>
    <col min="3827" max="4065" width="9" style="29"/>
    <col min="4066" max="4066" width="3.25" style="29" customWidth="1"/>
    <col min="4067" max="4067" width="8.5" style="29" customWidth="1"/>
    <col min="4068" max="4068" width="20.375" style="29" customWidth="1"/>
    <col min="4069" max="4069" width="14.125" style="29" customWidth="1"/>
    <col min="4070" max="4070" width="24.875" style="29" customWidth="1"/>
    <col min="4071" max="4071" width="14.25" style="29" customWidth="1"/>
    <col min="4072" max="4081" width="9" style="29"/>
    <col min="4082" max="4082" width="13.875" style="29" customWidth="1"/>
    <col min="4083" max="4321" width="9" style="29"/>
    <col min="4322" max="4322" width="3.25" style="29" customWidth="1"/>
    <col min="4323" max="4323" width="8.5" style="29" customWidth="1"/>
    <col min="4324" max="4324" width="20.375" style="29" customWidth="1"/>
    <col min="4325" max="4325" width="14.125" style="29" customWidth="1"/>
    <col min="4326" max="4326" width="24.875" style="29" customWidth="1"/>
    <col min="4327" max="4327" width="14.25" style="29" customWidth="1"/>
    <col min="4328" max="4337" width="9" style="29"/>
    <col min="4338" max="4338" width="13.875" style="29" customWidth="1"/>
    <col min="4339" max="4577" width="9" style="29"/>
    <col min="4578" max="4578" width="3.25" style="29" customWidth="1"/>
    <col min="4579" max="4579" width="8.5" style="29" customWidth="1"/>
    <col min="4580" max="4580" width="20.375" style="29" customWidth="1"/>
    <col min="4581" max="4581" width="14.125" style="29" customWidth="1"/>
    <col min="4582" max="4582" width="24.875" style="29" customWidth="1"/>
    <col min="4583" max="4583" width="14.25" style="29" customWidth="1"/>
    <col min="4584" max="4593" width="9" style="29"/>
    <col min="4594" max="4594" width="13.875" style="29" customWidth="1"/>
    <col min="4595" max="4833" width="9" style="29"/>
    <col min="4834" max="4834" width="3.25" style="29" customWidth="1"/>
    <col min="4835" max="4835" width="8.5" style="29" customWidth="1"/>
    <col min="4836" max="4836" width="20.375" style="29" customWidth="1"/>
    <col min="4837" max="4837" width="14.125" style="29" customWidth="1"/>
    <col min="4838" max="4838" width="24.875" style="29" customWidth="1"/>
    <col min="4839" max="4839" width="14.25" style="29" customWidth="1"/>
    <col min="4840" max="4849" width="9" style="29"/>
    <col min="4850" max="4850" width="13.875" style="29" customWidth="1"/>
    <col min="4851" max="5089" width="9" style="29"/>
    <col min="5090" max="5090" width="3.25" style="29" customWidth="1"/>
    <col min="5091" max="5091" width="8.5" style="29" customWidth="1"/>
    <col min="5092" max="5092" width="20.375" style="29" customWidth="1"/>
    <col min="5093" max="5093" width="14.125" style="29" customWidth="1"/>
    <col min="5094" max="5094" width="24.875" style="29" customWidth="1"/>
    <col min="5095" max="5095" width="14.25" style="29" customWidth="1"/>
    <col min="5096" max="5105" width="9" style="29"/>
    <col min="5106" max="5106" width="13.875" style="29" customWidth="1"/>
    <col min="5107" max="5345" width="9" style="29"/>
    <col min="5346" max="5346" width="3.25" style="29" customWidth="1"/>
    <col min="5347" max="5347" width="8.5" style="29" customWidth="1"/>
    <col min="5348" max="5348" width="20.375" style="29" customWidth="1"/>
    <col min="5349" max="5349" width="14.125" style="29" customWidth="1"/>
    <col min="5350" max="5350" width="24.875" style="29" customWidth="1"/>
    <col min="5351" max="5351" width="14.25" style="29" customWidth="1"/>
    <col min="5352" max="5361" width="9" style="29"/>
    <col min="5362" max="5362" width="13.875" style="29" customWidth="1"/>
    <col min="5363" max="5601" width="9" style="29"/>
    <col min="5602" max="5602" width="3.25" style="29" customWidth="1"/>
    <col min="5603" max="5603" width="8.5" style="29" customWidth="1"/>
    <col min="5604" max="5604" width="20.375" style="29" customWidth="1"/>
    <col min="5605" max="5605" width="14.125" style="29" customWidth="1"/>
    <col min="5606" max="5606" width="24.875" style="29" customWidth="1"/>
    <col min="5607" max="5607" width="14.25" style="29" customWidth="1"/>
    <col min="5608" max="5617" width="9" style="29"/>
    <col min="5618" max="5618" width="13.875" style="29" customWidth="1"/>
    <col min="5619" max="5857" width="9" style="29"/>
    <col min="5858" max="5858" width="3.25" style="29" customWidth="1"/>
    <col min="5859" max="5859" width="8.5" style="29" customWidth="1"/>
    <col min="5860" max="5860" width="20.375" style="29" customWidth="1"/>
    <col min="5861" max="5861" width="14.125" style="29" customWidth="1"/>
    <col min="5862" max="5862" width="24.875" style="29" customWidth="1"/>
    <col min="5863" max="5863" width="14.25" style="29" customWidth="1"/>
    <col min="5864" max="5873" width="9" style="29"/>
    <col min="5874" max="5874" width="13.875" style="29" customWidth="1"/>
    <col min="5875" max="6113" width="9" style="29"/>
    <col min="6114" max="6114" width="3.25" style="29" customWidth="1"/>
    <col min="6115" max="6115" width="8.5" style="29" customWidth="1"/>
    <col min="6116" max="6116" width="20.375" style="29" customWidth="1"/>
    <col min="6117" max="6117" width="14.125" style="29" customWidth="1"/>
    <col min="6118" max="6118" width="24.875" style="29" customWidth="1"/>
    <col min="6119" max="6119" width="14.25" style="29" customWidth="1"/>
    <col min="6120" max="6129" width="9" style="29"/>
    <col min="6130" max="6130" width="13.875" style="29" customWidth="1"/>
    <col min="6131" max="6369" width="9" style="29"/>
    <col min="6370" max="6370" width="3.25" style="29" customWidth="1"/>
    <col min="6371" max="6371" width="8.5" style="29" customWidth="1"/>
    <col min="6372" max="6372" width="20.375" style="29" customWidth="1"/>
    <col min="6373" max="6373" width="14.125" style="29" customWidth="1"/>
    <col min="6374" max="6374" width="24.875" style="29" customWidth="1"/>
    <col min="6375" max="6375" width="14.25" style="29" customWidth="1"/>
    <col min="6376" max="6385" width="9" style="29"/>
    <col min="6386" max="6386" width="13.875" style="29" customWidth="1"/>
    <col min="6387" max="6625" width="9" style="29"/>
    <col min="6626" max="6626" width="3.25" style="29" customWidth="1"/>
    <col min="6627" max="6627" width="8.5" style="29" customWidth="1"/>
    <col min="6628" max="6628" width="20.375" style="29" customWidth="1"/>
    <col min="6629" max="6629" width="14.125" style="29" customWidth="1"/>
    <col min="6630" max="6630" width="24.875" style="29" customWidth="1"/>
    <col min="6631" max="6631" width="14.25" style="29" customWidth="1"/>
    <col min="6632" max="6641" width="9" style="29"/>
    <col min="6642" max="6642" width="13.875" style="29" customWidth="1"/>
    <col min="6643" max="6881" width="9" style="29"/>
    <col min="6882" max="6882" width="3.25" style="29" customWidth="1"/>
    <col min="6883" max="6883" width="8.5" style="29" customWidth="1"/>
    <col min="6884" max="6884" width="20.375" style="29" customWidth="1"/>
    <col min="6885" max="6885" width="14.125" style="29" customWidth="1"/>
    <col min="6886" max="6886" width="24.875" style="29" customWidth="1"/>
    <col min="6887" max="6887" width="14.25" style="29" customWidth="1"/>
    <col min="6888" max="6897" width="9" style="29"/>
    <col min="6898" max="6898" width="13.875" style="29" customWidth="1"/>
    <col min="6899" max="7137" width="9" style="29"/>
    <col min="7138" max="7138" width="3.25" style="29" customWidth="1"/>
    <col min="7139" max="7139" width="8.5" style="29" customWidth="1"/>
    <col min="7140" max="7140" width="20.375" style="29" customWidth="1"/>
    <col min="7141" max="7141" width="14.125" style="29" customWidth="1"/>
    <col min="7142" max="7142" width="24.875" style="29" customWidth="1"/>
    <col min="7143" max="7143" width="14.25" style="29" customWidth="1"/>
    <col min="7144" max="7153" width="9" style="29"/>
    <col min="7154" max="7154" width="13.875" style="29" customWidth="1"/>
    <col min="7155" max="7393" width="9" style="29"/>
    <col min="7394" max="7394" width="3.25" style="29" customWidth="1"/>
    <col min="7395" max="7395" width="8.5" style="29" customWidth="1"/>
    <col min="7396" max="7396" width="20.375" style="29" customWidth="1"/>
    <col min="7397" max="7397" width="14.125" style="29" customWidth="1"/>
    <col min="7398" max="7398" width="24.875" style="29" customWidth="1"/>
    <col min="7399" max="7399" width="14.25" style="29" customWidth="1"/>
    <col min="7400" max="7409" width="9" style="29"/>
    <col min="7410" max="7410" width="13.875" style="29" customWidth="1"/>
    <col min="7411" max="7649" width="9" style="29"/>
    <col min="7650" max="7650" width="3.25" style="29" customWidth="1"/>
    <col min="7651" max="7651" width="8.5" style="29" customWidth="1"/>
    <col min="7652" max="7652" width="20.375" style="29" customWidth="1"/>
    <col min="7653" max="7653" width="14.125" style="29" customWidth="1"/>
    <col min="7654" max="7654" width="24.875" style="29" customWidth="1"/>
    <col min="7655" max="7655" width="14.25" style="29" customWidth="1"/>
    <col min="7656" max="7665" width="9" style="29"/>
    <col min="7666" max="7666" width="13.875" style="29" customWidth="1"/>
    <col min="7667" max="7905" width="9" style="29"/>
    <col min="7906" max="7906" width="3.25" style="29" customWidth="1"/>
    <col min="7907" max="7907" width="8.5" style="29" customWidth="1"/>
    <col min="7908" max="7908" width="20.375" style="29" customWidth="1"/>
    <col min="7909" max="7909" width="14.125" style="29" customWidth="1"/>
    <col min="7910" max="7910" width="24.875" style="29" customWidth="1"/>
    <col min="7911" max="7911" width="14.25" style="29" customWidth="1"/>
    <col min="7912" max="7921" width="9" style="29"/>
    <col min="7922" max="7922" width="13.875" style="29" customWidth="1"/>
    <col min="7923" max="8161" width="9" style="29"/>
    <col min="8162" max="8162" width="3.25" style="29" customWidth="1"/>
    <col min="8163" max="8163" width="8.5" style="29" customWidth="1"/>
    <col min="8164" max="8164" width="20.375" style="29" customWidth="1"/>
    <col min="8165" max="8165" width="14.125" style="29" customWidth="1"/>
    <col min="8166" max="8166" width="24.875" style="29" customWidth="1"/>
    <col min="8167" max="8167" width="14.25" style="29" customWidth="1"/>
    <col min="8168" max="8177" width="9" style="29"/>
    <col min="8178" max="8178" width="13.875" style="29" customWidth="1"/>
    <col min="8179" max="8417" width="9" style="29"/>
    <col min="8418" max="8418" width="3.25" style="29" customWidth="1"/>
    <col min="8419" max="8419" width="8.5" style="29" customWidth="1"/>
    <col min="8420" max="8420" width="20.375" style="29" customWidth="1"/>
    <col min="8421" max="8421" width="14.125" style="29" customWidth="1"/>
    <col min="8422" max="8422" width="24.875" style="29" customWidth="1"/>
    <col min="8423" max="8423" width="14.25" style="29" customWidth="1"/>
    <col min="8424" max="8433" width="9" style="29"/>
    <col min="8434" max="8434" width="13.875" style="29" customWidth="1"/>
    <col min="8435" max="8673" width="9" style="29"/>
    <col min="8674" max="8674" width="3.25" style="29" customWidth="1"/>
    <col min="8675" max="8675" width="8.5" style="29" customWidth="1"/>
    <col min="8676" max="8676" width="20.375" style="29" customWidth="1"/>
    <col min="8677" max="8677" width="14.125" style="29" customWidth="1"/>
    <col min="8678" max="8678" width="24.875" style="29" customWidth="1"/>
    <col min="8679" max="8679" width="14.25" style="29" customWidth="1"/>
    <col min="8680" max="8689" width="9" style="29"/>
    <col min="8690" max="8690" width="13.875" style="29" customWidth="1"/>
    <col min="8691" max="8929" width="9" style="29"/>
    <col min="8930" max="8930" width="3.25" style="29" customWidth="1"/>
    <col min="8931" max="8931" width="8.5" style="29" customWidth="1"/>
    <col min="8932" max="8932" width="20.375" style="29" customWidth="1"/>
    <col min="8933" max="8933" width="14.125" style="29" customWidth="1"/>
    <col min="8934" max="8934" width="24.875" style="29" customWidth="1"/>
    <col min="8935" max="8935" width="14.25" style="29" customWidth="1"/>
    <col min="8936" max="8945" width="9" style="29"/>
    <col min="8946" max="8946" width="13.875" style="29" customWidth="1"/>
    <col min="8947" max="9185" width="9" style="29"/>
    <col min="9186" max="9186" width="3.25" style="29" customWidth="1"/>
    <col min="9187" max="9187" width="8.5" style="29" customWidth="1"/>
    <col min="9188" max="9188" width="20.375" style="29" customWidth="1"/>
    <col min="9189" max="9189" width="14.125" style="29" customWidth="1"/>
    <col min="9190" max="9190" width="24.875" style="29" customWidth="1"/>
    <col min="9191" max="9191" width="14.25" style="29" customWidth="1"/>
    <col min="9192" max="9201" width="9" style="29"/>
    <col min="9202" max="9202" width="13.875" style="29" customWidth="1"/>
    <col min="9203" max="9441" width="9" style="29"/>
    <col min="9442" max="9442" width="3.25" style="29" customWidth="1"/>
    <col min="9443" max="9443" width="8.5" style="29" customWidth="1"/>
    <col min="9444" max="9444" width="20.375" style="29" customWidth="1"/>
    <col min="9445" max="9445" width="14.125" style="29" customWidth="1"/>
    <col min="9446" max="9446" width="24.875" style="29" customWidth="1"/>
    <col min="9447" max="9447" width="14.25" style="29" customWidth="1"/>
    <col min="9448" max="9457" width="9" style="29"/>
    <col min="9458" max="9458" width="13.875" style="29" customWidth="1"/>
    <col min="9459" max="9697" width="9" style="29"/>
    <col min="9698" max="9698" width="3.25" style="29" customWidth="1"/>
    <col min="9699" max="9699" width="8.5" style="29" customWidth="1"/>
    <col min="9700" max="9700" width="20.375" style="29" customWidth="1"/>
    <col min="9701" max="9701" width="14.125" style="29" customWidth="1"/>
    <col min="9702" max="9702" width="24.875" style="29" customWidth="1"/>
    <col min="9703" max="9703" width="14.25" style="29" customWidth="1"/>
    <col min="9704" max="9713" width="9" style="29"/>
    <col min="9714" max="9714" width="13.875" style="29" customWidth="1"/>
    <col min="9715" max="9953" width="9" style="29"/>
    <col min="9954" max="9954" width="3.25" style="29" customWidth="1"/>
    <col min="9955" max="9955" width="8.5" style="29" customWidth="1"/>
    <col min="9956" max="9956" width="20.375" style="29" customWidth="1"/>
    <col min="9957" max="9957" width="14.125" style="29" customWidth="1"/>
    <col min="9958" max="9958" width="24.875" style="29" customWidth="1"/>
    <col min="9959" max="9959" width="14.25" style="29" customWidth="1"/>
    <col min="9960" max="9969" width="9" style="29"/>
    <col min="9970" max="9970" width="13.875" style="29" customWidth="1"/>
    <col min="9971" max="10209" width="9" style="29"/>
    <col min="10210" max="10210" width="3.25" style="29" customWidth="1"/>
    <col min="10211" max="10211" width="8.5" style="29" customWidth="1"/>
    <col min="10212" max="10212" width="20.375" style="29" customWidth="1"/>
    <col min="10213" max="10213" width="14.125" style="29" customWidth="1"/>
    <col min="10214" max="10214" width="24.875" style="29" customWidth="1"/>
    <col min="10215" max="10215" width="14.25" style="29" customWidth="1"/>
    <col min="10216" max="10225" width="9" style="29"/>
    <col min="10226" max="10226" width="13.875" style="29" customWidth="1"/>
    <col min="10227" max="10465" width="9" style="29"/>
    <col min="10466" max="10466" width="3.25" style="29" customWidth="1"/>
    <col min="10467" max="10467" width="8.5" style="29" customWidth="1"/>
    <col min="10468" max="10468" width="20.375" style="29" customWidth="1"/>
    <col min="10469" max="10469" width="14.125" style="29" customWidth="1"/>
    <col min="10470" max="10470" width="24.875" style="29" customWidth="1"/>
    <col min="10471" max="10471" width="14.25" style="29" customWidth="1"/>
    <col min="10472" max="10481" width="9" style="29"/>
    <col min="10482" max="10482" width="13.875" style="29" customWidth="1"/>
    <col min="10483" max="10721" width="9" style="29"/>
    <col min="10722" max="10722" width="3.25" style="29" customWidth="1"/>
    <col min="10723" max="10723" width="8.5" style="29" customWidth="1"/>
    <col min="10724" max="10724" width="20.375" style="29" customWidth="1"/>
    <col min="10725" max="10725" width="14.125" style="29" customWidth="1"/>
    <col min="10726" max="10726" width="24.875" style="29" customWidth="1"/>
    <col min="10727" max="10727" width="14.25" style="29" customWidth="1"/>
    <col min="10728" max="10737" width="9" style="29"/>
    <col min="10738" max="10738" width="13.875" style="29" customWidth="1"/>
    <col min="10739" max="10977" width="9" style="29"/>
    <col min="10978" max="10978" width="3.25" style="29" customWidth="1"/>
    <col min="10979" max="10979" width="8.5" style="29" customWidth="1"/>
    <col min="10980" max="10980" width="20.375" style="29" customWidth="1"/>
    <col min="10981" max="10981" width="14.125" style="29" customWidth="1"/>
    <col min="10982" max="10982" width="24.875" style="29" customWidth="1"/>
    <col min="10983" max="10983" width="14.25" style="29" customWidth="1"/>
    <col min="10984" max="10993" width="9" style="29"/>
    <col min="10994" max="10994" width="13.875" style="29" customWidth="1"/>
    <col min="10995" max="11233" width="9" style="29"/>
    <col min="11234" max="11234" width="3.25" style="29" customWidth="1"/>
    <col min="11235" max="11235" width="8.5" style="29" customWidth="1"/>
    <col min="11236" max="11236" width="20.375" style="29" customWidth="1"/>
    <col min="11237" max="11237" width="14.125" style="29" customWidth="1"/>
    <col min="11238" max="11238" width="24.875" style="29" customWidth="1"/>
    <col min="11239" max="11239" width="14.25" style="29" customWidth="1"/>
    <col min="11240" max="11249" width="9" style="29"/>
    <col min="11250" max="11250" width="13.875" style="29" customWidth="1"/>
    <col min="11251" max="11489" width="9" style="29"/>
    <col min="11490" max="11490" width="3.25" style="29" customWidth="1"/>
    <col min="11491" max="11491" width="8.5" style="29" customWidth="1"/>
    <col min="11492" max="11492" width="20.375" style="29" customWidth="1"/>
    <col min="11493" max="11493" width="14.125" style="29" customWidth="1"/>
    <col min="11494" max="11494" width="24.875" style="29" customWidth="1"/>
    <col min="11495" max="11495" width="14.25" style="29" customWidth="1"/>
    <col min="11496" max="11505" width="9" style="29"/>
    <col min="11506" max="11506" width="13.875" style="29" customWidth="1"/>
    <col min="11507" max="11745" width="9" style="29"/>
    <col min="11746" max="11746" width="3.25" style="29" customWidth="1"/>
    <col min="11747" max="11747" width="8.5" style="29" customWidth="1"/>
    <col min="11748" max="11748" width="20.375" style="29" customWidth="1"/>
    <col min="11749" max="11749" width="14.125" style="29" customWidth="1"/>
    <col min="11750" max="11750" width="24.875" style="29" customWidth="1"/>
    <col min="11751" max="11751" width="14.25" style="29" customWidth="1"/>
    <col min="11752" max="11761" width="9" style="29"/>
    <col min="11762" max="11762" width="13.875" style="29" customWidth="1"/>
    <col min="11763" max="12001" width="9" style="29"/>
    <col min="12002" max="12002" width="3.25" style="29" customWidth="1"/>
    <col min="12003" max="12003" width="8.5" style="29" customWidth="1"/>
    <col min="12004" max="12004" width="20.375" style="29" customWidth="1"/>
    <col min="12005" max="12005" width="14.125" style="29" customWidth="1"/>
    <col min="12006" max="12006" width="24.875" style="29" customWidth="1"/>
    <col min="12007" max="12007" width="14.25" style="29" customWidth="1"/>
    <col min="12008" max="12017" width="9" style="29"/>
    <col min="12018" max="12018" width="13.875" style="29" customWidth="1"/>
    <col min="12019" max="12257" width="9" style="29"/>
    <col min="12258" max="12258" width="3.25" style="29" customWidth="1"/>
    <col min="12259" max="12259" width="8.5" style="29" customWidth="1"/>
    <col min="12260" max="12260" width="20.375" style="29" customWidth="1"/>
    <col min="12261" max="12261" width="14.125" style="29" customWidth="1"/>
    <col min="12262" max="12262" width="24.875" style="29" customWidth="1"/>
    <col min="12263" max="12263" width="14.25" style="29" customWidth="1"/>
    <col min="12264" max="12273" width="9" style="29"/>
    <col min="12274" max="12274" width="13.875" style="29" customWidth="1"/>
    <col min="12275" max="12513" width="9" style="29"/>
    <col min="12514" max="12514" width="3.25" style="29" customWidth="1"/>
    <col min="12515" max="12515" width="8.5" style="29" customWidth="1"/>
    <col min="12516" max="12516" width="20.375" style="29" customWidth="1"/>
    <col min="12517" max="12517" width="14.125" style="29" customWidth="1"/>
    <col min="12518" max="12518" width="24.875" style="29" customWidth="1"/>
    <col min="12519" max="12519" width="14.25" style="29" customWidth="1"/>
    <col min="12520" max="12529" width="9" style="29"/>
    <col min="12530" max="12530" width="13.875" style="29" customWidth="1"/>
    <col min="12531" max="12769" width="9" style="29"/>
    <col min="12770" max="12770" width="3.25" style="29" customWidth="1"/>
    <col min="12771" max="12771" width="8.5" style="29" customWidth="1"/>
    <col min="12772" max="12772" width="20.375" style="29" customWidth="1"/>
    <col min="12773" max="12773" width="14.125" style="29" customWidth="1"/>
    <col min="12774" max="12774" width="24.875" style="29" customWidth="1"/>
    <col min="12775" max="12775" width="14.25" style="29" customWidth="1"/>
    <col min="12776" max="12785" width="9" style="29"/>
    <col min="12786" max="12786" width="13.875" style="29" customWidth="1"/>
    <col min="12787" max="13025" width="9" style="29"/>
    <col min="13026" max="13026" width="3.25" style="29" customWidth="1"/>
    <col min="13027" max="13027" width="8.5" style="29" customWidth="1"/>
    <col min="13028" max="13028" width="20.375" style="29" customWidth="1"/>
    <col min="13029" max="13029" width="14.125" style="29" customWidth="1"/>
    <col min="13030" max="13030" width="24.875" style="29" customWidth="1"/>
    <col min="13031" max="13031" width="14.25" style="29" customWidth="1"/>
    <col min="13032" max="13041" width="9" style="29"/>
    <col min="13042" max="13042" width="13.875" style="29" customWidth="1"/>
    <col min="13043" max="13281" width="9" style="29"/>
    <col min="13282" max="13282" width="3.25" style="29" customWidth="1"/>
    <col min="13283" max="13283" width="8.5" style="29" customWidth="1"/>
    <col min="13284" max="13284" width="20.375" style="29" customWidth="1"/>
    <col min="13285" max="13285" width="14.125" style="29" customWidth="1"/>
    <col min="13286" max="13286" width="24.875" style="29" customWidth="1"/>
    <col min="13287" max="13287" width="14.25" style="29" customWidth="1"/>
    <col min="13288" max="13297" width="9" style="29"/>
    <col min="13298" max="13298" width="13.875" style="29" customWidth="1"/>
    <col min="13299" max="13537" width="9" style="29"/>
    <col min="13538" max="13538" width="3.25" style="29" customWidth="1"/>
    <col min="13539" max="13539" width="8.5" style="29" customWidth="1"/>
    <col min="13540" max="13540" width="20.375" style="29" customWidth="1"/>
    <col min="13541" max="13541" width="14.125" style="29" customWidth="1"/>
    <col min="13542" max="13542" width="24.875" style="29" customWidth="1"/>
    <col min="13543" max="13543" width="14.25" style="29" customWidth="1"/>
    <col min="13544" max="13553" width="9" style="29"/>
    <col min="13554" max="13554" width="13.875" style="29" customWidth="1"/>
    <col min="13555" max="13793" width="9" style="29"/>
    <col min="13794" max="13794" width="3.25" style="29" customWidth="1"/>
    <col min="13795" max="13795" width="8.5" style="29" customWidth="1"/>
    <col min="13796" max="13796" width="20.375" style="29" customWidth="1"/>
    <col min="13797" max="13797" width="14.125" style="29" customWidth="1"/>
    <col min="13798" max="13798" width="24.875" style="29" customWidth="1"/>
    <col min="13799" max="13799" width="14.25" style="29" customWidth="1"/>
    <col min="13800" max="13809" width="9" style="29"/>
    <col min="13810" max="13810" width="13.875" style="29" customWidth="1"/>
    <col min="13811" max="14049" width="9" style="29"/>
    <col min="14050" max="14050" width="3.25" style="29" customWidth="1"/>
    <col min="14051" max="14051" width="8.5" style="29" customWidth="1"/>
    <col min="14052" max="14052" width="20.375" style="29" customWidth="1"/>
    <col min="14053" max="14053" width="14.125" style="29" customWidth="1"/>
    <col min="14054" max="14054" width="24.875" style="29" customWidth="1"/>
    <col min="14055" max="14055" width="14.25" style="29" customWidth="1"/>
    <col min="14056" max="14065" width="9" style="29"/>
    <col min="14066" max="14066" width="13.875" style="29" customWidth="1"/>
    <col min="14067" max="14305" width="9" style="29"/>
    <col min="14306" max="14306" width="3.25" style="29" customWidth="1"/>
    <col min="14307" max="14307" width="8.5" style="29" customWidth="1"/>
    <col min="14308" max="14308" width="20.375" style="29" customWidth="1"/>
    <col min="14309" max="14309" width="14.125" style="29" customWidth="1"/>
    <col min="14310" max="14310" width="24.875" style="29" customWidth="1"/>
    <col min="14311" max="14311" width="14.25" style="29" customWidth="1"/>
    <col min="14312" max="14321" width="9" style="29"/>
    <col min="14322" max="14322" width="13.875" style="29" customWidth="1"/>
    <col min="14323" max="14561" width="9" style="29"/>
    <col min="14562" max="14562" width="3.25" style="29" customWidth="1"/>
    <col min="14563" max="14563" width="8.5" style="29" customWidth="1"/>
    <col min="14564" max="14564" width="20.375" style="29" customWidth="1"/>
    <col min="14565" max="14565" width="14.125" style="29" customWidth="1"/>
    <col min="14566" max="14566" width="24.875" style="29" customWidth="1"/>
    <col min="14567" max="14567" width="14.25" style="29" customWidth="1"/>
    <col min="14568" max="14577" width="9" style="29"/>
    <col min="14578" max="14578" width="13.875" style="29" customWidth="1"/>
    <col min="14579" max="14817" width="9" style="29"/>
    <col min="14818" max="14818" width="3.25" style="29" customWidth="1"/>
    <col min="14819" max="14819" width="8.5" style="29" customWidth="1"/>
    <col min="14820" max="14820" width="20.375" style="29" customWidth="1"/>
    <col min="14821" max="14821" width="14.125" style="29" customWidth="1"/>
    <col min="14822" max="14822" width="24.875" style="29" customWidth="1"/>
    <col min="14823" max="14823" width="14.25" style="29" customWidth="1"/>
    <col min="14824" max="14833" width="9" style="29"/>
    <col min="14834" max="14834" width="13.875" style="29" customWidth="1"/>
    <col min="14835" max="15073" width="9" style="29"/>
    <col min="15074" max="15074" width="3.25" style="29" customWidth="1"/>
    <col min="15075" max="15075" width="8.5" style="29" customWidth="1"/>
    <col min="15076" max="15076" width="20.375" style="29" customWidth="1"/>
    <col min="15077" max="15077" width="14.125" style="29" customWidth="1"/>
    <col min="15078" max="15078" width="24.875" style="29" customWidth="1"/>
    <col min="15079" max="15079" width="14.25" style="29" customWidth="1"/>
    <col min="15080" max="15089" width="9" style="29"/>
    <col min="15090" max="15090" width="13.875" style="29" customWidth="1"/>
    <col min="15091" max="15329" width="9" style="29"/>
    <col min="15330" max="15330" width="3.25" style="29" customWidth="1"/>
    <col min="15331" max="15331" width="8.5" style="29" customWidth="1"/>
    <col min="15332" max="15332" width="20.375" style="29" customWidth="1"/>
    <col min="15333" max="15333" width="14.125" style="29" customWidth="1"/>
    <col min="15334" max="15334" width="24.875" style="29" customWidth="1"/>
    <col min="15335" max="15335" width="14.25" style="29" customWidth="1"/>
    <col min="15336" max="15345" width="9" style="29"/>
    <col min="15346" max="15346" width="13.875" style="29" customWidth="1"/>
    <col min="15347" max="15585" width="9" style="29"/>
    <col min="15586" max="15586" width="3.25" style="29" customWidth="1"/>
    <col min="15587" max="15587" width="8.5" style="29" customWidth="1"/>
    <col min="15588" max="15588" width="20.375" style="29" customWidth="1"/>
    <col min="15589" max="15589" width="14.125" style="29" customWidth="1"/>
    <col min="15590" max="15590" width="24.875" style="29" customWidth="1"/>
    <col min="15591" max="15591" width="14.25" style="29" customWidth="1"/>
    <col min="15592" max="15601" width="9" style="29"/>
    <col min="15602" max="15602" width="13.875" style="29" customWidth="1"/>
    <col min="15603" max="15841" width="9" style="29"/>
    <col min="15842" max="15842" width="3.25" style="29" customWidth="1"/>
    <col min="15843" max="15843" width="8.5" style="29" customWidth="1"/>
    <col min="15844" max="15844" width="20.375" style="29" customWidth="1"/>
    <col min="15845" max="15845" width="14.125" style="29" customWidth="1"/>
    <col min="15846" max="15846" width="24.875" style="29" customWidth="1"/>
    <col min="15847" max="15847" width="14.25" style="29" customWidth="1"/>
    <col min="15848" max="15857" width="9" style="29"/>
    <col min="15858" max="15858" width="13.875" style="29" customWidth="1"/>
    <col min="15859" max="16097" width="9" style="29"/>
    <col min="16098" max="16098" width="3.25" style="29" customWidth="1"/>
    <col min="16099" max="16099" width="8.5" style="29" customWidth="1"/>
    <col min="16100" max="16100" width="20.375" style="29" customWidth="1"/>
    <col min="16101" max="16101" width="14.125" style="29" customWidth="1"/>
    <col min="16102" max="16102" width="24.875" style="29" customWidth="1"/>
    <col min="16103" max="16103" width="14.25" style="29" customWidth="1"/>
    <col min="16104" max="16113" width="9" style="29"/>
    <col min="16114" max="16114" width="13.875" style="29" customWidth="1"/>
    <col min="16115" max="16384" width="9" style="29"/>
  </cols>
  <sheetData>
    <row r="1" spans="1:13" ht="39.950000000000003" customHeight="1" thickTop="1" thickBot="1">
      <c r="A1" s="370" t="s">
        <v>102</v>
      </c>
      <c r="B1" s="371"/>
      <c r="C1" s="371"/>
      <c r="D1" s="371"/>
      <c r="E1" s="371"/>
      <c r="F1" s="371"/>
      <c r="G1" s="371"/>
      <c r="H1" s="371"/>
      <c r="I1" s="371"/>
      <c r="J1" s="372"/>
      <c r="M1" s="142">
        <v>5</v>
      </c>
    </row>
    <row r="2" spans="1:13" s="35" customFormat="1" ht="32.25" customHeight="1" thickTop="1" thickBot="1">
      <c r="A2" s="30"/>
      <c r="B2" s="31"/>
      <c r="C2" s="31"/>
      <c r="D2" s="31"/>
      <c r="E2" s="31"/>
      <c r="F2" s="31"/>
      <c r="G2" s="32"/>
      <c r="H2" s="31"/>
      <c r="I2" s="33"/>
      <c r="J2" s="34"/>
    </row>
    <row r="3" spans="1:13" ht="32.25" customHeight="1" thickTop="1" thickBot="1">
      <c r="A3" s="373" t="str">
        <f>급여셋팅!$D$14</f>
        <v>제이엠건축인테리어 주식회사</v>
      </c>
      <c r="B3" s="374"/>
      <c r="C3" s="36" t="s">
        <v>103</v>
      </c>
      <c r="E3" s="37">
        <f>VLOOKUP($M$1,'포괄 급여계산'!$A$3:$AG$12,2,0)</f>
        <v>0</v>
      </c>
      <c r="F3" s="38" t="s">
        <v>104</v>
      </c>
      <c r="G3" s="39"/>
      <c r="H3" s="39"/>
      <c r="I3" s="39"/>
      <c r="J3" s="40"/>
    </row>
    <row r="4" spans="1:13" ht="20.100000000000001" customHeight="1" thickTop="1" thickBot="1">
      <c r="A4" s="375" t="s">
        <v>105</v>
      </c>
      <c r="B4" s="41" t="s">
        <v>106</v>
      </c>
      <c r="C4" s="155">
        <f>VLOOKUP($M$1,'포괄 급여계산'!$A$3:$AG$12,5,0)</f>
        <v>0</v>
      </c>
      <c r="D4" s="42" t="s">
        <v>107</v>
      </c>
      <c r="E4" s="43"/>
      <c r="F4" s="43"/>
      <c r="G4" s="43"/>
      <c r="H4" s="43"/>
      <c r="I4" s="43"/>
      <c r="J4" s="44"/>
    </row>
    <row r="5" spans="1:13" ht="20.100000000000001" customHeight="1" thickTop="1" thickBot="1">
      <c r="A5" s="375"/>
      <c r="B5" s="45" t="s">
        <v>108</v>
      </c>
      <c r="C5" s="156"/>
      <c r="D5" s="46" t="s">
        <v>109</v>
      </c>
      <c r="E5" s="47"/>
      <c r="F5" s="48"/>
      <c r="G5" s="49"/>
      <c r="H5" s="49"/>
      <c r="I5" s="49"/>
      <c r="J5" s="50"/>
    </row>
    <row r="6" spans="1:13" ht="20.100000000000001" customHeight="1" thickTop="1" thickBot="1">
      <c r="A6" s="375"/>
      <c r="B6" s="51" t="s">
        <v>110</v>
      </c>
      <c r="C6" s="49"/>
      <c r="D6" s="49"/>
      <c r="E6" s="47"/>
      <c r="F6" s="48"/>
      <c r="G6" s="49"/>
      <c r="H6" s="49"/>
      <c r="I6" s="49"/>
      <c r="J6" s="50"/>
    </row>
    <row r="7" spans="1:13" ht="20.100000000000001" customHeight="1" thickTop="1" thickBot="1">
      <c r="A7" s="375"/>
      <c r="B7" s="51" t="s">
        <v>111</v>
      </c>
      <c r="C7" s="49"/>
      <c r="D7" s="49"/>
      <c r="E7" s="47"/>
      <c r="F7" s="48"/>
      <c r="G7" s="49"/>
      <c r="H7" s="49"/>
      <c r="I7" s="49"/>
      <c r="J7" s="50"/>
    </row>
    <row r="8" spans="1:13" ht="20.100000000000001" customHeight="1" thickTop="1" thickBot="1">
      <c r="A8" s="375"/>
      <c r="B8" s="52" t="s">
        <v>112</v>
      </c>
      <c r="C8" s="53"/>
      <c r="D8" s="53"/>
      <c r="E8" s="54"/>
      <c r="F8" s="55"/>
      <c r="G8" s="53"/>
      <c r="H8" s="53"/>
      <c r="I8" s="53"/>
      <c r="J8" s="56"/>
    </row>
    <row r="9" spans="1:13" s="57" customFormat="1" ht="20.100000000000001" customHeight="1" thickTop="1" thickBot="1">
      <c r="A9" s="375" t="s">
        <v>113</v>
      </c>
      <c r="B9" s="41" t="s">
        <v>114</v>
      </c>
      <c r="C9" s="376">
        <f>VLOOKUP($M$1,'포괄 급여계산'!$A$3:$AG$12,8,0)</f>
        <v>0</v>
      </c>
      <c r="D9" s="376"/>
      <c r="E9" s="43" t="s">
        <v>115</v>
      </c>
      <c r="F9" s="43"/>
      <c r="G9" s="43"/>
      <c r="H9" s="43"/>
      <c r="I9" s="43"/>
      <c r="J9" s="44"/>
    </row>
    <row r="10" spans="1:13" s="57" customFormat="1" ht="20.100000000000001" customHeight="1" thickTop="1" thickBot="1">
      <c r="A10" s="375"/>
      <c r="B10" s="51" t="s">
        <v>116</v>
      </c>
      <c r="C10" s="376">
        <f>VLOOKUP($M$1,'포괄 급여계산'!$A$3:$AG$12,9,0)</f>
        <v>0</v>
      </c>
      <c r="D10" s="376"/>
      <c r="E10" s="58" t="s">
        <v>117</v>
      </c>
      <c r="F10" s="49"/>
      <c r="G10" s="49"/>
      <c r="H10" s="49"/>
      <c r="I10" s="49"/>
      <c r="J10" s="50"/>
    </row>
    <row r="11" spans="1:13" s="57" customFormat="1" ht="20.100000000000001" customHeight="1" thickTop="1" thickBot="1">
      <c r="A11" s="375"/>
      <c r="B11" s="52" t="s">
        <v>118</v>
      </c>
      <c r="C11" s="53"/>
      <c r="D11" s="53"/>
      <c r="E11" s="53"/>
      <c r="F11" s="53"/>
      <c r="G11" s="53"/>
      <c r="H11" s="53"/>
      <c r="I11" s="53"/>
      <c r="J11" s="56"/>
    </row>
    <row r="12" spans="1:13" s="57" customFormat="1" ht="20.100000000000001" customHeight="1" thickTop="1" thickBot="1">
      <c r="A12" s="375" t="s">
        <v>119</v>
      </c>
      <c r="B12" s="59" t="s">
        <v>120</v>
      </c>
      <c r="C12" s="60" t="e">
        <f>VLOOKUP($M$1,'포괄 급여계산'!$A$3:$AC$12,14,0)</f>
        <v>#N/A</v>
      </c>
      <c r="D12" s="61" t="s">
        <v>97</v>
      </c>
      <c r="E12" s="60" t="e">
        <f>VLOOKUP($M$1,'포괄 급여계산'!$A$3:$AC$12,15,0)</f>
        <v>#N/A</v>
      </c>
      <c r="F12" s="61" t="s">
        <v>121</v>
      </c>
      <c r="G12" s="62"/>
      <c r="H12" s="43"/>
      <c r="I12" s="43"/>
      <c r="J12" s="44"/>
    </row>
    <row r="13" spans="1:13" s="57" customFormat="1" ht="20.100000000000001" customHeight="1" thickTop="1" thickBot="1">
      <c r="A13" s="375"/>
      <c r="B13" s="45" t="s">
        <v>122</v>
      </c>
      <c r="C13" s="63" t="s">
        <v>123</v>
      </c>
      <c r="D13" s="64" t="e">
        <f>VLOOKUP($M$1,'포괄 급여계산'!$A$3:$AC$12,16,0)</f>
        <v>#N/A</v>
      </c>
      <c r="E13" s="66" t="s">
        <v>124</v>
      </c>
      <c r="F13" s="65" t="e">
        <f>VLOOKUP($M$1,'포괄 급여계산'!$A$3:$AC$12,17,0)</f>
        <v>#N/A</v>
      </c>
      <c r="G13" s="49"/>
      <c r="H13" s="49"/>
      <c r="I13" s="49"/>
      <c r="J13" s="50"/>
    </row>
    <row r="14" spans="1:13" s="57" customFormat="1" ht="20.100000000000001" customHeight="1" thickTop="1" thickBot="1">
      <c r="A14" s="375"/>
      <c r="B14" s="52" t="s">
        <v>125</v>
      </c>
      <c r="C14" s="53"/>
      <c r="D14" s="53"/>
      <c r="E14" s="53"/>
      <c r="F14" s="53"/>
      <c r="G14" s="53"/>
      <c r="H14" s="53"/>
      <c r="I14" s="53"/>
      <c r="J14" s="56"/>
    </row>
    <row r="15" spans="1:13" s="57" customFormat="1" ht="20.100000000000001" customHeight="1" thickTop="1">
      <c r="A15" s="389" t="s">
        <v>126</v>
      </c>
      <c r="B15" s="59" t="s">
        <v>127</v>
      </c>
      <c r="C15" s="67">
        <f>VLOOKUP($M$1,'포괄 급여계산'!$A$3:$AC$12,10,0)</f>
        <v>0</v>
      </c>
      <c r="D15" s="68" t="s">
        <v>341</v>
      </c>
      <c r="E15" s="43"/>
      <c r="F15" s="43"/>
      <c r="G15" s="43"/>
      <c r="H15" s="43"/>
      <c r="I15" s="43"/>
      <c r="J15" s="44"/>
    </row>
    <row r="16" spans="1:13" s="57" customFormat="1" ht="20.100000000000001" customHeight="1">
      <c r="A16" s="390"/>
      <c r="B16" s="51" t="s">
        <v>129</v>
      </c>
      <c r="C16" s="49"/>
      <c r="D16" s="49"/>
      <c r="E16" s="49"/>
      <c r="F16" s="49"/>
      <c r="G16" s="49"/>
      <c r="H16" s="49"/>
      <c r="I16" s="49"/>
      <c r="J16" s="50"/>
    </row>
    <row r="17" spans="1:29" s="57" customFormat="1" ht="20.100000000000001" customHeight="1">
      <c r="A17" s="390"/>
      <c r="B17" s="51" t="s">
        <v>130</v>
      </c>
      <c r="C17" s="49"/>
      <c r="D17" s="49"/>
      <c r="E17" s="49"/>
      <c r="F17" s="49"/>
      <c r="G17" s="49"/>
      <c r="H17" s="49"/>
      <c r="I17" s="49"/>
      <c r="J17" s="50"/>
    </row>
    <row r="18" spans="1:29" s="57" customFormat="1" ht="20.100000000000001" customHeight="1">
      <c r="A18" s="390"/>
      <c r="B18" s="51" t="s">
        <v>131</v>
      </c>
      <c r="C18" s="49"/>
      <c r="D18" s="49"/>
      <c r="E18" s="49"/>
      <c r="F18" s="49"/>
      <c r="G18" s="58"/>
      <c r="H18" s="49"/>
      <c r="I18" s="49"/>
      <c r="J18" s="50"/>
    </row>
    <row r="19" spans="1:29" s="57" customFormat="1" ht="20.100000000000001" customHeight="1">
      <c r="A19" s="390"/>
      <c r="B19" s="51" t="s">
        <v>132</v>
      </c>
      <c r="C19" s="49"/>
      <c r="D19" s="49"/>
      <c r="E19" s="49"/>
      <c r="F19" s="49"/>
      <c r="G19" s="49"/>
      <c r="H19" s="49"/>
      <c r="I19" s="49"/>
      <c r="J19" s="50"/>
    </row>
    <row r="20" spans="1:29" s="57" customFormat="1" ht="20.100000000000001" customHeight="1">
      <c r="A20" s="390"/>
      <c r="B20" s="51" t="s">
        <v>133</v>
      </c>
      <c r="C20" s="49"/>
      <c r="D20" s="49"/>
      <c r="E20" s="49"/>
      <c r="F20" s="49"/>
      <c r="G20" s="49"/>
      <c r="H20" s="49"/>
      <c r="I20" s="49"/>
      <c r="J20" s="50"/>
    </row>
    <row r="21" spans="1:29" s="57" customFormat="1" ht="20.100000000000001" customHeight="1" thickBot="1">
      <c r="A21" s="391"/>
      <c r="B21" s="52" t="s">
        <v>134</v>
      </c>
      <c r="C21" s="53"/>
      <c r="D21" s="53"/>
      <c r="E21" s="53"/>
      <c r="F21" s="53"/>
      <c r="G21" s="53"/>
      <c r="H21" s="53"/>
      <c r="I21" s="53"/>
      <c r="J21" s="56"/>
      <c r="AC21" s="57">
        <v>1</v>
      </c>
    </row>
    <row r="22" spans="1:29" s="57" customFormat="1" ht="20.100000000000001" customHeight="1" thickTop="1">
      <c r="A22" s="389" t="s">
        <v>135</v>
      </c>
      <c r="B22" s="69" t="s">
        <v>136</v>
      </c>
      <c r="C22" s="69"/>
      <c r="D22" s="69"/>
      <c r="E22" s="49"/>
      <c r="F22" s="49"/>
      <c r="G22" s="49"/>
      <c r="H22" s="49"/>
      <c r="I22" s="49"/>
      <c r="J22" s="50"/>
    </row>
    <row r="23" spans="1:29" s="57" customFormat="1" ht="20.100000000000001" customHeight="1">
      <c r="A23" s="390"/>
      <c r="B23" s="49" t="s">
        <v>137</v>
      </c>
      <c r="C23" s="49"/>
      <c r="D23" s="49"/>
      <c r="E23" s="49"/>
      <c r="F23" s="49"/>
      <c r="G23" s="49"/>
      <c r="H23" s="49"/>
      <c r="I23" s="49"/>
      <c r="J23" s="50"/>
    </row>
    <row r="24" spans="1:29" s="57" customFormat="1" ht="20.100000000000001" customHeight="1" thickBot="1">
      <c r="A24" s="391"/>
      <c r="B24" s="53" t="s">
        <v>138</v>
      </c>
      <c r="C24" s="53"/>
      <c r="D24" s="53"/>
      <c r="E24" s="53"/>
      <c r="F24" s="53"/>
      <c r="G24" s="53"/>
      <c r="H24" s="53"/>
      <c r="I24" s="53"/>
      <c r="J24" s="56"/>
    </row>
    <row r="25" spans="1:29" s="57" customFormat="1" ht="20.100000000000001" customHeight="1" thickTop="1" thickBot="1">
      <c r="A25" s="70" t="s">
        <v>139</v>
      </c>
      <c r="B25" s="71" t="s">
        <v>140</v>
      </c>
      <c r="C25" s="71"/>
      <c r="D25" s="71"/>
      <c r="E25" s="71"/>
      <c r="F25" s="71"/>
      <c r="G25" s="71"/>
      <c r="H25" s="71"/>
      <c r="I25" s="71"/>
      <c r="J25" s="72"/>
    </row>
    <row r="26" spans="1:29" s="57" customFormat="1" ht="20.100000000000001" customHeight="1" thickTop="1">
      <c r="A26" s="380" t="s">
        <v>141</v>
      </c>
      <c r="B26" s="73" t="s">
        <v>142</v>
      </c>
      <c r="C26" s="73"/>
      <c r="D26" s="73"/>
      <c r="E26" s="43"/>
      <c r="F26" s="43"/>
      <c r="G26" s="74"/>
      <c r="H26" s="74"/>
      <c r="I26" s="43"/>
      <c r="J26" s="44"/>
    </row>
    <row r="27" spans="1:29" s="57" customFormat="1" ht="20.100000000000001" customHeight="1">
      <c r="A27" s="381"/>
      <c r="B27" s="49" t="s">
        <v>143</v>
      </c>
      <c r="C27" s="49"/>
      <c r="D27" s="49"/>
      <c r="E27" s="49"/>
      <c r="F27" s="49"/>
      <c r="G27" s="75"/>
      <c r="H27" s="75"/>
      <c r="I27" s="49"/>
      <c r="J27" s="50"/>
    </row>
    <row r="28" spans="1:29" s="57" customFormat="1" ht="20.100000000000001" customHeight="1">
      <c r="A28" s="381"/>
      <c r="B28" s="49" t="s">
        <v>144</v>
      </c>
      <c r="C28" s="49"/>
      <c r="D28" s="49"/>
      <c r="E28" s="49"/>
      <c r="F28" s="49"/>
      <c r="G28" s="75"/>
      <c r="H28" s="75"/>
      <c r="I28" s="49"/>
      <c r="J28" s="50"/>
    </row>
    <row r="29" spans="1:29" s="57" customFormat="1" ht="20.100000000000001" customHeight="1" thickBot="1">
      <c r="A29" s="382"/>
      <c r="B29" s="392" t="s">
        <v>283</v>
      </c>
      <c r="C29" s="393"/>
      <c r="D29" s="393"/>
      <c r="E29" s="393"/>
      <c r="F29" s="393"/>
      <c r="G29" s="393"/>
      <c r="H29" s="393"/>
      <c r="I29" s="393"/>
      <c r="J29" s="394"/>
    </row>
    <row r="30" spans="1:29" s="57" customFormat="1" ht="20.100000000000001" customHeight="1" thickTop="1">
      <c r="A30" s="380" t="s">
        <v>145</v>
      </c>
      <c r="B30" s="43" t="s">
        <v>146</v>
      </c>
      <c r="C30" s="43"/>
      <c r="D30" s="43"/>
      <c r="E30" s="77"/>
      <c r="F30" s="77"/>
      <c r="G30" s="43"/>
      <c r="H30" s="43"/>
      <c r="I30" s="43"/>
      <c r="J30" s="44"/>
    </row>
    <row r="31" spans="1:29" s="57" customFormat="1" ht="20.100000000000001" customHeight="1">
      <c r="A31" s="381"/>
      <c r="B31" s="49" t="s">
        <v>147</v>
      </c>
      <c r="C31" s="49"/>
      <c r="D31" s="49"/>
      <c r="E31" s="78"/>
      <c r="F31" s="78"/>
      <c r="G31" s="49"/>
      <c r="H31" s="49"/>
      <c r="I31" s="49"/>
      <c r="J31" s="50"/>
    </row>
    <row r="32" spans="1:29" s="57" customFormat="1" ht="20.100000000000001" customHeight="1">
      <c r="A32" s="381"/>
      <c r="B32" s="49" t="s">
        <v>148</v>
      </c>
      <c r="C32" s="49"/>
      <c r="D32" s="49"/>
      <c r="E32" s="49"/>
      <c r="F32" s="49"/>
      <c r="G32" s="49"/>
      <c r="H32" s="49"/>
      <c r="I32" s="49"/>
      <c r="J32" s="50"/>
    </row>
    <row r="33" spans="1:10" s="57" customFormat="1" ht="20.100000000000001" customHeight="1" thickBot="1">
      <c r="A33" s="382"/>
      <c r="B33" s="53" t="s">
        <v>149</v>
      </c>
      <c r="C33" s="53"/>
      <c r="D33" s="53"/>
      <c r="E33" s="53"/>
      <c r="F33" s="53"/>
      <c r="G33" s="53"/>
      <c r="H33" s="53"/>
      <c r="I33" s="53"/>
      <c r="J33" s="56"/>
    </row>
    <row r="34" spans="1:10" s="57" customFormat="1" ht="20.100000000000001" customHeight="1" thickTop="1">
      <c r="A34" s="377" t="s">
        <v>150</v>
      </c>
      <c r="B34" s="41" t="s">
        <v>151</v>
      </c>
      <c r="C34" s="43"/>
      <c r="D34" s="43"/>
      <c r="E34" s="79"/>
      <c r="F34" s="79"/>
      <c r="G34" s="79"/>
      <c r="H34" s="80"/>
      <c r="I34" s="43"/>
      <c r="J34" s="44"/>
    </row>
    <row r="35" spans="1:10" s="57" customFormat="1" ht="20.100000000000001" customHeight="1">
      <c r="A35" s="378"/>
      <c r="B35" s="51" t="s">
        <v>152</v>
      </c>
      <c r="C35" s="49"/>
      <c r="D35" s="49"/>
      <c r="E35" s="81"/>
      <c r="F35" s="81"/>
      <c r="G35" s="81"/>
      <c r="H35" s="82"/>
      <c r="I35" s="49"/>
      <c r="J35" s="50"/>
    </row>
    <row r="36" spans="1:10" s="57" customFormat="1" ht="20.100000000000001" customHeight="1">
      <c r="A36" s="378"/>
      <c r="B36" s="51" t="s">
        <v>153</v>
      </c>
      <c r="C36" s="49"/>
      <c r="D36" s="49"/>
      <c r="E36" s="49"/>
      <c r="F36" s="49"/>
      <c r="G36" s="49"/>
      <c r="H36" s="49"/>
      <c r="I36" s="49"/>
      <c r="J36" s="50"/>
    </row>
    <row r="37" spans="1:10" s="57" customFormat="1" ht="20.100000000000001" customHeight="1">
      <c r="A37" s="378"/>
      <c r="B37" s="51" t="s">
        <v>154</v>
      </c>
      <c r="C37" s="49"/>
      <c r="D37" s="49"/>
      <c r="E37" s="75"/>
      <c r="F37" s="75"/>
      <c r="G37" s="75"/>
      <c r="H37" s="49"/>
      <c r="I37" s="49"/>
      <c r="J37" s="50"/>
    </row>
    <row r="38" spans="1:10" s="57" customFormat="1" ht="20.100000000000001" customHeight="1">
      <c r="A38" s="378"/>
      <c r="B38" s="51" t="s">
        <v>155</v>
      </c>
      <c r="C38" s="49"/>
      <c r="D38" s="49"/>
      <c r="E38" s="78"/>
      <c r="F38" s="78"/>
      <c r="G38" s="49"/>
      <c r="H38" s="49"/>
      <c r="I38" s="49"/>
      <c r="J38" s="50"/>
    </row>
    <row r="39" spans="1:10" s="57" customFormat="1" ht="20.100000000000001" customHeight="1">
      <c r="A39" s="378"/>
      <c r="B39" s="51" t="s">
        <v>156</v>
      </c>
      <c r="C39" s="49"/>
      <c r="D39" s="49"/>
      <c r="E39" s="78"/>
      <c r="F39" s="78"/>
      <c r="G39" s="49"/>
      <c r="H39" s="49"/>
      <c r="I39" s="49"/>
      <c r="J39" s="50"/>
    </row>
    <row r="40" spans="1:10" s="57" customFormat="1" ht="20.100000000000001" customHeight="1">
      <c r="A40" s="378"/>
      <c r="B40" s="51" t="s">
        <v>157</v>
      </c>
      <c r="C40" s="49"/>
      <c r="D40" s="49"/>
      <c r="E40" s="49"/>
      <c r="F40" s="49"/>
      <c r="G40" s="49"/>
      <c r="H40" s="49"/>
      <c r="I40" s="49"/>
      <c r="J40" s="50"/>
    </row>
    <row r="41" spans="1:10" s="57" customFormat="1" ht="20.100000000000001" customHeight="1" thickBot="1">
      <c r="A41" s="379"/>
      <c r="B41" s="52" t="s">
        <v>158</v>
      </c>
      <c r="C41" s="53"/>
      <c r="D41" s="53"/>
      <c r="E41" s="53"/>
      <c r="F41" s="53"/>
      <c r="G41" s="53"/>
      <c r="H41" s="53"/>
      <c r="I41" s="53"/>
      <c r="J41" s="56"/>
    </row>
    <row r="42" spans="1:10" s="57" customFormat="1" ht="20.100000000000001" customHeight="1" thickTop="1">
      <c r="A42" s="377" t="s">
        <v>159</v>
      </c>
      <c r="B42" s="43" t="s">
        <v>160</v>
      </c>
      <c r="C42" s="43"/>
      <c r="D42" s="43"/>
      <c r="E42" s="79"/>
      <c r="F42" s="79"/>
      <c r="G42" s="79"/>
      <c r="H42" s="80"/>
      <c r="I42" s="43"/>
      <c r="J42" s="44"/>
    </row>
    <row r="43" spans="1:10" s="57" customFormat="1" ht="20.100000000000001" customHeight="1">
      <c r="A43" s="378"/>
      <c r="B43" s="49" t="s">
        <v>161</v>
      </c>
      <c r="C43" s="49"/>
      <c r="D43" s="49"/>
      <c r="E43" s="81"/>
      <c r="F43" s="81"/>
      <c r="G43" s="81"/>
      <c r="H43" s="82"/>
      <c r="I43" s="49"/>
      <c r="J43" s="50"/>
    </row>
    <row r="44" spans="1:10" s="57" customFormat="1" ht="20.100000000000001" customHeight="1">
      <c r="A44" s="378"/>
      <c r="B44" s="49" t="s">
        <v>162</v>
      </c>
      <c r="C44" s="49"/>
      <c r="D44" s="49"/>
      <c r="E44" s="49"/>
      <c r="F44" s="49"/>
      <c r="G44" s="49"/>
      <c r="H44" s="49"/>
      <c r="I44" s="49"/>
      <c r="J44" s="50"/>
    </row>
    <row r="45" spans="1:10" s="57" customFormat="1" ht="20.100000000000001" customHeight="1" thickBot="1">
      <c r="A45" s="378"/>
      <c r="B45" s="49" t="s">
        <v>163</v>
      </c>
      <c r="C45" s="49"/>
      <c r="D45" s="49"/>
      <c r="E45" s="75"/>
      <c r="F45" s="75"/>
      <c r="G45" s="75"/>
      <c r="H45" s="49"/>
      <c r="I45" s="49"/>
      <c r="J45" s="50"/>
    </row>
    <row r="46" spans="1:10" s="57" customFormat="1" ht="20.100000000000001" customHeight="1" thickTop="1">
      <c r="A46" s="380" t="s">
        <v>164</v>
      </c>
      <c r="B46" s="41" t="s">
        <v>165</v>
      </c>
      <c r="C46" s="43"/>
      <c r="D46" s="43"/>
      <c r="E46" s="74"/>
      <c r="F46" s="74"/>
      <c r="G46" s="74"/>
      <c r="H46" s="43"/>
      <c r="I46" s="43"/>
      <c r="J46" s="44"/>
    </row>
    <row r="47" spans="1:10" s="57" customFormat="1" ht="20.100000000000001" customHeight="1" thickBot="1">
      <c r="A47" s="381"/>
      <c r="B47" s="51" t="s">
        <v>166</v>
      </c>
      <c r="C47" s="49"/>
      <c r="D47" s="49"/>
      <c r="E47" s="75"/>
      <c r="F47" s="75"/>
      <c r="G47" s="75"/>
      <c r="H47" s="49"/>
      <c r="I47" s="49"/>
      <c r="J47" s="50"/>
    </row>
    <row r="48" spans="1:10" s="57" customFormat="1" ht="20.100000000000001" customHeight="1" thickTop="1">
      <c r="A48" s="380" t="s">
        <v>167</v>
      </c>
      <c r="B48" s="41" t="s">
        <v>168</v>
      </c>
      <c r="C48" s="43"/>
      <c r="D48" s="43"/>
      <c r="E48" s="43"/>
      <c r="F48" s="43"/>
      <c r="G48" s="74"/>
      <c r="H48" s="74"/>
      <c r="I48" s="43"/>
      <c r="J48" s="44"/>
    </row>
    <row r="49" spans="1:10" s="57" customFormat="1" ht="20.100000000000001" customHeight="1" thickBot="1">
      <c r="A49" s="382"/>
      <c r="B49" s="52" t="s">
        <v>169</v>
      </c>
      <c r="C49" s="53"/>
      <c r="D49" s="53"/>
      <c r="E49" s="53"/>
      <c r="F49" s="53"/>
      <c r="G49" s="76"/>
      <c r="H49" s="76"/>
      <c r="I49" s="53"/>
      <c r="J49" s="56"/>
    </row>
    <row r="50" spans="1:10" s="57" customFormat="1" ht="24.95" customHeight="1" thickTop="1">
      <c r="A50" s="383" t="s">
        <v>170</v>
      </c>
      <c r="B50" s="384"/>
      <c r="C50" s="384"/>
      <c r="D50" s="384"/>
      <c r="E50" s="384"/>
      <c r="F50" s="384"/>
      <c r="G50" s="384"/>
      <c r="H50" s="384"/>
      <c r="I50" s="384"/>
      <c r="J50" s="385"/>
    </row>
    <row r="51" spans="1:10" s="57" customFormat="1" ht="24.95" customHeight="1" thickBot="1">
      <c r="A51" s="83" t="s">
        <v>171</v>
      </c>
      <c r="B51" s="84"/>
      <c r="C51" s="84"/>
      <c r="D51" s="84"/>
      <c r="E51" s="84"/>
      <c r="F51" s="84"/>
      <c r="G51" s="84"/>
      <c r="H51" s="85" t="s">
        <v>172</v>
      </c>
      <c r="I51" s="86">
        <f>+E3</f>
        <v>0</v>
      </c>
      <c r="J51" s="87" t="s">
        <v>173</v>
      </c>
    </row>
    <row r="52" spans="1:10" s="57" customFormat="1" ht="30" customHeight="1" thickTop="1" thickBot="1">
      <c r="A52" s="386" t="s">
        <v>174</v>
      </c>
      <c r="B52" s="387"/>
      <c r="C52" s="387"/>
      <c r="D52" s="387"/>
      <c r="E52" s="387"/>
      <c r="F52" s="387"/>
      <c r="G52" s="387"/>
      <c r="H52" s="387"/>
      <c r="I52" s="387"/>
      <c r="J52" s="388"/>
    </row>
    <row r="53" spans="1:10" ht="30" customHeight="1" thickTop="1">
      <c r="A53" s="406" t="s">
        <v>175</v>
      </c>
      <c r="B53" s="397" t="str">
        <f>$A$3</f>
        <v>제이엠건축인테리어 주식회사</v>
      </c>
      <c r="C53" s="398"/>
      <c r="D53" s="88" t="str">
        <f>'[14]회사 정보'!E1</f>
        <v>대표이사</v>
      </c>
      <c r="E53" s="399" t="str">
        <f>급여셋팅!$D$17</f>
        <v>이소연</v>
      </c>
      <c r="F53" s="398"/>
      <c r="G53" s="398"/>
      <c r="H53" s="398"/>
      <c r="I53" s="408" t="s">
        <v>176</v>
      </c>
      <c r="J53" s="409"/>
    </row>
    <row r="54" spans="1:10" ht="30" customHeight="1" thickBot="1">
      <c r="A54" s="407"/>
      <c r="B54" s="402" t="s">
        <v>177</v>
      </c>
      <c r="C54" s="403"/>
      <c r="D54" s="403"/>
      <c r="E54" s="410" t="str">
        <f>급여셋팅!$D$16</f>
        <v>경상남도 창원시 의창구 평산로 135번길 4 , 2층</v>
      </c>
      <c r="F54" s="411"/>
      <c r="G54" s="411"/>
      <c r="H54" s="411"/>
      <c r="I54" s="411"/>
      <c r="J54" s="412"/>
    </row>
    <row r="55" spans="1:10" ht="30" customHeight="1" thickTop="1">
      <c r="A55" s="395" t="s">
        <v>172</v>
      </c>
      <c r="B55" s="397" t="s">
        <v>178</v>
      </c>
      <c r="C55" s="398"/>
      <c r="D55" s="398"/>
      <c r="E55" s="399">
        <f>+E3</f>
        <v>0</v>
      </c>
      <c r="F55" s="399"/>
      <c r="G55" s="399"/>
      <c r="H55" s="399"/>
      <c r="I55" s="400" t="s">
        <v>176</v>
      </c>
      <c r="J55" s="401"/>
    </row>
    <row r="56" spans="1:10" ht="30" customHeight="1" thickBot="1">
      <c r="A56" s="396"/>
      <c r="B56" s="402" t="s">
        <v>179</v>
      </c>
      <c r="C56" s="403"/>
      <c r="D56" s="403"/>
      <c r="E56" s="404">
        <f>VLOOKUP(M1,'포괄 급여계산'!$A$3:$AG$12,3,0)</f>
        <v>0</v>
      </c>
      <c r="F56" s="404"/>
      <c r="G56" s="404"/>
      <c r="H56" s="404"/>
      <c r="I56" s="404"/>
      <c r="J56" s="405"/>
    </row>
    <row r="57" spans="1:10" ht="0.2" customHeight="1" thickTop="1" thickBot="1">
      <c r="A57" s="49"/>
      <c r="B57" s="89"/>
      <c r="C57" s="89"/>
      <c r="D57" s="89"/>
      <c r="E57" s="75"/>
      <c r="F57" s="75"/>
      <c r="G57" s="90"/>
      <c r="H57" s="90"/>
      <c r="I57" s="90"/>
      <c r="J57" s="90"/>
    </row>
    <row r="58" spans="1:10" ht="0.2" customHeight="1" thickTop="1" thickBot="1">
      <c r="A58" s="49"/>
      <c r="B58" s="89"/>
      <c r="C58" s="89"/>
      <c r="D58" s="89"/>
      <c r="E58" s="75"/>
      <c r="F58" s="75"/>
      <c r="G58" s="90"/>
      <c r="H58" s="90"/>
      <c r="I58" s="90"/>
      <c r="J58" s="90"/>
    </row>
    <row r="59" spans="1:10" ht="0.2" customHeight="1" thickTop="1" thickBot="1">
      <c r="A59" s="49"/>
      <c r="B59" s="89"/>
      <c r="C59" s="89"/>
      <c r="D59" s="89"/>
      <c r="E59" s="75"/>
      <c r="F59" s="75"/>
      <c r="G59" s="90"/>
      <c r="H59" s="90"/>
      <c r="I59" s="90"/>
      <c r="J59" s="90"/>
    </row>
    <row r="60" spans="1:10" ht="0.2" customHeight="1" thickTop="1" thickBot="1">
      <c r="A60" s="49"/>
      <c r="B60" s="89"/>
      <c r="C60" s="89"/>
      <c r="D60" s="89"/>
      <c r="E60" s="75"/>
      <c r="F60" s="75"/>
      <c r="G60" s="90"/>
      <c r="H60" s="90"/>
      <c r="I60" s="90"/>
      <c r="J60" s="90"/>
    </row>
    <row r="61" spans="1:10" ht="0.2" customHeight="1" thickTop="1" thickBot="1">
      <c r="A61" s="49"/>
      <c r="B61" s="89"/>
      <c r="C61" s="89"/>
      <c r="D61" s="89"/>
      <c r="E61" s="75"/>
      <c r="F61" s="75"/>
      <c r="G61" s="90"/>
      <c r="H61" s="90"/>
      <c r="I61" s="90"/>
      <c r="J61" s="90"/>
    </row>
    <row r="62" spans="1:10" ht="39.950000000000003" customHeight="1" thickTop="1" thickBot="1">
      <c r="A62" s="370" t="s">
        <v>180</v>
      </c>
      <c r="B62" s="371"/>
      <c r="C62" s="371"/>
      <c r="D62" s="371"/>
      <c r="E62" s="371"/>
      <c r="F62" s="371"/>
      <c r="G62" s="371"/>
      <c r="H62" s="371"/>
      <c r="I62" s="371"/>
      <c r="J62" s="372"/>
    </row>
    <row r="63" spans="1:10" ht="32.25" customHeight="1" thickTop="1" thickBot="1">
      <c r="A63" s="413" t="str">
        <f>A3</f>
        <v>제이엠건축인테리어 주식회사</v>
      </c>
      <c r="B63" s="414"/>
      <c r="C63" s="53" t="s">
        <v>181</v>
      </c>
      <c r="E63" s="91">
        <f>+E3</f>
        <v>0</v>
      </c>
      <c r="F63" s="92" t="s">
        <v>182</v>
      </c>
      <c r="G63" s="53"/>
      <c r="H63" s="53"/>
      <c r="I63" s="53"/>
      <c r="J63" s="56"/>
    </row>
    <row r="64" spans="1:10" s="57" customFormat="1" ht="20.100000000000001" customHeight="1" thickTop="1">
      <c r="A64" s="380" t="s">
        <v>183</v>
      </c>
      <c r="B64" s="43" t="s">
        <v>184</v>
      </c>
      <c r="C64" s="93" t="s">
        <v>185</v>
      </c>
      <c r="D64" s="42"/>
      <c r="E64" s="43"/>
      <c r="F64" s="43"/>
      <c r="G64" s="43"/>
      <c r="H64" s="43"/>
      <c r="I64" s="43"/>
      <c r="J64" s="44"/>
    </row>
    <row r="65" spans="1:10" s="57" customFormat="1" ht="20.100000000000001" customHeight="1">
      <c r="A65" s="381"/>
      <c r="B65" s="49" t="s">
        <v>186</v>
      </c>
      <c r="C65" s="49"/>
      <c r="D65" s="49"/>
      <c r="E65" s="49"/>
      <c r="F65" s="49"/>
      <c r="G65" s="49"/>
      <c r="H65" s="49"/>
      <c r="I65" s="49"/>
      <c r="J65" s="50"/>
    </row>
    <row r="66" spans="1:10" s="57" customFormat="1" ht="20.100000000000001" customHeight="1" thickBot="1">
      <c r="A66" s="382"/>
      <c r="B66" s="53" t="s">
        <v>187</v>
      </c>
      <c r="C66" s="53"/>
      <c r="D66" s="53"/>
      <c r="E66" s="53"/>
      <c r="F66" s="53"/>
      <c r="G66" s="53"/>
      <c r="H66" s="53"/>
      <c r="I66" s="53"/>
      <c r="J66" s="56"/>
    </row>
    <row r="67" spans="1:10" ht="20.100000000000001" customHeight="1" thickTop="1">
      <c r="A67" s="389" t="s">
        <v>188</v>
      </c>
      <c r="B67" s="41" t="s">
        <v>189</v>
      </c>
      <c r="C67" s="43"/>
      <c r="D67" s="43"/>
      <c r="E67" s="94"/>
      <c r="F67" s="94"/>
      <c r="G67" s="43"/>
      <c r="H67" s="43"/>
      <c r="I67" s="43"/>
      <c r="J67" s="44"/>
    </row>
    <row r="68" spans="1:10" ht="20.100000000000001" customHeight="1" thickBot="1">
      <c r="A68" s="390"/>
      <c r="B68" s="51" t="s">
        <v>190</v>
      </c>
      <c r="C68" s="49"/>
      <c r="D68" s="49"/>
      <c r="E68" s="49"/>
      <c r="F68" s="49"/>
      <c r="G68" s="95"/>
      <c r="H68" s="85" t="s">
        <v>172</v>
      </c>
      <c r="I68" s="86">
        <f>+E3</f>
        <v>0</v>
      </c>
      <c r="J68" s="87" t="s">
        <v>173</v>
      </c>
    </row>
    <row r="69" spans="1:10" ht="20.100000000000001" customHeight="1" thickTop="1" thickBot="1">
      <c r="A69" s="390"/>
      <c r="B69" s="415" t="s">
        <v>191</v>
      </c>
      <c r="C69" s="416"/>
      <c r="D69" s="416"/>
      <c r="E69" s="417"/>
      <c r="F69" s="418" t="s">
        <v>192</v>
      </c>
      <c r="G69" s="419"/>
      <c r="H69" s="420" t="s">
        <v>193</v>
      </c>
      <c r="I69" s="421"/>
      <c r="J69" s="422"/>
    </row>
    <row r="70" spans="1:10" ht="20.100000000000001" customHeight="1" thickTop="1">
      <c r="A70" s="390"/>
      <c r="B70" s="423" t="s">
        <v>247</v>
      </c>
      <c r="C70" s="424"/>
      <c r="D70" s="424"/>
      <c r="E70" s="425"/>
      <c r="F70" s="426" t="str">
        <f>VLOOKUP($M$1,'포괄 급여계산'!$A$3:$AC$12,21,0)</f>
        <v/>
      </c>
      <c r="G70" s="427"/>
      <c r="H70" s="428" t="s">
        <v>285</v>
      </c>
      <c r="I70" s="429"/>
      <c r="J70" s="430"/>
    </row>
    <row r="71" spans="1:10" ht="20.100000000000001" customHeight="1">
      <c r="A71" s="390"/>
      <c r="B71" s="431" t="s">
        <v>284</v>
      </c>
      <c r="C71" s="432"/>
      <c r="D71" s="432"/>
      <c r="E71" s="433"/>
      <c r="F71" s="426" t="str">
        <f>VLOOKUP($M$1,'포괄 급여계산'!$A$3:$AC$12,26,0)</f>
        <v/>
      </c>
      <c r="G71" s="427"/>
      <c r="H71" s="96" t="str">
        <f>VLOOKUP($M$1,'포괄 급여계산'!$A$3:$AC$12,18,0)</f>
        <v/>
      </c>
      <c r="I71" s="434" t="s">
        <v>339</v>
      </c>
      <c r="J71" s="435"/>
    </row>
    <row r="72" spans="1:10" ht="20.100000000000001" hidden="1" customHeight="1">
      <c r="A72" s="390"/>
      <c r="B72" s="431"/>
      <c r="C72" s="432"/>
      <c r="D72" s="432"/>
      <c r="E72" s="433"/>
      <c r="F72" s="426"/>
      <c r="G72" s="427"/>
      <c r="H72" s="96"/>
      <c r="I72" s="434" t="s">
        <v>290</v>
      </c>
      <c r="J72" s="435"/>
    </row>
    <row r="73" spans="1:10" ht="20.100000000000001" customHeight="1">
      <c r="A73" s="390"/>
      <c r="B73" s="431" t="s">
        <v>337</v>
      </c>
      <c r="C73" s="432"/>
      <c r="D73" s="432"/>
      <c r="E73" s="433"/>
      <c r="F73" s="439">
        <f>VLOOKUP($M$1,'포괄 급여계산'!$A$3:$AC$12,29,0)</f>
        <v>0</v>
      </c>
      <c r="G73" s="433"/>
      <c r="H73" s="439"/>
      <c r="I73" s="432"/>
      <c r="J73" s="566"/>
    </row>
    <row r="74" spans="1:10" ht="20.100000000000001" customHeight="1">
      <c r="A74" s="390"/>
      <c r="B74" s="431" t="s">
        <v>248</v>
      </c>
      <c r="C74" s="432"/>
      <c r="D74" s="432"/>
      <c r="E74" s="433"/>
      <c r="F74" s="439">
        <f>VLOOKUP($M$1,'포괄 급여계산'!$A$3:$AC$12,24,0)</f>
        <v>0</v>
      </c>
      <c r="G74" s="433"/>
      <c r="H74" s="439"/>
      <c r="I74" s="432"/>
      <c r="J74" s="566"/>
    </row>
    <row r="75" spans="1:10" ht="20.100000000000001" customHeight="1">
      <c r="A75" s="390"/>
      <c r="B75" s="431" t="s">
        <v>46</v>
      </c>
      <c r="C75" s="432"/>
      <c r="D75" s="432"/>
      <c r="E75" s="433"/>
      <c r="F75" s="439">
        <f>VLOOKUP($M$1,'포괄 급여계산'!$A$3:$AC$12,25,0)</f>
        <v>0</v>
      </c>
      <c r="G75" s="433"/>
      <c r="H75" s="439"/>
      <c r="I75" s="432"/>
      <c r="J75" s="566"/>
    </row>
    <row r="76" spans="1:10" ht="20.100000000000001" customHeight="1">
      <c r="A76" s="390"/>
      <c r="B76" s="431" t="s">
        <v>49</v>
      </c>
      <c r="C76" s="432"/>
      <c r="D76" s="432"/>
      <c r="E76" s="433"/>
      <c r="F76" s="426">
        <f>VLOOKUP($M$1,'포괄 급여계산'!$A$3:$AC$12,22,0)</f>
        <v>0</v>
      </c>
      <c r="G76" s="427"/>
      <c r="H76" s="436"/>
      <c r="I76" s="437"/>
      <c r="J76" s="438"/>
    </row>
    <row r="77" spans="1:10" ht="20.100000000000001" customHeight="1">
      <c r="A77" s="390"/>
      <c r="B77" s="431"/>
      <c r="C77" s="432"/>
      <c r="D77" s="432"/>
      <c r="E77" s="433"/>
      <c r="F77" s="426"/>
      <c r="G77" s="427"/>
      <c r="H77" s="436"/>
      <c r="I77" s="437"/>
      <c r="J77" s="438"/>
    </row>
    <row r="78" spans="1:10" ht="20.100000000000001" customHeight="1">
      <c r="A78" s="390"/>
      <c r="B78" s="431"/>
      <c r="C78" s="432"/>
      <c r="D78" s="432"/>
      <c r="E78" s="433"/>
      <c r="F78" s="426"/>
      <c r="G78" s="427"/>
      <c r="H78" s="436"/>
      <c r="I78" s="437"/>
      <c r="J78" s="438"/>
    </row>
    <row r="79" spans="1:10" ht="20.100000000000001" customHeight="1">
      <c r="A79" s="390"/>
      <c r="B79" s="431"/>
      <c r="C79" s="432"/>
      <c r="D79" s="432"/>
      <c r="E79" s="433"/>
      <c r="F79" s="426"/>
      <c r="G79" s="427"/>
      <c r="H79" s="436"/>
      <c r="I79" s="437"/>
      <c r="J79" s="438"/>
    </row>
    <row r="80" spans="1:10" ht="20.100000000000001" customHeight="1">
      <c r="A80" s="390"/>
      <c r="B80" s="431"/>
      <c r="C80" s="432"/>
      <c r="D80" s="432"/>
      <c r="E80" s="433"/>
      <c r="F80" s="426"/>
      <c r="G80" s="427"/>
      <c r="H80" s="436"/>
      <c r="I80" s="437"/>
      <c r="J80" s="438"/>
    </row>
    <row r="81" spans="1:10" ht="20.100000000000001" customHeight="1">
      <c r="A81" s="390"/>
      <c r="B81" s="431"/>
      <c r="C81" s="432"/>
      <c r="D81" s="432"/>
      <c r="E81" s="433"/>
      <c r="F81" s="439"/>
      <c r="G81" s="433"/>
      <c r="H81" s="436"/>
      <c r="I81" s="437"/>
      <c r="J81" s="438"/>
    </row>
    <row r="82" spans="1:10" ht="20.100000000000001" customHeight="1">
      <c r="A82" s="390"/>
      <c r="B82" s="440"/>
      <c r="C82" s="437"/>
      <c r="D82" s="437"/>
      <c r="E82" s="427"/>
      <c r="F82" s="439"/>
      <c r="G82" s="433"/>
      <c r="H82" s="436"/>
      <c r="I82" s="437"/>
      <c r="J82" s="438"/>
    </row>
    <row r="83" spans="1:10" ht="20.100000000000001" customHeight="1">
      <c r="A83" s="390"/>
      <c r="B83" s="440"/>
      <c r="C83" s="437"/>
      <c r="D83" s="437"/>
      <c r="E83" s="427"/>
      <c r="F83" s="439"/>
      <c r="G83" s="433"/>
      <c r="H83" s="436"/>
      <c r="I83" s="437"/>
      <c r="J83" s="438"/>
    </row>
    <row r="84" spans="1:10" ht="20.100000000000001" customHeight="1">
      <c r="A84" s="390"/>
      <c r="B84" s="440"/>
      <c r="C84" s="437"/>
      <c r="D84" s="437"/>
      <c r="E84" s="427"/>
      <c r="F84" s="439"/>
      <c r="G84" s="433"/>
      <c r="H84" s="436"/>
      <c r="I84" s="437"/>
      <c r="J84" s="438"/>
    </row>
    <row r="85" spans="1:10" ht="20.100000000000001" customHeight="1" thickBot="1">
      <c r="A85" s="390"/>
      <c r="B85" s="441"/>
      <c r="C85" s="442"/>
      <c r="D85" s="442"/>
      <c r="E85" s="443"/>
      <c r="F85" s="444"/>
      <c r="G85" s="443"/>
      <c r="H85" s="445"/>
      <c r="I85" s="442"/>
      <c r="J85" s="446"/>
    </row>
    <row r="86" spans="1:10" ht="20.100000000000001" customHeight="1" thickTop="1" thickBot="1">
      <c r="A86" s="390"/>
      <c r="B86" s="415" t="s">
        <v>194</v>
      </c>
      <c r="C86" s="447"/>
      <c r="D86" s="447"/>
      <c r="E86" s="447"/>
      <c r="F86" s="448">
        <f>SUM(F70:G85)</f>
        <v>0</v>
      </c>
      <c r="G86" s="448"/>
      <c r="H86" s="448"/>
      <c r="I86" s="448"/>
      <c r="J86" s="449"/>
    </row>
    <row r="87" spans="1:10" s="57" customFormat="1" ht="20.100000000000001" customHeight="1" thickTop="1">
      <c r="A87" s="390"/>
      <c r="B87" s="45" t="s">
        <v>195</v>
      </c>
      <c r="C87" s="46"/>
      <c r="D87" s="46"/>
      <c r="E87" s="46"/>
      <c r="F87" s="46"/>
      <c r="G87" s="46"/>
      <c r="H87" s="46"/>
      <c r="I87" s="46"/>
      <c r="J87" s="97"/>
    </row>
    <row r="88" spans="1:10" s="57" customFormat="1" ht="20.100000000000001" customHeight="1">
      <c r="A88" s="390"/>
      <c r="B88" s="45" t="s">
        <v>196</v>
      </c>
      <c r="C88" s="46"/>
      <c r="D88" s="46"/>
      <c r="E88" s="46"/>
      <c r="F88" s="46"/>
      <c r="G88" s="46"/>
      <c r="H88" s="46"/>
      <c r="I88" s="46"/>
      <c r="J88" s="97"/>
    </row>
    <row r="89" spans="1:10" s="57" customFormat="1" ht="20.100000000000001" customHeight="1">
      <c r="A89" s="390"/>
      <c r="B89" s="45" t="s">
        <v>197</v>
      </c>
      <c r="C89" s="46"/>
      <c r="D89" s="46"/>
      <c r="E89" s="46"/>
      <c r="F89" s="46"/>
      <c r="G89" s="46"/>
      <c r="H89" s="46"/>
      <c r="I89" s="46"/>
      <c r="J89" s="97"/>
    </row>
    <row r="90" spans="1:10" s="57" customFormat="1" ht="20.100000000000001" customHeight="1">
      <c r="A90" s="390"/>
      <c r="B90" s="45" t="s">
        <v>198</v>
      </c>
      <c r="C90" s="46"/>
      <c r="D90" s="46"/>
      <c r="E90" s="46"/>
      <c r="F90" s="46"/>
      <c r="G90" s="46"/>
      <c r="H90" s="46"/>
      <c r="I90" s="46"/>
      <c r="J90" s="97"/>
    </row>
    <row r="91" spans="1:10" s="57" customFormat="1" ht="20.100000000000001" customHeight="1">
      <c r="A91" s="390"/>
      <c r="B91" s="45" t="s">
        <v>199</v>
      </c>
      <c r="C91" s="46"/>
      <c r="D91" s="46"/>
      <c r="E91" s="46"/>
      <c r="F91" s="46"/>
      <c r="G91" s="46"/>
      <c r="H91" s="46"/>
      <c r="I91" s="46"/>
      <c r="J91" s="97"/>
    </row>
    <row r="92" spans="1:10" s="57" customFormat="1" ht="20.100000000000001" customHeight="1">
      <c r="A92" s="390"/>
      <c r="B92" s="45" t="s">
        <v>200</v>
      </c>
      <c r="C92" s="46"/>
      <c r="D92" s="46"/>
      <c r="E92" s="46"/>
      <c r="F92" s="46"/>
      <c r="G92" s="46"/>
      <c r="H92" s="46"/>
      <c r="I92" s="46"/>
      <c r="J92" s="97"/>
    </row>
    <row r="93" spans="1:10" s="57" customFormat="1" ht="20.100000000000001" customHeight="1">
      <c r="A93" s="390"/>
      <c r="B93" s="45" t="s">
        <v>201</v>
      </c>
      <c r="C93" s="46"/>
      <c r="D93" s="46"/>
      <c r="E93" s="46"/>
      <c r="F93" s="46"/>
      <c r="G93" s="46"/>
      <c r="H93" s="46"/>
      <c r="I93" s="46"/>
      <c r="J93" s="97"/>
    </row>
    <row r="94" spans="1:10" s="57" customFormat="1" ht="20.100000000000001" customHeight="1">
      <c r="A94" s="390"/>
      <c r="B94" s="51" t="s">
        <v>202</v>
      </c>
      <c r="C94" s="49"/>
      <c r="D94" s="49"/>
      <c r="E94" s="49"/>
      <c r="F94" s="49"/>
      <c r="G94" s="49"/>
      <c r="H94" s="49"/>
      <c r="I94" s="49"/>
      <c r="J94" s="50"/>
    </row>
    <row r="95" spans="1:10" s="57" customFormat="1" ht="20.100000000000001" customHeight="1">
      <c r="A95" s="390"/>
      <c r="B95" s="51" t="s">
        <v>203</v>
      </c>
      <c r="C95" s="49"/>
      <c r="D95" s="49"/>
      <c r="E95" s="49"/>
      <c r="F95" s="49"/>
      <c r="G95" s="49"/>
      <c r="H95" s="49"/>
      <c r="I95" s="49"/>
      <c r="J95" s="50"/>
    </row>
    <row r="96" spans="1:10" ht="20.100000000000001" customHeight="1">
      <c r="A96" s="390"/>
      <c r="B96" s="51" t="s">
        <v>204</v>
      </c>
      <c r="C96" s="49"/>
      <c r="D96" s="49"/>
      <c r="E96" s="49"/>
      <c r="F96" s="49"/>
      <c r="G96" s="49"/>
      <c r="H96" s="49"/>
      <c r="I96" s="49"/>
      <c r="J96" s="50"/>
    </row>
    <row r="97" spans="1:13" ht="20.100000000000001" customHeight="1">
      <c r="A97" s="390"/>
      <c r="B97" s="51" t="s">
        <v>205</v>
      </c>
      <c r="C97" s="49"/>
      <c r="D97" s="49"/>
      <c r="E97" s="49"/>
      <c r="F97" s="49"/>
      <c r="G97" s="49"/>
      <c r="H97" s="49"/>
      <c r="I97" s="49"/>
      <c r="J97" s="50"/>
      <c r="K97" s="98"/>
      <c r="L97" s="98"/>
      <c r="M97" s="98"/>
    </row>
    <row r="98" spans="1:13" ht="20.100000000000001" customHeight="1">
      <c r="A98" s="390"/>
      <c r="B98" s="51" t="s">
        <v>206</v>
      </c>
      <c r="C98" s="49"/>
      <c r="D98" s="49"/>
      <c r="E98" s="49"/>
      <c r="F98" s="49"/>
      <c r="G98" s="49"/>
      <c r="H98" s="49"/>
      <c r="I98" s="49"/>
      <c r="J98" s="50"/>
      <c r="K98" s="98"/>
      <c r="L98" s="98"/>
      <c r="M98" s="98"/>
    </row>
    <row r="99" spans="1:13" ht="20.100000000000001" customHeight="1">
      <c r="A99" s="390"/>
      <c r="B99" s="45" t="s">
        <v>207</v>
      </c>
      <c r="C99" s="46"/>
      <c r="D99" s="46"/>
      <c r="E99" s="46"/>
      <c r="F99" s="46"/>
      <c r="G99" s="46"/>
      <c r="H99" s="49"/>
      <c r="I99" s="49"/>
      <c r="J99" s="50"/>
    </row>
    <row r="100" spans="1:13" ht="20.100000000000001" customHeight="1" thickBot="1">
      <c r="A100" s="391"/>
      <c r="B100" s="99" t="s">
        <v>208</v>
      </c>
      <c r="C100" s="53"/>
      <c r="D100" s="53"/>
      <c r="E100" s="53"/>
      <c r="F100" s="53"/>
      <c r="G100" s="53"/>
      <c r="H100" s="53"/>
      <c r="I100" s="53"/>
      <c r="J100" s="56"/>
    </row>
    <row r="101" spans="1:13" s="102" customFormat="1" ht="20.100000000000001" customHeight="1" thickTop="1">
      <c r="A101" s="380" t="s">
        <v>209</v>
      </c>
      <c r="B101" s="450" t="s">
        <v>210</v>
      </c>
      <c r="C101" s="451"/>
      <c r="D101" s="451"/>
      <c r="E101" s="451"/>
      <c r="F101" s="451"/>
      <c r="G101" s="451"/>
      <c r="H101" s="61"/>
      <c r="I101" s="100"/>
      <c r="J101" s="101"/>
    </row>
    <row r="102" spans="1:13" s="102" customFormat="1" ht="20.100000000000001" customHeight="1" thickBot="1">
      <c r="A102" s="382"/>
      <c r="B102" s="52" t="s">
        <v>211</v>
      </c>
      <c r="C102" s="53"/>
      <c r="D102" s="53"/>
      <c r="E102" s="53"/>
      <c r="F102" s="53"/>
      <c r="G102" s="53"/>
      <c r="H102" s="103"/>
      <c r="I102" s="104"/>
      <c r="J102" s="105"/>
    </row>
    <row r="103" spans="1:13" ht="30" customHeight="1" thickTop="1" thickBot="1">
      <c r="A103" s="386" t="s">
        <v>174</v>
      </c>
      <c r="B103" s="387"/>
      <c r="C103" s="387"/>
      <c r="D103" s="387"/>
      <c r="E103" s="387"/>
      <c r="F103" s="387"/>
      <c r="G103" s="387"/>
      <c r="H103" s="387"/>
      <c r="I103" s="387"/>
      <c r="J103" s="388"/>
    </row>
    <row r="104" spans="1:13" ht="30" customHeight="1" thickTop="1">
      <c r="A104" s="406" t="s">
        <v>175</v>
      </c>
      <c r="B104" s="397" t="str">
        <f>$A$3</f>
        <v>제이엠건축인테리어 주식회사</v>
      </c>
      <c r="C104" s="398"/>
      <c r="D104" s="88" t="str">
        <f>'[14]회사 정보'!E1</f>
        <v>대표이사</v>
      </c>
      <c r="E104" s="399" t="str">
        <f>$E$53</f>
        <v>이소연</v>
      </c>
      <c r="F104" s="398"/>
      <c r="G104" s="398"/>
      <c r="H104" s="398"/>
      <c r="I104" s="408" t="s">
        <v>176</v>
      </c>
      <c r="J104" s="409"/>
    </row>
    <row r="105" spans="1:13" ht="30" customHeight="1" thickBot="1">
      <c r="A105" s="407"/>
      <c r="B105" s="452" t="s">
        <v>177</v>
      </c>
      <c r="C105" s="453"/>
      <c r="D105" s="453"/>
      <c r="E105" s="454" t="str">
        <f>급여셋팅!$D$16</f>
        <v>경상남도 창원시 의창구 평산로 135번길 4 , 2층</v>
      </c>
      <c r="F105" s="455"/>
      <c r="G105" s="455"/>
      <c r="H105" s="455"/>
      <c r="I105" s="455"/>
      <c r="J105" s="456"/>
    </row>
    <row r="106" spans="1:13" ht="30" customHeight="1" thickTop="1">
      <c r="A106" s="406" t="s">
        <v>172</v>
      </c>
      <c r="B106" s="397" t="s">
        <v>178</v>
      </c>
      <c r="C106" s="398"/>
      <c r="D106" s="398"/>
      <c r="E106" s="399">
        <f>+E3</f>
        <v>0</v>
      </c>
      <c r="F106" s="399"/>
      <c r="G106" s="399"/>
      <c r="H106" s="399"/>
      <c r="I106" s="400" t="s">
        <v>176</v>
      </c>
      <c r="J106" s="401"/>
    </row>
    <row r="107" spans="1:13" ht="30" customHeight="1" thickBot="1">
      <c r="A107" s="396"/>
      <c r="B107" s="402" t="s">
        <v>179</v>
      </c>
      <c r="C107" s="403"/>
      <c r="D107" s="403"/>
      <c r="E107" s="404">
        <f>$E$56</f>
        <v>0</v>
      </c>
      <c r="F107" s="404"/>
      <c r="G107" s="404"/>
      <c r="H107" s="404"/>
      <c r="I107" s="404"/>
      <c r="J107" s="405"/>
    </row>
    <row r="108" spans="1:13" ht="30" customHeight="1" thickTop="1">
      <c r="A108" s="467" t="s">
        <v>212</v>
      </c>
      <c r="B108" s="468"/>
      <c r="C108" s="468"/>
      <c r="D108" s="468"/>
      <c r="E108" s="468"/>
      <c r="F108" s="468"/>
      <c r="G108" s="468"/>
      <c r="H108" s="468"/>
      <c r="I108" s="468"/>
      <c r="J108" s="469"/>
    </row>
    <row r="109" spans="1:13" ht="20.100000000000001" customHeight="1">
      <c r="A109" s="106"/>
      <c r="B109" s="49"/>
      <c r="C109" s="49"/>
      <c r="D109" s="49"/>
      <c r="E109" s="49"/>
      <c r="F109" s="49"/>
      <c r="G109" s="49"/>
      <c r="H109" s="49"/>
      <c r="I109" s="49"/>
      <c r="J109" s="50"/>
    </row>
    <row r="110" spans="1:13" ht="20.100000000000001" customHeight="1">
      <c r="A110" s="107" t="s">
        <v>213</v>
      </c>
      <c r="B110" s="108"/>
      <c r="C110" s="108"/>
      <c r="D110" s="108"/>
      <c r="E110" s="108"/>
      <c r="F110" s="108"/>
      <c r="G110" s="108"/>
      <c r="H110" s="108"/>
      <c r="I110" s="108"/>
      <c r="J110" s="109"/>
    </row>
    <row r="111" spans="1:13" ht="20.100000000000001" customHeight="1">
      <c r="A111" s="51"/>
      <c r="B111" s="108"/>
      <c r="C111" s="108"/>
      <c r="D111" s="108"/>
      <c r="E111" s="49"/>
      <c r="F111" s="49"/>
      <c r="G111" s="49"/>
      <c r="H111" s="49"/>
      <c r="I111" s="49"/>
      <c r="J111" s="50"/>
    </row>
    <row r="112" spans="1:13" ht="20.100000000000001" customHeight="1">
      <c r="A112" s="470" t="s">
        <v>214</v>
      </c>
      <c r="B112" s="471"/>
      <c r="C112" s="471"/>
      <c r="D112" s="471"/>
      <c r="E112" s="471"/>
      <c r="F112" s="471"/>
      <c r="G112" s="471"/>
      <c r="H112" s="471"/>
      <c r="I112" s="471"/>
      <c r="J112" s="472"/>
    </row>
    <row r="113" spans="1:10" ht="20.100000000000001" customHeight="1">
      <c r="A113" s="51"/>
      <c r="B113" s="108"/>
      <c r="C113" s="108"/>
      <c r="D113" s="108"/>
      <c r="E113" s="49"/>
      <c r="F113" s="49"/>
      <c r="G113" s="49"/>
      <c r="H113" s="49"/>
      <c r="I113" s="49"/>
      <c r="J113" s="50"/>
    </row>
    <row r="114" spans="1:10" ht="20.100000000000001" customHeight="1">
      <c r="A114" s="51"/>
      <c r="B114" s="110" t="s">
        <v>215</v>
      </c>
      <c r="C114" s="110"/>
      <c r="D114" s="110"/>
      <c r="E114" s="69"/>
      <c r="F114" s="69"/>
      <c r="G114" s="69"/>
      <c r="H114" s="69"/>
      <c r="I114" s="69"/>
      <c r="J114" s="111"/>
    </row>
    <row r="115" spans="1:10" ht="20.100000000000001" customHeight="1">
      <c r="A115" s="51"/>
      <c r="B115" s="110" t="s">
        <v>216</v>
      </c>
      <c r="C115" s="110"/>
      <c r="D115" s="110"/>
      <c r="E115" s="69"/>
      <c r="F115" s="69"/>
      <c r="G115" s="69"/>
      <c r="H115" s="69"/>
      <c r="I115" s="69"/>
      <c r="J115" s="111"/>
    </row>
    <row r="116" spans="1:10" ht="20.100000000000001" customHeight="1">
      <c r="A116" s="51"/>
      <c r="B116" s="110" t="s">
        <v>217</v>
      </c>
      <c r="C116" s="110"/>
      <c r="D116" s="110"/>
      <c r="E116" s="69"/>
      <c r="F116" s="69"/>
      <c r="G116" s="69"/>
      <c r="H116" s="69"/>
      <c r="I116" s="69"/>
      <c r="J116" s="111"/>
    </row>
    <row r="117" spans="1:10" ht="20.100000000000001" customHeight="1">
      <c r="A117" s="51"/>
      <c r="B117" s="110" t="s">
        <v>218</v>
      </c>
      <c r="C117" s="110"/>
      <c r="D117" s="110"/>
      <c r="E117" s="69"/>
      <c r="F117" s="69"/>
      <c r="G117" s="69"/>
      <c r="H117" s="69"/>
      <c r="I117" s="69"/>
      <c r="J117" s="111"/>
    </row>
    <row r="118" spans="1:10" ht="20.100000000000001" customHeight="1">
      <c r="A118" s="51"/>
      <c r="B118" s="112"/>
      <c r="C118" s="112"/>
      <c r="D118" s="112"/>
      <c r="E118" s="69"/>
      <c r="F118" s="69"/>
      <c r="G118" s="113"/>
      <c r="H118" s="113"/>
      <c r="I118" s="113"/>
      <c r="J118" s="114"/>
    </row>
    <row r="119" spans="1:10" ht="20.100000000000001" customHeight="1">
      <c r="A119" s="51"/>
      <c r="B119" s="112"/>
      <c r="C119" s="112"/>
      <c r="D119" s="112"/>
      <c r="E119" s="69"/>
      <c r="F119" s="69"/>
      <c r="G119" s="113"/>
      <c r="H119" s="113"/>
      <c r="I119" s="113"/>
      <c r="J119" s="114"/>
    </row>
    <row r="120" spans="1:10" ht="20.100000000000001" customHeight="1">
      <c r="A120" s="115"/>
      <c r="B120" s="473" t="s">
        <v>174</v>
      </c>
      <c r="C120" s="473"/>
      <c r="D120" s="473"/>
      <c r="E120" s="473"/>
      <c r="F120" s="473"/>
      <c r="G120" s="473"/>
      <c r="H120" s="473"/>
      <c r="I120" s="473"/>
      <c r="J120" s="474"/>
    </row>
    <row r="121" spans="1:10" ht="20.100000000000001" customHeight="1">
      <c r="A121" s="118"/>
      <c r="B121" s="116"/>
      <c r="C121" s="116"/>
      <c r="D121" s="116"/>
      <c r="E121" s="116"/>
      <c r="F121" s="116"/>
      <c r="G121" s="116"/>
      <c r="H121" s="116"/>
      <c r="I121" s="116"/>
      <c r="J121" s="117"/>
    </row>
    <row r="122" spans="1:10" ht="20.100000000000001" customHeight="1">
      <c r="A122" s="51"/>
      <c r="B122" s="119"/>
      <c r="C122" s="119"/>
      <c r="D122" s="119"/>
      <c r="E122" s="120"/>
      <c r="F122" s="120"/>
      <c r="G122" s="121"/>
      <c r="H122" s="121"/>
      <c r="I122" s="121"/>
      <c r="J122" s="122"/>
    </row>
    <row r="123" spans="1:10" ht="20.100000000000001" customHeight="1">
      <c r="A123" s="51"/>
      <c r="B123" s="49"/>
      <c r="C123" s="49"/>
      <c r="D123" s="457" t="s">
        <v>178</v>
      </c>
      <c r="E123" s="457"/>
      <c r="F123" s="475">
        <f>+E3</f>
        <v>0</v>
      </c>
      <c r="G123" s="476"/>
      <c r="H123" s="457" t="s">
        <v>176</v>
      </c>
      <c r="I123" s="457"/>
      <c r="J123" s="50"/>
    </row>
    <row r="124" spans="1:10" ht="20.100000000000001" customHeight="1">
      <c r="A124" s="51"/>
      <c r="B124" s="49"/>
      <c r="C124" s="49"/>
      <c r="D124" s="457" t="s">
        <v>219</v>
      </c>
      <c r="E124" s="457"/>
      <c r="F124" s="458">
        <f>C9</f>
        <v>0</v>
      </c>
      <c r="G124" s="458"/>
      <c r="H124" s="458"/>
      <c r="I124" s="458"/>
      <c r="J124" s="50"/>
    </row>
    <row r="125" spans="1:10" ht="20.100000000000001" customHeight="1" thickBot="1">
      <c r="A125" s="52"/>
      <c r="B125" s="123"/>
      <c r="C125" s="123"/>
      <c r="D125" s="459" t="s">
        <v>220</v>
      </c>
      <c r="E125" s="459"/>
      <c r="F125" s="460">
        <f>$E$56</f>
        <v>0</v>
      </c>
      <c r="G125" s="460"/>
      <c r="H125" s="460"/>
      <c r="I125" s="460"/>
      <c r="J125" s="124"/>
    </row>
    <row r="126" spans="1:10" ht="20.100000000000001" customHeight="1" thickTop="1">
      <c r="A126" s="49"/>
      <c r="B126" s="119"/>
      <c r="C126" s="119"/>
      <c r="D126" s="119"/>
      <c r="E126" s="120"/>
      <c r="F126" s="120"/>
      <c r="G126" s="58"/>
      <c r="H126" s="58"/>
      <c r="I126" s="58"/>
      <c r="J126" s="58"/>
    </row>
    <row r="127" spans="1:10" ht="20.100000000000001" customHeight="1">
      <c r="A127" s="49"/>
      <c r="B127" s="119"/>
      <c r="C127" s="119"/>
      <c r="D127" s="119"/>
      <c r="E127" s="125"/>
      <c r="F127" s="120"/>
      <c r="G127" s="58"/>
      <c r="H127" s="58"/>
      <c r="I127" s="58"/>
      <c r="J127" s="58"/>
    </row>
    <row r="128" spans="1:10" ht="20.100000000000001" customHeight="1">
      <c r="A128" s="49"/>
      <c r="B128" s="119"/>
      <c r="C128" s="119"/>
      <c r="D128" s="119"/>
      <c r="E128" s="120"/>
      <c r="F128" s="120"/>
      <c r="G128" s="58"/>
      <c r="H128" s="58"/>
      <c r="I128" s="58"/>
      <c r="J128" s="58"/>
    </row>
    <row r="129" spans="1:10" ht="20.100000000000001" customHeight="1">
      <c r="A129" s="49"/>
      <c r="B129" s="119"/>
      <c r="C129" s="119"/>
      <c r="D129" s="119"/>
      <c r="E129" s="120"/>
      <c r="F129" s="120"/>
      <c r="G129" s="58"/>
      <c r="H129" s="58"/>
      <c r="I129" s="58"/>
      <c r="J129" s="58"/>
    </row>
    <row r="130" spans="1:10" ht="20.100000000000001" customHeight="1">
      <c r="A130" s="49"/>
      <c r="B130" s="126"/>
      <c r="C130" s="126"/>
      <c r="D130" s="126"/>
      <c r="E130" s="120"/>
      <c r="F130" s="120"/>
      <c r="G130" s="58"/>
      <c r="H130" s="58"/>
      <c r="I130" s="58"/>
      <c r="J130" s="58"/>
    </row>
    <row r="131" spans="1:10" ht="20.100000000000001" customHeight="1" thickBot="1">
      <c r="A131" s="49"/>
      <c r="B131" s="127"/>
      <c r="C131" s="127"/>
      <c r="D131" s="127"/>
      <c r="E131" s="120"/>
      <c r="F131" s="120"/>
      <c r="G131" s="58"/>
      <c r="H131" s="58"/>
      <c r="I131" s="58"/>
      <c r="J131" s="58"/>
    </row>
    <row r="132" spans="1:10" ht="30" customHeight="1" thickTop="1">
      <c r="A132" s="461" t="s">
        <v>221</v>
      </c>
      <c r="B132" s="462"/>
      <c r="C132" s="462"/>
      <c r="D132" s="462"/>
      <c r="E132" s="462"/>
      <c r="F132" s="462"/>
      <c r="G132" s="462"/>
      <c r="H132" s="462"/>
      <c r="I132" s="462"/>
      <c r="J132" s="463"/>
    </row>
    <row r="133" spans="1:10" ht="20.100000000000001" customHeight="1">
      <c r="A133" s="128"/>
      <c r="B133" s="69"/>
      <c r="C133" s="69"/>
      <c r="D133" s="69"/>
      <c r="E133" s="69"/>
      <c r="F133" s="69"/>
      <c r="G133" s="69"/>
      <c r="H133" s="69"/>
      <c r="I133" s="69"/>
      <c r="J133" s="50"/>
    </row>
    <row r="134" spans="1:10" ht="20.100000000000001" customHeight="1" thickBot="1">
      <c r="A134" s="110" t="s">
        <v>222</v>
      </c>
      <c r="B134" s="110"/>
      <c r="C134" s="110"/>
      <c r="D134" s="129"/>
      <c r="E134" s="129"/>
      <c r="F134" s="129"/>
      <c r="G134" s="129"/>
      <c r="H134" s="129"/>
      <c r="I134" s="129"/>
      <c r="J134" s="49"/>
    </row>
    <row r="135" spans="1:10" ht="20.100000000000001" customHeight="1" thickTop="1" thickBot="1">
      <c r="A135" s="464" t="s">
        <v>223</v>
      </c>
      <c r="B135" s="465"/>
      <c r="C135" s="465"/>
      <c r="D135" s="465"/>
      <c r="E135" s="465"/>
      <c r="F135" s="465"/>
      <c r="G135" s="465"/>
      <c r="H135" s="465"/>
      <c r="I135" s="465"/>
      <c r="J135" s="466"/>
    </row>
    <row r="136" spans="1:10" ht="20.100000000000001" customHeight="1" thickTop="1">
      <c r="A136" s="487" t="str">
        <f>$A$3</f>
        <v>제이엠건축인테리어 주식회사</v>
      </c>
      <c r="B136" s="488"/>
      <c r="C136" s="133" t="s">
        <v>224</v>
      </c>
      <c r="D136" s="133"/>
      <c r="E136" s="133"/>
      <c r="F136" s="133"/>
      <c r="G136" s="133"/>
      <c r="H136" s="133"/>
      <c r="I136" s="133"/>
      <c r="J136" s="134"/>
    </row>
    <row r="137" spans="1:10" ht="20.100000000000001" customHeight="1" thickBot="1">
      <c r="A137" s="128" t="s">
        <v>225</v>
      </c>
      <c r="B137" s="69"/>
      <c r="C137" s="69"/>
      <c r="D137" s="113"/>
      <c r="E137" s="113"/>
      <c r="F137" s="113"/>
      <c r="G137" s="113"/>
      <c r="H137" s="113"/>
      <c r="I137" s="113"/>
      <c r="J137" s="50"/>
    </row>
    <row r="138" spans="1:10" ht="20.100000000000001" customHeight="1" thickTop="1" thickBot="1">
      <c r="A138" s="464" t="s">
        <v>226</v>
      </c>
      <c r="B138" s="465"/>
      <c r="C138" s="465"/>
      <c r="D138" s="465"/>
      <c r="E138" s="465"/>
      <c r="F138" s="465"/>
      <c r="G138" s="465"/>
      <c r="H138" s="465"/>
      <c r="I138" s="465"/>
      <c r="J138" s="466"/>
    </row>
    <row r="139" spans="1:10" ht="20.100000000000001" customHeight="1" thickTop="1">
      <c r="A139" s="481" t="s">
        <v>227</v>
      </c>
      <c r="B139" s="482"/>
      <c r="C139" s="482"/>
      <c r="D139" s="482"/>
      <c r="E139" s="482"/>
      <c r="F139" s="482"/>
      <c r="G139" s="482"/>
      <c r="H139" s="482"/>
      <c r="I139" s="482"/>
      <c r="J139" s="483"/>
    </row>
    <row r="140" spans="1:10" ht="20.100000000000001" customHeight="1">
      <c r="A140" s="489"/>
      <c r="B140" s="490"/>
      <c r="C140" s="490"/>
      <c r="D140" s="490"/>
      <c r="E140" s="490"/>
      <c r="F140" s="490"/>
      <c r="G140" s="490"/>
      <c r="H140" s="490"/>
      <c r="I140" s="490"/>
      <c r="J140" s="491"/>
    </row>
    <row r="141" spans="1:10" ht="20.100000000000001" customHeight="1" thickBot="1">
      <c r="A141" s="484"/>
      <c r="B141" s="485"/>
      <c r="C141" s="485"/>
      <c r="D141" s="485"/>
      <c r="E141" s="485"/>
      <c r="F141" s="485"/>
      <c r="G141" s="485"/>
      <c r="H141" s="485"/>
      <c r="I141" s="485"/>
      <c r="J141" s="486"/>
    </row>
    <row r="142" spans="1:10" ht="20.100000000000001" customHeight="1" thickTop="1" thickBot="1">
      <c r="A142" s="130" t="s">
        <v>228</v>
      </c>
      <c r="B142" s="131"/>
      <c r="C142" s="131"/>
      <c r="D142" s="131"/>
      <c r="E142" s="131"/>
      <c r="F142" s="131"/>
      <c r="G142" s="131"/>
      <c r="H142" s="131"/>
      <c r="I142" s="131"/>
      <c r="J142" s="132"/>
    </row>
    <row r="143" spans="1:10" ht="20.100000000000001" customHeight="1" thickTop="1">
      <c r="A143" s="481" t="s">
        <v>229</v>
      </c>
      <c r="B143" s="482"/>
      <c r="C143" s="482"/>
      <c r="D143" s="482"/>
      <c r="E143" s="482"/>
      <c r="F143" s="482"/>
      <c r="G143" s="482"/>
      <c r="H143" s="482"/>
      <c r="I143" s="482"/>
      <c r="J143" s="483"/>
    </row>
    <row r="144" spans="1:10" ht="20.100000000000001" customHeight="1" thickBot="1">
      <c r="A144" s="484"/>
      <c r="B144" s="485"/>
      <c r="C144" s="485"/>
      <c r="D144" s="485"/>
      <c r="E144" s="485"/>
      <c r="F144" s="485"/>
      <c r="G144" s="485"/>
      <c r="H144" s="485"/>
      <c r="I144" s="485"/>
      <c r="J144" s="486"/>
    </row>
    <row r="145" spans="1:10" ht="20.100000000000001" customHeight="1" thickTop="1" thickBot="1">
      <c r="A145" s="464" t="s">
        <v>230</v>
      </c>
      <c r="B145" s="465"/>
      <c r="C145" s="465"/>
      <c r="D145" s="465"/>
      <c r="E145" s="465"/>
      <c r="F145" s="465"/>
      <c r="G145" s="465"/>
      <c r="H145" s="465"/>
      <c r="I145" s="465"/>
      <c r="J145" s="466"/>
    </row>
    <row r="146" spans="1:10" ht="20.100000000000001" customHeight="1" thickTop="1">
      <c r="A146" s="481" t="s">
        <v>231</v>
      </c>
      <c r="B146" s="482"/>
      <c r="C146" s="482"/>
      <c r="D146" s="482"/>
      <c r="E146" s="482"/>
      <c r="F146" s="482"/>
      <c r="G146" s="482"/>
      <c r="H146" s="482"/>
      <c r="I146" s="482"/>
      <c r="J146" s="483"/>
    </row>
    <row r="147" spans="1:10" ht="20.100000000000001" customHeight="1">
      <c r="A147" s="489"/>
      <c r="B147" s="490"/>
      <c r="C147" s="490"/>
      <c r="D147" s="490"/>
      <c r="E147" s="490"/>
      <c r="F147" s="490"/>
      <c r="G147" s="490"/>
      <c r="H147" s="490"/>
      <c r="I147" s="490"/>
      <c r="J147" s="491"/>
    </row>
    <row r="148" spans="1:10" ht="20.100000000000001" customHeight="1">
      <c r="A148" s="489"/>
      <c r="B148" s="490"/>
      <c r="C148" s="490"/>
      <c r="D148" s="490"/>
      <c r="E148" s="490"/>
      <c r="F148" s="490"/>
      <c r="G148" s="490"/>
      <c r="H148" s="490"/>
      <c r="I148" s="490"/>
      <c r="J148" s="491"/>
    </row>
    <row r="149" spans="1:10" ht="20.100000000000001" customHeight="1" thickBot="1">
      <c r="A149" s="484"/>
      <c r="B149" s="485"/>
      <c r="C149" s="485"/>
      <c r="D149" s="485"/>
      <c r="E149" s="485"/>
      <c r="F149" s="485"/>
      <c r="G149" s="485"/>
      <c r="H149" s="485"/>
      <c r="I149" s="485"/>
      <c r="J149" s="486"/>
    </row>
    <row r="150" spans="1:10" ht="20.100000000000001" customHeight="1" thickTop="1" thickBot="1">
      <c r="A150" s="464" t="s">
        <v>232</v>
      </c>
      <c r="B150" s="465"/>
      <c r="C150" s="465"/>
      <c r="D150" s="465"/>
      <c r="E150" s="465"/>
      <c r="F150" s="465"/>
      <c r="G150" s="465"/>
      <c r="H150" s="465"/>
      <c r="I150" s="465"/>
      <c r="J150" s="466"/>
    </row>
    <row r="151" spans="1:10" ht="20.100000000000001" customHeight="1" thickTop="1">
      <c r="A151" s="481" t="s">
        <v>233</v>
      </c>
      <c r="B151" s="482"/>
      <c r="C151" s="482"/>
      <c r="D151" s="482"/>
      <c r="E151" s="482"/>
      <c r="F151" s="482"/>
      <c r="G151" s="482"/>
      <c r="H151" s="482"/>
      <c r="I151" s="482"/>
      <c r="J151" s="483"/>
    </row>
    <row r="152" spans="1:10" ht="20.100000000000001" customHeight="1" thickBot="1">
      <c r="A152" s="484"/>
      <c r="B152" s="485"/>
      <c r="C152" s="485"/>
      <c r="D152" s="485"/>
      <c r="E152" s="485"/>
      <c r="F152" s="485"/>
      <c r="G152" s="485"/>
      <c r="H152" s="485"/>
      <c r="I152" s="485"/>
      <c r="J152" s="486"/>
    </row>
    <row r="153" spans="1:10" ht="20.100000000000001" customHeight="1" thickTop="1" thickBot="1">
      <c r="A153" s="477" t="s">
        <v>234</v>
      </c>
      <c r="B153" s="478"/>
      <c r="C153" s="478"/>
      <c r="D153" s="478"/>
      <c r="E153" s="478"/>
      <c r="F153" s="478"/>
      <c r="G153" s="478"/>
      <c r="H153" s="478"/>
      <c r="I153" s="478"/>
      <c r="J153" s="479"/>
    </row>
    <row r="154" spans="1:10" ht="20.100000000000001" customHeight="1" thickTop="1">
      <c r="A154" s="69"/>
      <c r="B154" s="69"/>
      <c r="C154" s="69"/>
      <c r="D154" s="69"/>
      <c r="E154" s="69"/>
      <c r="F154" s="69"/>
      <c r="G154" s="69"/>
      <c r="H154" s="69"/>
      <c r="I154" s="69"/>
      <c r="J154" s="49"/>
    </row>
    <row r="155" spans="1:10" ht="20.100000000000001" customHeight="1" thickBot="1">
      <c r="A155" s="110" t="s">
        <v>235</v>
      </c>
      <c r="B155" s="110"/>
      <c r="C155" s="110"/>
      <c r="D155" s="69"/>
      <c r="E155" s="69"/>
      <c r="F155" s="69"/>
      <c r="G155" s="69"/>
      <c r="H155" s="69"/>
      <c r="I155" s="69"/>
      <c r="J155" s="49"/>
    </row>
    <row r="156" spans="1:10" ht="20.100000000000001" customHeight="1" thickTop="1">
      <c r="A156" s="487" t="str">
        <f>$A$3</f>
        <v>제이엠건축인테리어 주식회사</v>
      </c>
      <c r="B156" s="488"/>
      <c r="C156" s="73" t="s">
        <v>236</v>
      </c>
      <c r="D156" s="73"/>
      <c r="E156" s="73"/>
      <c r="F156" s="73"/>
      <c r="G156" s="73"/>
      <c r="H156" s="73"/>
      <c r="I156" s="73"/>
      <c r="J156" s="135"/>
    </row>
    <row r="157" spans="1:10" ht="20.100000000000001" customHeight="1">
      <c r="A157" s="128" t="s">
        <v>237</v>
      </c>
      <c r="B157" s="69"/>
      <c r="C157" s="69"/>
      <c r="D157" s="69"/>
      <c r="E157" s="69"/>
      <c r="F157" s="69"/>
      <c r="G157" s="69"/>
      <c r="H157" s="69"/>
      <c r="I157" s="69"/>
      <c r="J157" s="50"/>
    </row>
    <row r="158" spans="1:10" ht="20.100000000000001" customHeight="1" thickBot="1">
      <c r="A158" s="136" t="s">
        <v>238</v>
      </c>
      <c r="B158" s="137"/>
      <c r="C158" s="137"/>
      <c r="D158" s="137"/>
      <c r="E158" s="137"/>
      <c r="F158" s="137"/>
      <c r="G158" s="137"/>
      <c r="H158" s="137"/>
      <c r="I158" s="137"/>
      <c r="J158" s="56"/>
    </row>
    <row r="159" spans="1:10" ht="20.100000000000001" customHeight="1" thickTop="1" thickBot="1">
      <c r="A159" s="477" t="s">
        <v>239</v>
      </c>
      <c r="B159" s="478"/>
      <c r="C159" s="478"/>
      <c r="D159" s="478"/>
      <c r="E159" s="478"/>
      <c r="F159" s="478"/>
      <c r="G159" s="478"/>
      <c r="H159" s="478"/>
      <c r="I159" s="478"/>
      <c r="J159" s="479"/>
    </row>
    <row r="160" spans="1:10" ht="20.100000000000001" customHeight="1" thickTop="1">
      <c r="A160" s="69"/>
      <c r="B160" s="69"/>
      <c r="C160" s="69"/>
      <c r="D160" s="69"/>
      <c r="E160" s="69"/>
      <c r="F160" s="69"/>
      <c r="G160" s="69"/>
      <c r="H160" s="69"/>
      <c r="I160" s="69"/>
      <c r="J160" s="49"/>
    </row>
    <row r="161" spans="1:10" ht="20.100000000000001" customHeight="1" thickBot="1">
      <c r="A161" s="138" t="s">
        <v>240</v>
      </c>
      <c r="B161" s="138"/>
      <c r="C161" s="138"/>
      <c r="D161" s="69"/>
      <c r="E161" s="69"/>
      <c r="F161" s="69"/>
      <c r="G161" s="69"/>
      <c r="H161" s="69"/>
      <c r="I161" s="69"/>
      <c r="J161" s="49"/>
    </row>
    <row r="162" spans="1:10" ht="20.100000000000001" customHeight="1" thickTop="1">
      <c r="A162" s="487" t="str">
        <f>$A$3</f>
        <v>제이엠건축인테리어 주식회사</v>
      </c>
      <c r="B162" s="488"/>
      <c r="C162" s="139" t="s">
        <v>241</v>
      </c>
      <c r="D162" s="43"/>
      <c r="E162" s="73"/>
      <c r="F162" s="73"/>
      <c r="G162" s="73"/>
      <c r="H162" s="73"/>
      <c r="I162" s="73"/>
      <c r="J162" s="44"/>
    </row>
    <row r="163" spans="1:10" ht="20.100000000000001" customHeight="1">
      <c r="A163" s="128" t="s">
        <v>242</v>
      </c>
      <c r="B163" s="69"/>
      <c r="C163" s="69"/>
      <c r="D163" s="140"/>
      <c r="E163" s="69"/>
      <c r="F163" s="69"/>
      <c r="G163" s="69"/>
      <c r="H163" s="69"/>
      <c r="I163" s="69"/>
      <c r="J163" s="50"/>
    </row>
    <row r="164" spans="1:10" ht="20.100000000000001" customHeight="1" thickBot="1">
      <c r="A164" s="136" t="s">
        <v>243</v>
      </c>
      <c r="B164" s="137"/>
      <c r="C164" s="137"/>
      <c r="D164" s="141"/>
      <c r="E164" s="137"/>
      <c r="F164" s="137"/>
      <c r="G164" s="137"/>
      <c r="H164" s="137"/>
      <c r="I164" s="137"/>
      <c r="J164" s="56"/>
    </row>
    <row r="165" spans="1:10" ht="20.100000000000001" customHeight="1" thickTop="1" thickBot="1">
      <c r="A165" s="477" t="s">
        <v>244</v>
      </c>
      <c r="B165" s="478"/>
      <c r="C165" s="478"/>
      <c r="D165" s="478"/>
      <c r="E165" s="478"/>
      <c r="F165" s="478"/>
      <c r="G165" s="478"/>
      <c r="H165" s="478"/>
      <c r="I165" s="478"/>
      <c r="J165" s="479"/>
    </row>
    <row r="166" spans="1:10" ht="20.100000000000001" customHeight="1" thickTop="1">
      <c r="A166" s="51"/>
      <c r="B166" s="49"/>
      <c r="C166" s="49"/>
      <c r="D166" s="49"/>
      <c r="E166" s="49"/>
      <c r="F166" s="49"/>
      <c r="G166" s="49"/>
      <c r="H166" s="49"/>
      <c r="I166" s="49"/>
      <c r="J166" s="50"/>
    </row>
    <row r="167" spans="1:10" ht="20.100000000000001" customHeight="1">
      <c r="A167" s="51"/>
      <c r="B167" s="49"/>
      <c r="C167" s="49"/>
      <c r="D167" s="49"/>
      <c r="E167" s="49"/>
      <c r="F167" s="49"/>
      <c r="G167" s="49" t="s">
        <v>245</v>
      </c>
      <c r="H167" s="49"/>
      <c r="I167" s="49"/>
      <c r="J167" s="50"/>
    </row>
    <row r="168" spans="1:10" ht="20.100000000000001" customHeight="1" thickBot="1">
      <c r="A168" s="52"/>
      <c r="B168" s="53"/>
      <c r="C168" s="53"/>
      <c r="D168" s="53"/>
      <c r="E168" s="53"/>
      <c r="F168" s="480" t="s">
        <v>246</v>
      </c>
      <c r="G168" s="480"/>
      <c r="H168" s="91">
        <f>+E3</f>
        <v>0</v>
      </c>
      <c r="I168" s="123" t="s">
        <v>173</v>
      </c>
      <c r="J168" s="56"/>
    </row>
    <row r="169" spans="1:10" ht="21" customHeight="1" thickTop="1"/>
  </sheetData>
  <sheetProtection selectLockedCells="1"/>
  <mergeCells count="128">
    <mergeCell ref="A1:J1"/>
    <mergeCell ref="A3:B3"/>
    <mergeCell ref="A4:A8"/>
    <mergeCell ref="A9:A11"/>
    <mergeCell ref="C9:D9"/>
    <mergeCell ref="C10:D10"/>
    <mergeCell ref="A34:A41"/>
    <mergeCell ref="A42:A45"/>
    <mergeCell ref="A46:A47"/>
    <mergeCell ref="A48:A49"/>
    <mergeCell ref="A50:J50"/>
    <mergeCell ref="A52:J52"/>
    <mergeCell ref="A12:A14"/>
    <mergeCell ref="A15:A21"/>
    <mergeCell ref="A22:A24"/>
    <mergeCell ref="A26:A29"/>
    <mergeCell ref="B29:J29"/>
    <mergeCell ref="A30:A33"/>
    <mergeCell ref="A55:A56"/>
    <mergeCell ref="B55:D55"/>
    <mergeCell ref="E55:H55"/>
    <mergeCell ref="I55:J55"/>
    <mergeCell ref="B56:D56"/>
    <mergeCell ref="E56:J56"/>
    <mergeCell ref="A53:A54"/>
    <mergeCell ref="B53:C53"/>
    <mergeCell ref="E53:H53"/>
    <mergeCell ref="I53:J53"/>
    <mergeCell ref="B54:D54"/>
    <mergeCell ref="E54:J54"/>
    <mergeCell ref="A62:J62"/>
    <mergeCell ref="A63:B63"/>
    <mergeCell ref="A64:A66"/>
    <mergeCell ref="A67:A100"/>
    <mergeCell ref="B69:E69"/>
    <mergeCell ref="F69:G69"/>
    <mergeCell ref="H69:J69"/>
    <mergeCell ref="B70:E70"/>
    <mergeCell ref="F70:G70"/>
    <mergeCell ref="H70:J70"/>
    <mergeCell ref="B73:E73"/>
    <mergeCell ref="F73:G73"/>
    <mergeCell ref="H73:J73"/>
    <mergeCell ref="B74:E74"/>
    <mergeCell ref="F74:G74"/>
    <mergeCell ref="H74:J74"/>
    <mergeCell ref="B71:E71"/>
    <mergeCell ref="F71:G71"/>
    <mergeCell ref="I71:J71"/>
    <mergeCell ref="B72:E72"/>
    <mergeCell ref="F72:G72"/>
    <mergeCell ref="I72:J72"/>
    <mergeCell ref="B77:E77"/>
    <mergeCell ref="F77:G77"/>
    <mergeCell ref="H77:J77"/>
    <mergeCell ref="B78:E78"/>
    <mergeCell ref="F78:G78"/>
    <mergeCell ref="H78:J78"/>
    <mergeCell ref="B75:E75"/>
    <mergeCell ref="F75:G75"/>
    <mergeCell ref="H75:J75"/>
    <mergeCell ref="B76:E76"/>
    <mergeCell ref="F76:G76"/>
    <mergeCell ref="H76:J76"/>
    <mergeCell ref="B81:E81"/>
    <mergeCell ref="F81:G81"/>
    <mergeCell ref="H81:J81"/>
    <mergeCell ref="B82:E82"/>
    <mergeCell ref="F82:G82"/>
    <mergeCell ref="H82:J82"/>
    <mergeCell ref="B79:E79"/>
    <mergeCell ref="F79:G79"/>
    <mergeCell ref="H79:J79"/>
    <mergeCell ref="B80:E80"/>
    <mergeCell ref="F80:G80"/>
    <mergeCell ref="H80:J80"/>
    <mergeCell ref="B85:E85"/>
    <mergeCell ref="F85:G85"/>
    <mergeCell ref="H85:J85"/>
    <mergeCell ref="B86:E86"/>
    <mergeCell ref="F86:J86"/>
    <mergeCell ref="A101:A102"/>
    <mergeCell ref="B101:G101"/>
    <mergeCell ref="B83:E83"/>
    <mergeCell ref="F83:G83"/>
    <mergeCell ref="H83:J83"/>
    <mergeCell ref="B84:E84"/>
    <mergeCell ref="F84:G84"/>
    <mergeCell ref="H84:J84"/>
    <mergeCell ref="A106:A107"/>
    <mergeCell ref="B106:D106"/>
    <mergeCell ref="E106:H106"/>
    <mergeCell ref="I106:J106"/>
    <mergeCell ref="B107:D107"/>
    <mergeCell ref="E107:J107"/>
    <mergeCell ref="A103:J103"/>
    <mergeCell ref="A104:A105"/>
    <mergeCell ref="B104:C104"/>
    <mergeCell ref="E104:H104"/>
    <mergeCell ref="I104:J104"/>
    <mergeCell ref="B105:D105"/>
    <mergeCell ref="E105:J105"/>
    <mergeCell ref="D124:E124"/>
    <mergeCell ref="F124:I124"/>
    <mergeCell ref="D125:E125"/>
    <mergeCell ref="F125:I125"/>
    <mergeCell ref="A132:J132"/>
    <mergeCell ref="A135:J135"/>
    <mergeCell ref="A108:J108"/>
    <mergeCell ref="A112:J112"/>
    <mergeCell ref="B120:J120"/>
    <mergeCell ref="D123:E123"/>
    <mergeCell ref="F123:G123"/>
    <mergeCell ref="H123:I123"/>
    <mergeCell ref="A165:J165"/>
    <mergeCell ref="F168:G168"/>
    <mergeCell ref="A150:J150"/>
    <mergeCell ref="A151:J152"/>
    <mergeCell ref="A153:J153"/>
    <mergeCell ref="A156:B156"/>
    <mergeCell ref="A159:J159"/>
    <mergeCell ref="A162:B162"/>
    <mergeCell ref="A136:B136"/>
    <mergeCell ref="A138:J138"/>
    <mergeCell ref="A139:J141"/>
    <mergeCell ref="A143:J144"/>
    <mergeCell ref="A145:J145"/>
    <mergeCell ref="A146:J149"/>
  </mergeCells>
  <phoneticPr fontId="4" type="noConversion"/>
  <printOptions horizontalCentered="1"/>
  <pageMargins left="0.7" right="0.7" top="0.75" bottom="0.75" header="0.3" footer="0.3"/>
  <pageSetup paperSize="9" scale="52" fitToHeight="0" orientation="portrait" r:id="rId1"/>
  <rowBreaks count="2" manualBreakCount="2">
    <brk id="56" max="9" man="1"/>
    <brk id="107" max="9"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9E058-34BE-4DE9-801C-7155D9BE6B41}">
  <dimension ref="A1:O663"/>
  <sheetViews>
    <sheetView zoomScaleNormal="100" workbookViewId="0">
      <selection activeCell="E11" sqref="E11"/>
    </sheetView>
  </sheetViews>
  <sheetFormatPr defaultColWidth="9.875" defaultRowHeight="16.5"/>
  <cols>
    <col min="1" max="1" width="9.375" style="166" customWidth="1"/>
    <col min="2" max="2" width="19.75" style="166" customWidth="1"/>
    <col min="3" max="3" width="14.5" style="166" customWidth="1"/>
    <col min="4" max="14" width="12.5" style="166" customWidth="1"/>
    <col min="15" max="255" width="9.875" style="166"/>
    <col min="256" max="256" width="9.375" style="166" customWidth="1"/>
    <col min="257" max="257" width="19.75" style="166" customWidth="1"/>
    <col min="258" max="258" width="14.5" style="166" customWidth="1"/>
    <col min="259" max="269" width="12.5" style="166" customWidth="1"/>
    <col min="270" max="511" width="9.875" style="166"/>
    <col min="512" max="512" width="9.375" style="166" customWidth="1"/>
    <col min="513" max="513" width="19.75" style="166" customWidth="1"/>
    <col min="514" max="514" width="14.5" style="166" customWidth="1"/>
    <col min="515" max="525" width="12.5" style="166" customWidth="1"/>
    <col min="526" max="767" width="9.875" style="166"/>
    <col min="768" max="768" width="9.375" style="166" customWidth="1"/>
    <col min="769" max="769" width="19.75" style="166" customWidth="1"/>
    <col min="770" max="770" width="14.5" style="166" customWidth="1"/>
    <col min="771" max="781" width="12.5" style="166" customWidth="1"/>
    <col min="782" max="1023" width="9.875" style="166"/>
    <col min="1024" max="1024" width="9.375" style="166" customWidth="1"/>
    <col min="1025" max="1025" width="19.75" style="166" customWidth="1"/>
    <col min="1026" max="1026" width="14.5" style="166" customWidth="1"/>
    <col min="1027" max="1037" width="12.5" style="166" customWidth="1"/>
    <col min="1038" max="1279" width="9.875" style="166"/>
    <col min="1280" max="1280" width="9.375" style="166" customWidth="1"/>
    <col min="1281" max="1281" width="19.75" style="166" customWidth="1"/>
    <col min="1282" max="1282" width="14.5" style="166" customWidth="1"/>
    <col min="1283" max="1293" width="12.5" style="166" customWidth="1"/>
    <col min="1294" max="1535" width="9.875" style="166"/>
    <col min="1536" max="1536" width="9.375" style="166" customWidth="1"/>
    <col min="1537" max="1537" width="19.75" style="166" customWidth="1"/>
    <col min="1538" max="1538" width="14.5" style="166" customWidth="1"/>
    <col min="1539" max="1549" width="12.5" style="166" customWidth="1"/>
    <col min="1550" max="1791" width="9.875" style="166"/>
    <col min="1792" max="1792" width="9.375" style="166" customWidth="1"/>
    <col min="1793" max="1793" width="19.75" style="166" customWidth="1"/>
    <col min="1794" max="1794" width="14.5" style="166" customWidth="1"/>
    <col min="1795" max="1805" width="12.5" style="166" customWidth="1"/>
    <col min="1806" max="2047" width="9.875" style="166"/>
    <col min="2048" max="2048" width="9.375" style="166" customWidth="1"/>
    <col min="2049" max="2049" width="19.75" style="166" customWidth="1"/>
    <col min="2050" max="2050" width="14.5" style="166" customWidth="1"/>
    <col min="2051" max="2061" width="12.5" style="166" customWidth="1"/>
    <col min="2062" max="2303" width="9.875" style="166"/>
    <col min="2304" max="2304" width="9.375" style="166" customWidth="1"/>
    <col min="2305" max="2305" width="19.75" style="166" customWidth="1"/>
    <col min="2306" max="2306" width="14.5" style="166" customWidth="1"/>
    <col min="2307" max="2317" width="12.5" style="166" customWidth="1"/>
    <col min="2318" max="2559" width="9.875" style="166"/>
    <col min="2560" max="2560" width="9.375" style="166" customWidth="1"/>
    <col min="2561" max="2561" width="19.75" style="166" customWidth="1"/>
    <col min="2562" max="2562" width="14.5" style="166" customWidth="1"/>
    <col min="2563" max="2573" width="12.5" style="166" customWidth="1"/>
    <col min="2574" max="2815" width="9.875" style="166"/>
    <col min="2816" max="2816" width="9.375" style="166" customWidth="1"/>
    <col min="2817" max="2817" width="19.75" style="166" customWidth="1"/>
    <col min="2818" max="2818" width="14.5" style="166" customWidth="1"/>
    <col min="2819" max="2829" width="12.5" style="166" customWidth="1"/>
    <col min="2830" max="3071" width="9.875" style="166"/>
    <col min="3072" max="3072" width="9.375" style="166" customWidth="1"/>
    <col min="3073" max="3073" width="19.75" style="166" customWidth="1"/>
    <col min="3074" max="3074" width="14.5" style="166" customWidth="1"/>
    <col min="3075" max="3085" width="12.5" style="166" customWidth="1"/>
    <col min="3086" max="3327" width="9.875" style="166"/>
    <col min="3328" max="3328" width="9.375" style="166" customWidth="1"/>
    <col min="3329" max="3329" width="19.75" style="166" customWidth="1"/>
    <col min="3330" max="3330" width="14.5" style="166" customWidth="1"/>
    <col min="3331" max="3341" width="12.5" style="166" customWidth="1"/>
    <col min="3342" max="3583" width="9.875" style="166"/>
    <col min="3584" max="3584" width="9.375" style="166" customWidth="1"/>
    <col min="3585" max="3585" width="19.75" style="166" customWidth="1"/>
    <col min="3586" max="3586" width="14.5" style="166" customWidth="1"/>
    <col min="3587" max="3597" width="12.5" style="166" customWidth="1"/>
    <col min="3598" max="3839" width="9.875" style="166"/>
    <col min="3840" max="3840" width="9.375" style="166" customWidth="1"/>
    <col min="3841" max="3841" width="19.75" style="166" customWidth="1"/>
    <col min="3842" max="3842" width="14.5" style="166" customWidth="1"/>
    <col min="3843" max="3853" width="12.5" style="166" customWidth="1"/>
    <col min="3854" max="4095" width="9.875" style="166"/>
    <col min="4096" max="4096" width="9.375" style="166" customWidth="1"/>
    <col min="4097" max="4097" width="19.75" style="166" customWidth="1"/>
    <col min="4098" max="4098" width="14.5" style="166" customWidth="1"/>
    <col min="4099" max="4109" width="12.5" style="166" customWidth="1"/>
    <col min="4110" max="4351" width="9.875" style="166"/>
    <col min="4352" max="4352" width="9.375" style="166" customWidth="1"/>
    <col min="4353" max="4353" width="19.75" style="166" customWidth="1"/>
    <col min="4354" max="4354" width="14.5" style="166" customWidth="1"/>
    <col min="4355" max="4365" width="12.5" style="166" customWidth="1"/>
    <col min="4366" max="4607" width="9.875" style="166"/>
    <col min="4608" max="4608" width="9.375" style="166" customWidth="1"/>
    <col min="4609" max="4609" width="19.75" style="166" customWidth="1"/>
    <col min="4610" max="4610" width="14.5" style="166" customWidth="1"/>
    <col min="4611" max="4621" width="12.5" style="166" customWidth="1"/>
    <col min="4622" max="4863" width="9.875" style="166"/>
    <col min="4864" max="4864" width="9.375" style="166" customWidth="1"/>
    <col min="4865" max="4865" width="19.75" style="166" customWidth="1"/>
    <col min="4866" max="4866" width="14.5" style="166" customWidth="1"/>
    <col min="4867" max="4877" width="12.5" style="166" customWidth="1"/>
    <col min="4878" max="5119" width="9.875" style="166"/>
    <col min="5120" max="5120" width="9.375" style="166" customWidth="1"/>
    <col min="5121" max="5121" width="19.75" style="166" customWidth="1"/>
    <col min="5122" max="5122" width="14.5" style="166" customWidth="1"/>
    <col min="5123" max="5133" width="12.5" style="166" customWidth="1"/>
    <col min="5134" max="5375" width="9.875" style="166"/>
    <col min="5376" max="5376" width="9.375" style="166" customWidth="1"/>
    <col min="5377" max="5377" width="19.75" style="166" customWidth="1"/>
    <col min="5378" max="5378" width="14.5" style="166" customWidth="1"/>
    <col min="5379" max="5389" width="12.5" style="166" customWidth="1"/>
    <col min="5390" max="5631" width="9.875" style="166"/>
    <col min="5632" max="5632" width="9.375" style="166" customWidth="1"/>
    <col min="5633" max="5633" width="19.75" style="166" customWidth="1"/>
    <col min="5634" max="5634" width="14.5" style="166" customWidth="1"/>
    <col min="5635" max="5645" width="12.5" style="166" customWidth="1"/>
    <col min="5646" max="5887" width="9.875" style="166"/>
    <col min="5888" max="5888" width="9.375" style="166" customWidth="1"/>
    <col min="5889" max="5889" width="19.75" style="166" customWidth="1"/>
    <col min="5890" max="5890" width="14.5" style="166" customWidth="1"/>
    <col min="5891" max="5901" width="12.5" style="166" customWidth="1"/>
    <col min="5902" max="6143" width="9.875" style="166"/>
    <col min="6144" max="6144" width="9.375" style="166" customWidth="1"/>
    <col min="6145" max="6145" width="19.75" style="166" customWidth="1"/>
    <col min="6146" max="6146" width="14.5" style="166" customWidth="1"/>
    <col min="6147" max="6157" width="12.5" style="166" customWidth="1"/>
    <col min="6158" max="6399" width="9.875" style="166"/>
    <col min="6400" max="6400" width="9.375" style="166" customWidth="1"/>
    <col min="6401" max="6401" width="19.75" style="166" customWidth="1"/>
    <col min="6402" max="6402" width="14.5" style="166" customWidth="1"/>
    <col min="6403" max="6413" width="12.5" style="166" customWidth="1"/>
    <col min="6414" max="6655" width="9.875" style="166"/>
    <col min="6656" max="6656" width="9.375" style="166" customWidth="1"/>
    <col min="6657" max="6657" width="19.75" style="166" customWidth="1"/>
    <col min="6658" max="6658" width="14.5" style="166" customWidth="1"/>
    <col min="6659" max="6669" width="12.5" style="166" customWidth="1"/>
    <col min="6670" max="6911" width="9.875" style="166"/>
    <col min="6912" max="6912" width="9.375" style="166" customWidth="1"/>
    <col min="6913" max="6913" width="19.75" style="166" customWidth="1"/>
    <col min="6914" max="6914" width="14.5" style="166" customWidth="1"/>
    <col min="6915" max="6925" width="12.5" style="166" customWidth="1"/>
    <col min="6926" max="7167" width="9.875" style="166"/>
    <col min="7168" max="7168" width="9.375" style="166" customWidth="1"/>
    <col min="7169" max="7169" width="19.75" style="166" customWidth="1"/>
    <col min="7170" max="7170" width="14.5" style="166" customWidth="1"/>
    <col min="7171" max="7181" width="12.5" style="166" customWidth="1"/>
    <col min="7182" max="7423" width="9.875" style="166"/>
    <col min="7424" max="7424" width="9.375" style="166" customWidth="1"/>
    <col min="7425" max="7425" width="19.75" style="166" customWidth="1"/>
    <col min="7426" max="7426" width="14.5" style="166" customWidth="1"/>
    <col min="7427" max="7437" width="12.5" style="166" customWidth="1"/>
    <col min="7438" max="7679" width="9.875" style="166"/>
    <col min="7680" max="7680" width="9.375" style="166" customWidth="1"/>
    <col min="7681" max="7681" width="19.75" style="166" customWidth="1"/>
    <col min="7682" max="7682" width="14.5" style="166" customWidth="1"/>
    <col min="7683" max="7693" width="12.5" style="166" customWidth="1"/>
    <col min="7694" max="7935" width="9.875" style="166"/>
    <col min="7936" max="7936" width="9.375" style="166" customWidth="1"/>
    <col min="7937" max="7937" width="19.75" style="166" customWidth="1"/>
    <col min="7938" max="7938" width="14.5" style="166" customWidth="1"/>
    <col min="7939" max="7949" width="12.5" style="166" customWidth="1"/>
    <col min="7950" max="8191" width="9.875" style="166"/>
    <col min="8192" max="8192" width="9.375" style="166" customWidth="1"/>
    <col min="8193" max="8193" width="19.75" style="166" customWidth="1"/>
    <col min="8194" max="8194" width="14.5" style="166" customWidth="1"/>
    <col min="8195" max="8205" width="12.5" style="166" customWidth="1"/>
    <col min="8206" max="8447" width="9.875" style="166"/>
    <col min="8448" max="8448" width="9.375" style="166" customWidth="1"/>
    <col min="8449" max="8449" width="19.75" style="166" customWidth="1"/>
    <col min="8450" max="8450" width="14.5" style="166" customWidth="1"/>
    <col min="8451" max="8461" width="12.5" style="166" customWidth="1"/>
    <col min="8462" max="8703" width="9.875" style="166"/>
    <col min="8704" max="8704" width="9.375" style="166" customWidth="1"/>
    <col min="8705" max="8705" width="19.75" style="166" customWidth="1"/>
    <col min="8706" max="8706" width="14.5" style="166" customWidth="1"/>
    <col min="8707" max="8717" width="12.5" style="166" customWidth="1"/>
    <col min="8718" max="8959" width="9.875" style="166"/>
    <col min="8960" max="8960" width="9.375" style="166" customWidth="1"/>
    <col min="8961" max="8961" width="19.75" style="166" customWidth="1"/>
    <col min="8962" max="8962" width="14.5" style="166" customWidth="1"/>
    <col min="8963" max="8973" width="12.5" style="166" customWidth="1"/>
    <col min="8974" max="9215" width="9.875" style="166"/>
    <col min="9216" max="9216" width="9.375" style="166" customWidth="1"/>
    <col min="9217" max="9217" width="19.75" style="166" customWidth="1"/>
    <col min="9218" max="9218" width="14.5" style="166" customWidth="1"/>
    <col min="9219" max="9229" width="12.5" style="166" customWidth="1"/>
    <col min="9230" max="9471" width="9.875" style="166"/>
    <col min="9472" max="9472" width="9.375" style="166" customWidth="1"/>
    <col min="9473" max="9473" width="19.75" style="166" customWidth="1"/>
    <col min="9474" max="9474" width="14.5" style="166" customWidth="1"/>
    <col min="9475" max="9485" width="12.5" style="166" customWidth="1"/>
    <col min="9486" max="9727" width="9.875" style="166"/>
    <col min="9728" max="9728" width="9.375" style="166" customWidth="1"/>
    <col min="9729" max="9729" width="19.75" style="166" customWidth="1"/>
    <col min="9730" max="9730" width="14.5" style="166" customWidth="1"/>
    <col min="9731" max="9741" width="12.5" style="166" customWidth="1"/>
    <col min="9742" max="9983" width="9.875" style="166"/>
    <col min="9984" max="9984" width="9.375" style="166" customWidth="1"/>
    <col min="9985" max="9985" width="19.75" style="166" customWidth="1"/>
    <col min="9986" max="9986" width="14.5" style="166" customWidth="1"/>
    <col min="9987" max="9997" width="12.5" style="166" customWidth="1"/>
    <col min="9998" max="10239" width="9.875" style="166"/>
    <col min="10240" max="10240" width="9.375" style="166" customWidth="1"/>
    <col min="10241" max="10241" width="19.75" style="166" customWidth="1"/>
    <col min="10242" max="10242" width="14.5" style="166" customWidth="1"/>
    <col min="10243" max="10253" width="12.5" style="166" customWidth="1"/>
    <col min="10254" max="10495" width="9.875" style="166"/>
    <col min="10496" max="10496" width="9.375" style="166" customWidth="1"/>
    <col min="10497" max="10497" width="19.75" style="166" customWidth="1"/>
    <col min="10498" max="10498" width="14.5" style="166" customWidth="1"/>
    <col min="10499" max="10509" width="12.5" style="166" customWidth="1"/>
    <col min="10510" max="10751" width="9.875" style="166"/>
    <col min="10752" max="10752" width="9.375" style="166" customWidth="1"/>
    <col min="10753" max="10753" width="19.75" style="166" customWidth="1"/>
    <col min="10754" max="10754" width="14.5" style="166" customWidth="1"/>
    <col min="10755" max="10765" width="12.5" style="166" customWidth="1"/>
    <col min="10766" max="11007" width="9.875" style="166"/>
    <col min="11008" max="11008" width="9.375" style="166" customWidth="1"/>
    <col min="11009" max="11009" width="19.75" style="166" customWidth="1"/>
    <col min="11010" max="11010" width="14.5" style="166" customWidth="1"/>
    <col min="11011" max="11021" width="12.5" style="166" customWidth="1"/>
    <col min="11022" max="11263" width="9.875" style="166"/>
    <col min="11264" max="11264" width="9.375" style="166" customWidth="1"/>
    <col min="11265" max="11265" width="19.75" style="166" customWidth="1"/>
    <col min="11266" max="11266" width="14.5" style="166" customWidth="1"/>
    <col min="11267" max="11277" width="12.5" style="166" customWidth="1"/>
    <col min="11278" max="11519" width="9.875" style="166"/>
    <col min="11520" max="11520" width="9.375" style="166" customWidth="1"/>
    <col min="11521" max="11521" width="19.75" style="166" customWidth="1"/>
    <col min="11522" max="11522" width="14.5" style="166" customWidth="1"/>
    <col min="11523" max="11533" width="12.5" style="166" customWidth="1"/>
    <col min="11534" max="11775" width="9.875" style="166"/>
    <col min="11776" max="11776" width="9.375" style="166" customWidth="1"/>
    <col min="11777" max="11777" width="19.75" style="166" customWidth="1"/>
    <col min="11778" max="11778" width="14.5" style="166" customWidth="1"/>
    <col min="11779" max="11789" width="12.5" style="166" customWidth="1"/>
    <col min="11790" max="12031" width="9.875" style="166"/>
    <col min="12032" max="12032" width="9.375" style="166" customWidth="1"/>
    <col min="12033" max="12033" width="19.75" style="166" customWidth="1"/>
    <col min="12034" max="12034" width="14.5" style="166" customWidth="1"/>
    <col min="12035" max="12045" width="12.5" style="166" customWidth="1"/>
    <col min="12046" max="12287" width="9.875" style="166"/>
    <col min="12288" max="12288" width="9.375" style="166" customWidth="1"/>
    <col min="12289" max="12289" width="19.75" style="166" customWidth="1"/>
    <col min="12290" max="12290" width="14.5" style="166" customWidth="1"/>
    <col min="12291" max="12301" width="12.5" style="166" customWidth="1"/>
    <col min="12302" max="12543" width="9.875" style="166"/>
    <col min="12544" max="12544" width="9.375" style="166" customWidth="1"/>
    <col min="12545" max="12545" width="19.75" style="166" customWidth="1"/>
    <col min="12546" max="12546" width="14.5" style="166" customWidth="1"/>
    <col min="12547" max="12557" width="12.5" style="166" customWidth="1"/>
    <col min="12558" max="12799" width="9.875" style="166"/>
    <col min="12800" max="12800" width="9.375" style="166" customWidth="1"/>
    <col min="12801" max="12801" width="19.75" style="166" customWidth="1"/>
    <col min="12802" max="12802" width="14.5" style="166" customWidth="1"/>
    <col min="12803" max="12813" width="12.5" style="166" customWidth="1"/>
    <col min="12814" max="13055" width="9.875" style="166"/>
    <col min="13056" max="13056" width="9.375" style="166" customWidth="1"/>
    <col min="13057" max="13057" width="19.75" style="166" customWidth="1"/>
    <col min="13058" max="13058" width="14.5" style="166" customWidth="1"/>
    <col min="13059" max="13069" width="12.5" style="166" customWidth="1"/>
    <col min="13070" max="13311" width="9.875" style="166"/>
    <col min="13312" max="13312" width="9.375" style="166" customWidth="1"/>
    <col min="13313" max="13313" width="19.75" style="166" customWidth="1"/>
    <col min="13314" max="13314" width="14.5" style="166" customWidth="1"/>
    <col min="13315" max="13325" width="12.5" style="166" customWidth="1"/>
    <col min="13326" max="13567" width="9.875" style="166"/>
    <col min="13568" max="13568" width="9.375" style="166" customWidth="1"/>
    <col min="13569" max="13569" width="19.75" style="166" customWidth="1"/>
    <col min="13570" max="13570" width="14.5" style="166" customWidth="1"/>
    <col min="13571" max="13581" width="12.5" style="166" customWidth="1"/>
    <col min="13582" max="13823" width="9.875" style="166"/>
    <col min="13824" max="13824" width="9.375" style="166" customWidth="1"/>
    <col min="13825" max="13825" width="19.75" style="166" customWidth="1"/>
    <col min="13826" max="13826" width="14.5" style="166" customWidth="1"/>
    <col min="13827" max="13837" width="12.5" style="166" customWidth="1"/>
    <col min="13838" max="14079" width="9.875" style="166"/>
    <col min="14080" max="14080" width="9.375" style="166" customWidth="1"/>
    <col min="14081" max="14081" width="19.75" style="166" customWidth="1"/>
    <col min="14082" max="14082" width="14.5" style="166" customWidth="1"/>
    <col min="14083" max="14093" width="12.5" style="166" customWidth="1"/>
    <col min="14094" max="14335" width="9.875" style="166"/>
    <col min="14336" max="14336" width="9.375" style="166" customWidth="1"/>
    <col min="14337" max="14337" width="19.75" style="166" customWidth="1"/>
    <col min="14338" max="14338" width="14.5" style="166" customWidth="1"/>
    <col min="14339" max="14349" width="12.5" style="166" customWidth="1"/>
    <col min="14350" max="14591" width="9.875" style="166"/>
    <col min="14592" max="14592" width="9.375" style="166" customWidth="1"/>
    <col min="14593" max="14593" width="19.75" style="166" customWidth="1"/>
    <col min="14594" max="14594" width="14.5" style="166" customWidth="1"/>
    <col min="14595" max="14605" width="12.5" style="166" customWidth="1"/>
    <col min="14606" max="14847" width="9.875" style="166"/>
    <col min="14848" max="14848" width="9.375" style="166" customWidth="1"/>
    <col min="14849" max="14849" width="19.75" style="166" customWidth="1"/>
    <col min="14850" max="14850" width="14.5" style="166" customWidth="1"/>
    <col min="14851" max="14861" width="12.5" style="166" customWidth="1"/>
    <col min="14862" max="15103" width="9.875" style="166"/>
    <col min="15104" max="15104" width="9.375" style="166" customWidth="1"/>
    <col min="15105" max="15105" width="19.75" style="166" customWidth="1"/>
    <col min="15106" max="15106" width="14.5" style="166" customWidth="1"/>
    <col min="15107" max="15117" width="12.5" style="166" customWidth="1"/>
    <col min="15118" max="15359" width="9.875" style="166"/>
    <col min="15360" max="15360" width="9.375" style="166" customWidth="1"/>
    <col min="15361" max="15361" width="19.75" style="166" customWidth="1"/>
    <col min="15362" max="15362" width="14.5" style="166" customWidth="1"/>
    <col min="15363" max="15373" width="12.5" style="166" customWidth="1"/>
    <col min="15374" max="15615" width="9.875" style="166"/>
    <col min="15616" max="15616" width="9.375" style="166" customWidth="1"/>
    <col min="15617" max="15617" width="19.75" style="166" customWidth="1"/>
    <col min="15618" max="15618" width="14.5" style="166" customWidth="1"/>
    <col min="15619" max="15629" width="12.5" style="166" customWidth="1"/>
    <col min="15630" max="15871" width="9.875" style="166"/>
    <col min="15872" max="15872" width="9.375" style="166" customWidth="1"/>
    <col min="15873" max="15873" width="19.75" style="166" customWidth="1"/>
    <col min="15874" max="15874" width="14.5" style="166" customWidth="1"/>
    <col min="15875" max="15885" width="12.5" style="166" customWidth="1"/>
    <col min="15886" max="16127" width="9.875" style="166"/>
    <col min="16128" max="16128" width="9.375" style="166" customWidth="1"/>
    <col min="16129" max="16129" width="19.75" style="166" customWidth="1"/>
    <col min="16130" max="16130" width="14.5" style="166" customWidth="1"/>
    <col min="16131" max="16141" width="12.5" style="166" customWidth="1"/>
    <col min="16142" max="16384" width="9.875" style="166"/>
  </cols>
  <sheetData>
    <row r="1" spans="1:15" ht="26.25">
      <c r="A1" s="567" t="s">
        <v>347</v>
      </c>
      <c r="B1" s="567"/>
      <c r="C1" s="567"/>
      <c r="D1" s="567"/>
      <c r="E1" s="567"/>
      <c r="F1" s="567"/>
      <c r="G1" s="567"/>
      <c r="H1" s="567"/>
      <c r="I1" s="567"/>
      <c r="J1" s="567"/>
      <c r="K1" s="567"/>
      <c r="L1" s="567"/>
      <c r="M1" s="567"/>
      <c r="N1" s="567"/>
    </row>
    <row r="2" spans="1:15">
      <c r="D2" s="167"/>
      <c r="E2" s="167"/>
      <c r="F2" s="167"/>
      <c r="G2" s="167"/>
      <c r="H2" s="167"/>
      <c r="I2" s="167"/>
      <c r="J2" s="167"/>
      <c r="K2" s="167"/>
      <c r="L2" s="167"/>
      <c r="M2" s="167"/>
      <c r="N2" s="168" t="s">
        <v>348</v>
      </c>
    </row>
    <row r="3" spans="1:15" s="170" customFormat="1" ht="16.5" customHeight="1">
      <c r="A3" s="568" t="s">
        <v>349</v>
      </c>
      <c r="B3" s="569"/>
      <c r="C3" s="169"/>
      <c r="D3" s="572">
        <v>1</v>
      </c>
      <c r="E3" s="572">
        <v>2</v>
      </c>
      <c r="F3" s="572">
        <v>3</v>
      </c>
      <c r="G3" s="572">
        <v>4</v>
      </c>
      <c r="H3" s="572">
        <v>5</v>
      </c>
      <c r="I3" s="572">
        <v>6</v>
      </c>
      <c r="J3" s="572">
        <v>7</v>
      </c>
      <c r="K3" s="572">
        <v>8</v>
      </c>
      <c r="L3" s="572">
        <v>9</v>
      </c>
      <c r="M3" s="572">
        <v>10</v>
      </c>
      <c r="N3" s="572">
        <v>11</v>
      </c>
    </row>
    <row r="4" spans="1:15" s="170" customFormat="1">
      <c r="A4" s="570"/>
      <c r="B4" s="571"/>
      <c r="C4" s="169"/>
      <c r="D4" s="573"/>
      <c r="E4" s="573"/>
      <c r="F4" s="573"/>
      <c r="G4" s="573"/>
      <c r="H4" s="573"/>
      <c r="I4" s="573"/>
      <c r="J4" s="573"/>
      <c r="K4" s="573"/>
      <c r="L4" s="573"/>
      <c r="M4" s="573"/>
      <c r="N4" s="573"/>
    </row>
    <row r="5" spans="1:15" s="170" customFormat="1">
      <c r="A5" s="171" t="s">
        <v>350</v>
      </c>
      <c r="B5" s="171" t="s">
        <v>351</v>
      </c>
      <c r="C5" s="171"/>
      <c r="D5" s="171"/>
      <c r="E5" s="171"/>
      <c r="F5" s="171" t="s">
        <v>352</v>
      </c>
      <c r="G5" s="171" t="s">
        <v>352</v>
      </c>
      <c r="H5" s="171" t="s">
        <v>352</v>
      </c>
      <c r="I5" s="171" t="s">
        <v>352</v>
      </c>
      <c r="J5" s="171" t="s">
        <v>352</v>
      </c>
      <c r="K5" s="171" t="s">
        <v>352</v>
      </c>
      <c r="L5" s="171" t="s">
        <v>352</v>
      </c>
      <c r="M5" s="171" t="s">
        <v>352</v>
      </c>
      <c r="N5" s="171" t="s">
        <v>352</v>
      </c>
    </row>
    <row r="6" spans="1:15">
      <c r="A6" s="172">
        <v>770</v>
      </c>
      <c r="B6" s="173">
        <v>775</v>
      </c>
      <c r="C6" s="172">
        <v>770000</v>
      </c>
      <c r="D6" s="174">
        <v>0</v>
      </c>
      <c r="E6" s="174">
        <v>0</v>
      </c>
      <c r="F6" s="174">
        <v>0</v>
      </c>
      <c r="G6" s="174">
        <v>0</v>
      </c>
      <c r="H6" s="174">
        <v>0</v>
      </c>
      <c r="I6" s="175">
        <v>0</v>
      </c>
      <c r="J6" s="174">
        <v>0</v>
      </c>
      <c r="K6" s="174">
        <v>0</v>
      </c>
      <c r="L6" s="174">
        <v>0</v>
      </c>
      <c r="M6" s="174">
        <v>0</v>
      </c>
      <c r="N6" s="174">
        <v>0</v>
      </c>
      <c r="O6" s="176" t="e">
        <f>#REF!</f>
        <v>#REF!</v>
      </c>
    </row>
    <row r="7" spans="1:15">
      <c r="A7" s="177">
        <v>775</v>
      </c>
      <c r="B7" s="177">
        <v>780</v>
      </c>
      <c r="C7" s="173">
        <v>775000</v>
      </c>
      <c r="D7" s="174">
        <v>0</v>
      </c>
      <c r="E7" s="174">
        <v>0</v>
      </c>
      <c r="F7" s="174">
        <v>0</v>
      </c>
      <c r="G7" s="174">
        <v>0</v>
      </c>
      <c r="H7" s="174">
        <v>0</v>
      </c>
      <c r="I7" s="175">
        <v>0</v>
      </c>
      <c r="J7" s="174">
        <v>0</v>
      </c>
      <c r="K7" s="174">
        <v>0</v>
      </c>
      <c r="L7" s="174">
        <v>0</v>
      </c>
      <c r="M7" s="174">
        <v>0</v>
      </c>
      <c r="N7" s="174">
        <v>0</v>
      </c>
      <c r="O7" s="178">
        <v>0</v>
      </c>
    </row>
    <row r="8" spans="1:15">
      <c r="A8" s="177">
        <v>780</v>
      </c>
      <c r="B8" s="177">
        <v>785</v>
      </c>
      <c r="C8" s="173">
        <v>780000</v>
      </c>
      <c r="D8" s="174">
        <v>0</v>
      </c>
      <c r="E8" s="174">
        <v>0</v>
      </c>
      <c r="F8" s="174">
        <v>0</v>
      </c>
      <c r="G8" s="174">
        <v>0</v>
      </c>
      <c r="H8" s="174">
        <v>0</v>
      </c>
      <c r="I8" s="175">
        <v>0</v>
      </c>
      <c r="J8" s="174">
        <v>0</v>
      </c>
      <c r="K8" s="174">
        <v>0</v>
      </c>
      <c r="L8" s="174">
        <v>0</v>
      </c>
      <c r="M8" s="174">
        <v>0</v>
      </c>
      <c r="N8" s="174">
        <v>0</v>
      </c>
      <c r="O8" s="178">
        <v>0</v>
      </c>
    </row>
    <row r="9" spans="1:15">
      <c r="A9" s="177">
        <v>785</v>
      </c>
      <c r="B9" s="177">
        <v>790</v>
      </c>
      <c r="C9" s="173">
        <v>785000</v>
      </c>
      <c r="D9" s="174">
        <v>0</v>
      </c>
      <c r="E9" s="174">
        <v>0</v>
      </c>
      <c r="F9" s="174">
        <v>0</v>
      </c>
      <c r="G9" s="174">
        <v>0</v>
      </c>
      <c r="H9" s="174">
        <v>0</v>
      </c>
      <c r="I9" s="175">
        <v>0</v>
      </c>
      <c r="J9" s="174">
        <v>0</v>
      </c>
      <c r="K9" s="174">
        <v>0</v>
      </c>
      <c r="L9" s="174">
        <v>0</v>
      </c>
      <c r="M9" s="174">
        <v>0</v>
      </c>
      <c r="N9" s="174">
        <v>0</v>
      </c>
      <c r="O9" s="178">
        <v>0</v>
      </c>
    </row>
    <row r="10" spans="1:15">
      <c r="A10" s="177">
        <v>790</v>
      </c>
      <c r="B10" s="177">
        <v>795</v>
      </c>
      <c r="C10" s="173">
        <v>790000</v>
      </c>
      <c r="D10" s="174">
        <v>0</v>
      </c>
      <c r="E10" s="174">
        <v>0</v>
      </c>
      <c r="F10" s="174">
        <v>0</v>
      </c>
      <c r="G10" s="174">
        <v>0</v>
      </c>
      <c r="H10" s="174">
        <v>0</v>
      </c>
      <c r="I10" s="175">
        <v>0</v>
      </c>
      <c r="J10" s="174">
        <v>0</v>
      </c>
      <c r="K10" s="174">
        <v>0</v>
      </c>
      <c r="L10" s="174">
        <v>0</v>
      </c>
      <c r="M10" s="174">
        <v>0</v>
      </c>
      <c r="N10" s="174">
        <v>0</v>
      </c>
      <c r="O10" s="178">
        <v>0</v>
      </c>
    </row>
    <row r="11" spans="1:15">
      <c r="A11" s="177">
        <v>795</v>
      </c>
      <c r="B11" s="177">
        <v>800</v>
      </c>
      <c r="C11" s="173">
        <v>795000</v>
      </c>
      <c r="D11" s="174">
        <v>0</v>
      </c>
      <c r="E11" s="174">
        <v>0</v>
      </c>
      <c r="F11" s="174">
        <v>0</v>
      </c>
      <c r="G11" s="174">
        <v>0</v>
      </c>
      <c r="H11" s="174">
        <v>0</v>
      </c>
      <c r="I11" s="175">
        <v>0</v>
      </c>
      <c r="J11" s="174">
        <v>0</v>
      </c>
      <c r="K11" s="174">
        <v>0</v>
      </c>
      <c r="L11" s="174">
        <v>0</v>
      </c>
      <c r="M11" s="174">
        <v>0</v>
      </c>
      <c r="N11" s="174">
        <v>0</v>
      </c>
      <c r="O11" s="178">
        <v>0</v>
      </c>
    </row>
    <row r="12" spans="1:15">
      <c r="A12" s="177">
        <v>800</v>
      </c>
      <c r="B12" s="177">
        <v>805</v>
      </c>
      <c r="C12" s="173">
        <v>800000</v>
      </c>
      <c r="D12" s="174">
        <v>0</v>
      </c>
      <c r="E12" s="174">
        <v>0</v>
      </c>
      <c r="F12" s="174">
        <v>0</v>
      </c>
      <c r="G12" s="174">
        <v>0</v>
      </c>
      <c r="H12" s="174">
        <v>0</v>
      </c>
      <c r="I12" s="175">
        <v>0</v>
      </c>
      <c r="J12" s="174">
        <v>0</v>
      </c>
      <c r="K12" s="174">
        <v>0</v>
      </c>
      <c r="L12" s="174">
        <v>0</v>
      </c>
      <c r="M12" s="174">
        <v>0</v>
      </c>
      <c r="N12" s="174">
        <v>0</v>
      </c>
      <c r="O12" s="178">
        <v>0</v>
      </c>
    </row>
    <row r="13" spans="1:15">
      <c r="A13" s="177">
        <v>805</v>
      </c>
      <c r="B13" s="177">
        <v>810</v>
      </c>
      <c r="C13" s="173">
        <v>805000</v>
      </c>
      <c r="D13" s="174">
        <v>0</v>
      </c>
      <c r="E13" s="174">
        <v>0</v>
      </c>
      <c r="F13" s="174">
        <v>0</v>
      </c>
      <c r="G13" s="174">
        <v>0</v>
      </c>
      <c r="H13" s="174">
        <v>0</v>
      </c>
      <c r="I13" s="175">
        <v>0</v>
      </c>
      <c r="J13" s="174">
        <v>0</v>
      </c>
      <c r="K13" s="174">
        <v>0</v>
      </c>
      <c r="L13" s="174">
        <v>0</v>
      </c>
      <c r="M13" s="174">
        <v>0</v>
      </c>
      <c r="N13" s="174">
        <v>0</v>
      </c>
      <c r="O13" s="178">
        <v>0</v>
      </c>
    </row>
    <row r="14" spans="1:15">
      <c r="A14" s="177">
        <v>810</v>
      </c>
      <c r="B14" s="177">
        <v>815</v>
      </c>
      <c r="C14" s="173">
        <v>810000</v>
      </c>
      <c r="D14" s="174">
        <v>0</v>
      </c>
      <c r="E14" s="174">
        <v>0</v>
      </c>
      <c r="F14" s="174">
        <v>0</v>
      </c>
      <c r="G14" s="174">
        <v>0</v>
      </c>
      <c r="H14" s="174">
        <v>0</v>
      </c>
      <c r="I14" s="175">
        <v>0</v>
      </c>
      <c r="J14" s="174">
        <v>0</v>
      </c>
      <c r="K14" s="174">
        <v>0</v>
      </c>
      <c r="L14" s="174">
        <v>0</v>
      </c>
      <c r="M14" s="174">
        <v>0</v>
      </c>
      <c r="N14" s="174">
        <v>0</v>
      </c>
      <c r="O14" s="178">
        <v>0</v>
      </c>
    </row>
    <row r="15" spans="1:15">
      <c r="A15" s="177">
        <v>815</v>
      </c>
      <c r="B15" s="177">
        <v>820</v>
      </c>
      <c r="C15" s="173">
        <v>815000</v>
      </c>
      <c r="D15" s="174">
        <v>0</v>
      </c>
      <c r="E15" s="174">
        <v>0</v>
      </c>
      <c r="F15" s="174">
        <v>0</v>
      </c>
      <c r="G15" s="174">
        <v>0</v>
      </c>
      <c r="H15" s="174">
        <v>0</v>
      </c>
      <c r="I15" s="175">
        <v>0</v>
      </c>
      <c r="J15" s="174">
        <v>0</v>
      </c>
      <c r="K15" s="174">
        <v>0</v>
      </c>
      <c r="L15" s="174">
        <v>0</v>
      </c>
      <c r="M15" s="174">
        <v>0</v>
      </c>
      <c r="N15" s="174">
        <v>0</v>
      </c>
      <c r="O15" s="178">
        <v>0</v>
      </c>
    </row>
    <row r="16" spans="1:15">
      <c r="A16" s="177">
        <v>820</v>
      </c>
      <c r="B16" s="177">
        <v>825</v>
      </c>
      <c r="C16" s="173">
        <v>820000</v>
      </c>
      <c r="D16" s="174">
        <v>0</v>
      </c>
      <c r="E16" s="174">
        <v>0</v>
      </c>
      <c r="F16" s="174">
        <v>0</v>
      </c>
      <c r="G16" s="174">
        <v>0</v>
      </c>
      <c r="H16" s="174">
        <v>0</v>
      </c>
      <c r="I16" s="175">
        <v>0</v>
      </c>
      <c r="J16" s="174">
        <v>0</v>
      </c>
      <c r="K16" s="174">
        <v>0</v>
      </c>
      <c r="L16" s="174">
        <v>0</v>
      </c>
      <c r="M16" s="174">
        <v>0</v>
      </c>
      <c r="N16" s="174">
        <v>0</v>
      </c>
      <c r="O16" s="178">
        <v>0</v>
      </c>
    </row>
    <row r="17" spans="1:15">
      <c r="A17" s="177">
        <v>825</v>
      </c>
      <c r="B17" s="177">
        <v>830</v>
      </c>
      <c r="C17" s="173">
        <v>825000</v>
      </c>
      <c r="D17" s="174">
        <v>0</v>
      </c>
      <c r="E17" s="174">
        <v>0</v>
      </c>
      <c r="F17" s="174">
        <v>0</v>
      </c>
      <c r="G17" s="174">
        <v>0</v>
      </c>
      <c r="H17" s="174">
        <v>0</v>
      </c>
      <c r="I17" s="175">
        <v>0</v>
      </c>
      <c r="J17" s="174">
        <v>0</v>
      </c>
      <c r="K17" s="174">
        <v>0</v>
      </c>
      <c r="L17" s="174">
        <v>0</v>
      </c>
      <c r="M17" s="174">
        <v>0</v>
      </c>
      <c r="N17" s="174">
        <v>0</v>
      </c>
      <c r="O17" s="178">
        <v>0</v>
      </c>
    </row>
    <row r="18" spans="1:15">
      <c r="A18" s="177">
        <v>830</v>
      </c>
      <c r="B18" s="177">
        <v>835</v>
      </c>
      <c r="C18" s="173">
        <v>830000</v>
      </c>
      <c r="D18" s="174">
        <v>0</v>
      </c>
      <c r="E18" s="174">
        <v>0</v>
      </c>
      <c r="F18" s="174">
        <v>0</v>
      </c>
      <c r="G18" s="174">
        <v>0</v>
      </c>
      <c r="H18" s="174">
        <v>0</v>
      </c>
      <c r="I18" s="175">
        <v>0</v>
      </c>
      <c r="J18" s="174">
        <v>0</v>
      </c>
      <c r="K18" s="174">
        <v>0</v>
      </c>
      <c r="L18" s="174">
        <v>0</v>
      </c>
      <c r="M18" s="174">
        <v>0</v>
      </c>
      <c r="N18" s="174">
        <v>0</v>
      </c>
      <c r="O18" s="178">
        <v>0</v>
      </c>
    </row>
    <row r="19" spans="1:15">
      <c r="A19" s="177">
        <v>835</v>
      </c>
      <c r="B19" s="177">
        <v>840</v>
      </c>
      <c r="C19" s="173">
        <v>835000</v>
      </c>
      <c r="D19" s="174">
        <v>0</v>
      </c>
      <c r="E19" s="174">
        <v>0</v>
      </c>
      <c r="F19" s="174">
        <v>0</v>
      </c>
      <c r="G19" s="174">
        <v>0</v>
      </c>
      <c r="H19" s="174">
        <v>0</v>
      </c>
      <c r="I19" s="175">
        <v>0</v>
      </c>
      <c r="J19" s="174">
        <v>0</v>
      </c>
      <c r="K19" s="174">
        <v>0</v>
      </c>
      <c r="L19" s="174">
        <v>0</v>
      </c>
      <c r="M19" s="174">
        <v>0</v>
      </c>
      <c r="N19" s="174">
        <v>0</v>
      </c>
      <c r="O19" s="178">
        <v>0</v>
      </c>
    </row>
    <row r="20" spans="1:15">
      <c r="A20" s="177">
        <v>840</v>
      </c>
      <c r="B20" s="177">
        <v>845</v>
      </c>
      <c r="C20" s="173">
        <v>840000</v>
      </c>
      <c r="D20" s="174">
        <v>0</v>
      </c>
      <c r="E20" s="174">
        <v>0</v>
      </c>
      <c r="F20" s="174">
        <v>0</v>
      </c>
      <c r="G20" s="174">
        <v>0</v>
      </c>
      <c r="H20" s="174">
        <v>0</v>
      </c>
      <c r="I20" s="175">
        <v>0</v>
      </c>
      <c r="J20" s="174">
        <v>0</v>
      </c>
      <c r="K20" s="174">
        <v>0</v>
      </c>
      <c r="L20" s="174">
        <v>0</v>
      </c>
      <c r="M20" s="174">
        <v>0</v>
      </c>
      <c r="N20" s="174">
        <v>0</v>
      </c>
      <c r="O20" s="178">
        <v>0</v>
      </c>
    </row>
    <row r="21" spans="1:15">
      <c r="A21" s="177">
        <v>845</v>
      </c>
      <c r="B21" s="177">
        <v>850</v>
      </c>
      <c r="C21" s="173">
        <v>845000</v>
      </c>
      <c r="D21" s="174">
        <v>0</v>
      </c>
      <c r="E21" s="174">
        <v>0</v>
      </c>
      <c r="F21" s="174">
        <v>0</v>
      </c>
      <c r="G21" s="174">
        <v>0</v>
      </c>
      <c r="H21" s="174">
        <v>0</v>
      </c>
      <c r="I21" s="175">
        <v>0</v>
      </c>
      <c r="J21" s="174">
        <v>0</v>
      </c>
      <c r="K21" s="174">
        <v>0</v>
      </c>
      <c r="L21" s="174">
        <v>0</v>
      </c>
      <c r="M21" s="174">
        <v>0</v>
      </c>
      <c r="N21" s="174">
        <v>0</v>
      </c>
      <c r="O21" s="178">
        <v>0</v>
      </c>
    </row>
    <row r="22" spans="1:15">
      <c r="A22" s="177">
        <v>850</v>
      </c>
      <c r="B22" s="177">
        <v>855</v>
      </c>
      <c r="C22" s="173">
        <v>850000</v>
      </c>
      <c r="D22" s="174">
        <v>0</v>
      </c>
      <c r="E22" s="174">
        <v>0</v>
      </c>
      <c r="F22" s="174">
        <v>0</v>
      </c>
      <c r="G22" s="174">
        <v>0</v>
      </c>
      <c r="H22" s="174">
        <v>0</v>
      </c>
      <c r="I22" s="175">
        <v>0</v>
      </c>
      <c r="J22" s="174">
        <v>0</v>
      </c>
      <c r="K22" s="174">
        <v>0</v>
      </c>
      <c r="L22" s="174">
        <v>0</v>
      </c>
      <c r="M22" s="174">
        <v>0</v>
      </c>
      <c r="N22" s="174">
        <v>0</v>
      </c>
      <c r="O22" s="178">
        <v>0</v>
      </c>
    </row>
    <row r="23" spans="1:15">
      <c r="A23" s="177">
        <v>855</v>
      </c>
      <c r="B23" s="177">
        <v>860</v>
      </c>
      <c r="C23" s="173">
        <v>855000</v>
      </c>
      <c r="D23" s="174">
        <v>0</v>
      </c>
      <c r="E23" s="174">
        <v>0</v>
      </c>
      <c r="F23" s="174">
        <v>0</v>
      </c>
      <c r="G23" s="174">
        <v>0</v>
      </c>
      <c r="H23" s="174">
        <v>0</v>
      </c>
      <c r="I23" s="175">
        <v>0</v>
      </c>
      <c r="J23" s="174">
        <v>0</v>
      </c>
      <c r="K23" s="174">
        <v>0</v>
      </c>
      <c r="L23" s="174">
        <v>0</v>
      </c>
      <c r="M23" s="174">
        <v>0</v>
      </c>
      <c r="N23" s="174">
        <v>0</v>
      </c>
      <c r="O23" s="178">
        <v>0</v>
      </c>
    </row>
    <row r="24" spans="1:15">
      <c r="A24" s="177">
        <v>860</v>
      </c>
      <c r="B24" s="177">
        <v>865</v>
      </c>
      <c r="C24" s="173">
        <v>860000</v>
      </c>
      <c r="D24" s="174">
        <v>0</v>
      </c>
      <c r="E24" s="174">
        <v>0</v>
      </c>
      <c r="F24" s="174">
        <v>0</v>
      </c>
      <c r="G24" s="174">
        <v>0</v>
      </c>
      <c r="H24" s="174">
        <v>0</v>
      </c>
      <c r="I24" s="175">
        <v>0</v>
      </c>
      <c r="J24" s="174">
        <v>0</v>
      </c>
      <c r="K24" s="174">
        <v>0</v>
      </c>
      <c r="L24" s="174">
        <v>0</v>
      </c>
      <c r="M24" s="174">
        <v>0</v>
      </c>
      <c r="N24" s="174">
        <v>0</v>
      </c>
      <c r="O24" s="178">
        <v>0</v>
      </c>
    </row>
    <row r="25" spans="1:15">
      <c r="A25" s="177">
        <v>865</v>
      </c>
      <c r="B25" s="177">
        <v>870</v>
      </c>
      <c r="C25" s="173">
        <v>865000</v>
      </c>
      <c r="D25" s="174">
        <v>0</v>
      </c>
      <c r="E25" s="174">
        <v>0</v>
      </c>
      <c r="F25" s="174">
        <v>0</v>
      </c>
      <c r="G25" s="174">
        <v>0</v>
      </c>
      <c r="H25" s="174">
        <v>0</v>
      </c>
      <c r="I25" s="175">
        <v>0</v>
      </c>
      <c r="J25" s="174">
        <v>0</v>
      </c>
      <c r="K25" s="174">
        <v>0</v>
      </c>
      <c r="L25" s="174">
        <v>0</v>
      </c>
      <c r="M25" s="174">
        <v>0</v>
      </c>
      <c r="N25" s="174">
        <v>0</v>
      </c>
      <c r="O25" s="178">
        <v>0</v>
      </c>
    </row>
    <row r="26" spans="1:15">
      <c r="A26" s="177">
        <v>870</v>
      </c>
      <c r="B26" s="177">
        <v>875</v>
      </c>
      <c r="C26" s="173">
        <v>870000</v>
      </c>
      <c r="D26" s="174">
        <v>0</v>
      </c>
      <c r="E26" s="174">
        <v>0</v>
      </c>
      <c r="F26" s="174">
        <v>0</v>
      </c>
      <c r="G26" s="174">
        <v>0</v>
      </c>
      <c r="H26" s="174">
        <v>0</v>
      </c>
      <c r="I26" s="175">
        <v>0</v>
      </c>
      <c r="J26" s="174">
        <v>0</v>
      </c>
      <c r="K26" s="174">
        <v>0</v>
      </c>
      <c r="L26" s="174">
        <v>0</v>
      </c>
      <c r="M26" s="174">
        <v>0</v>
      </c>
      <c r="N26" s="174">
        <v>0</v>
      </c>
      <c r="O26" s="178">
        <v>0</v>
      </c>
    </row>
    <row r="27" spans="1:15">
      <c r="A27" s="177">
        <v>875</v>
      </c>
      <c r="B27" s="177">
        <v>880</v>
      </c>
      <c r="C27" s="173">
        <v>875000</v>
      </c>
      <c r="D27" s="174">
        <v>0</v>
      </c>
      <c r="E27" s="174">
        <v>0</v>
      </c>
      <c r="F27" s="174">
        <v>0</v>
      </c>
      <c r="G27" s="174">
        <v>0</v>
      </c>
      <c r="H27" s="174">
        <v>0</v>
      </c>
      <c r="I27" s="175">
        <v>0</v>
      </c>
      <c r="J27" s="174">
        <v>0</v>
      </c>
      <c r="K27" s="174">
        <v>0</v>
      </c>
      <c r="L27" s="174">
        <v>0</v>
      </c>
      <c r="M27" s="174">
        <v>0</v>
      </c>
      <c r="N27" s="174">
        <v>0</v>
      </c>
      <c r="O27" s="178">
        <v>0</v>
      </c>
    </row>
    <row r="28" spans="1:15">
      <c r="A28" s="177">
        <v>880</v>
      </c>
      <c r="B28" s="177">
        <v>885</v>
      </c>
      <c r="C28" s="173">
        <v>880000</v>
      </c>
      <c r="D28" s="174">
        <v>0</v>
      </c>
      <c r="E28" s="174">
        <v>0</v>
      </c>
      <c r="F28" s="174">
        <v>0</v>
      </c>
      <c r="G28" s="174">
        <v>0</v>
      </c>
      <c r="H28" s="174">
        <v>0</v>
      </c>
      <c r="I28" s="175">
        <v>0</v>
      </c>
      <c r="J28" s="174">
        <v>0</v>
      </c>
      <c r="K28" s="174">
        <v>0</v>
      </c>
      <c r="L28" s="174">
        <v>0</v>
      </c>
      <c r="M28" s="174">
        <v>0</v>
      </c>
      <c r="N28" s="174">
        <v>0</v>
      </c>
      <c r="O28" s="178">
        <v>0</v>
      </c>
    </row>
    <row r="29" spans="1:15">
      <c r="A29" s="177">
        <v>885</v>
      </c>
      <c r="B29" s="177">
        <v>890</v>
      </c>
      <c r="C29" s="173">
        <v>885000</v>
      </c>
      <c r="D29" s="174">
        <v>0</v>
      </c>
      <c r="E29" s="174">
        <v>0</v>
      </c>
      <c r="F29" s="174">
        <v>0</v>
      </c>
      <c r="G29" s="174">
        <v>0</v>
      </c>
      <c r="H29" s="174">
        <v>0</v>
      </c>
      <c r="I29" s="175">
        <v>0</v>
      </c>
      <c r="J29" s="174">
        <v>0</v>
      </c>
      <c r="K29" s="174">
        <v>0</v>
      </c>
      <c r="L29" s="174">
        <v>0</v>
      </c>
      <c r="M29" s="174">
        <v>0</v>
      </c>
      <c r="N29" s="174">
        <v>0</v>
      </c>
      <c r="O29" s="178">
        <v>0</v>
      </c>
    </row>
    <row r="30" spans="1:15">
      <c r="A30" s="177">
        <v>890</v>
      </c>
      <c r="B30" s="177">
        <v>895</v>
      </c>
      <c r="C30" s="173">
        <v>890000</v>
      </c>
      <c r="D30" s="174">
        <v>0</v>
      </c>
      <c r="E30" s="174">
        <v>0</v>
      </c>
      <c r="F30" s="174">
        <v>0</v>
      </c>
      <c r="G30" s="174">
        <v>0</v>
      </c>
      <c r="H30" s="174">
        <v>0</v>
      </c>
      <c r="I30" s="175">
        <v>0</v>
      </c>
      <c r="J30" s="174">
        <v>0</v>
      </c>
      <c r="K30" s="174">
        <v>0</v>
      </c>
      <c r="L30" s="174">
        <v>0</v>
      </c>
      <c r="M30" s="174">
        <v>0</v>
      </c>
      <c r="N30" s="174">
        <v>0</v>
      </c>
      <c r="O30" s="178">
        <v>0</v>
      </c>
    </row>
    <row r="31" spans="1:15">
      <c r="A31" s="177">
        <v>895</v>
      </c>
      <c r="B31" s="177">
        <v>900</v>
      </c>
      <c r="C31" s="173">
        <v>895000</v>
      </c>
      <c r="D31" s="174">
        <v>0</v>
      </c>
      <c r="E31" s="174">
        <v>0</v>
      </c>
      <c r="F31" s="174">
        <v>0</v>
      </c>
      <c r="G31" s="174">
        <v>0</v>
      </c>
      <c r="H31" s="174">
        <v>0</v>
      </c>
      <c r="I31" s="175">
        <v>0</v>
      </c>
      <c r="J31" s="174">
        <v>0</v>
      </c>
      <c r="K31" s="174">
        <v>0</v>
      </c>
      <c r="L31" s="174">
        <v>0</v>
      </c>
      <c r="M31" s="174">
        <v>0</v>
      </c>
      <c r="N31" s="174">
        <v>0</v>
      </c>
      <c r="O31" s="178">
        <v>0</v>
      </c>
    </row>
    <row r="32" spans="1:15">
      <c r="A32" s="177">
        <v>900</v>
      </c>
      <c r="B32" s="177">
        <v>905</v>
      </c>
      <c r="C32" s="173">
        <v>900000</v>
      </c>
      <c r="D32" s="174">
        <v>0</v>
      </c>
      <c r="E32" s="174">
        <v>0</v>
      </c>
      <c r="F32" s="174">
        <v>0</v>
      </c>
      <c r="G32" s="174">
        <v>0</v>
      </c>
      <c r="H32" s="174">
        <v>0</v>
      </c>
      <c r="I32" s="175">
        <v>0</v>
      </c>
      <c r="J32" s="174">
        <v>0</v>
      </c>
      <c r="K32" s="174">
        <v>0</v>
      </c>
      <c r="L32" s="174">
        <v>0</v>
      </c>
      <c r="M32" s="174">
        <v>0</v>
      </c>
      <c r="N32" s="174">
        <v>0</v>
      </c>
      <c r="O32" s="178">
        <v>0</v>
      </c>
    </row>
    <row r="33" spans="1:15">
      <c r="A33" s="177">
        <v>905</v>
      </c>
      <c r="B33" s="177">
        <v>910</v>
      </c>
      <c r="C33" s="173">
        <v>905000</v>
      </c>
      <c r="D33" s="174">
        <v>0</v>
      </c>
      <c r="E33" s="174">
        <v>0</v>
      </c>
      <c r="F33" s="174">
        <v>0</v>
      </c>
      <c r="G33" s="174">
        <v>0</v>
      </c>
      <c r="H33" s="174">
        <v>0</v>
      </c>
      <c r="I33" s="175">
        <v>0</v>
      </c>
      <c r="J33" s="174">
        <v>0</v>
      </c>
      <c r="K33" s="174">
        <v>0</v>
      </c>
      <c r="L33" s="174">
        <v>0</v>
      </c>
      <c r="M33" s="174">
        <v>0</v>
      </c>
      <c r="N33" s="174">
        <v>0</v>
      </c>
      <c r="O33" s="178">
        <v>0</v>
      </c>
    </row>
    <row r="34" spans="1:15">
      <c r="A34" s="177">
        <v>910</v>
      </c>
      <c r="B34" s="177">
        <v>915</v>
      </c>
      <c r="C34" s="173">
        <v>910000</v>
      </c>
      <c r="D34" s="174">
        <v>0</v>
      </c>
      <c r="E34" s="174">
        <v>0</v>
      </c>
      <c r="F34" s="174">
        <v>0</v>
      </c>
      <c r="G34" s="174">
        <v>0</v>
      </c>
      <c r="H34" s="174">
        <v>0</v>
      </c>
      <c r="I34" s="175">
        <v>0</v>
      </c>
      <c r="J34" s="174">
        <v>0</v>
      </c>
      <c r="K34" s="174">
        <v>0</v>
      </c>
      <c r="L34" s="174">
        <v>0</v>
      </c>
      <c r="M34" s="174">
        <v>0</v>
      </c>
      <c r="N34" s="174">
        <v>0</v>
      </c>
      <c r="O34" s="178">
        <v>0</v>
      </c>
    </row>
    <row r="35" spans="1:15">
      <c r="A35" s="177">
        <v>915</v>
      </c>
      <c r="B35" s="177">
        <v>920</v>
      </c>
      <c r="C35" s="173">
        <v>915000</v>
      </c>
      <c r="D35" s="174">
        <v>0</v>
      </c>
      <c r="E35" s="174">
        <v>0</v>
      </c>
      <c r="F35" s="174">
        <v>0</v>
      </c>
      <c r="G35" s="174">
        <v>0</v>
      </c>
      <c r="H35" s="174">
        <v>0</v>
      </c>
      <c r="I35" s="175">
        <v>0</v>
      </c>
      <c r="J35" s="174">
        <v>0</v>
      </c>
      <c r="K35" s="174">
        <v>0</v>
      </c>
      <c r="L35" s="174">
        <v>0</v>
      </c>
      <c r="M35" s="174">
        <v>0</v>
      </c>
      <c r="N35" s="174">
        <v>0</v>
      </c>
      <c r="O35" s="178">
        <v>0</v>
      </c>
    </row>
    <row r="36" spans="1:15">
      <c r="A36" s="177">
        <v>920</v>
      </c>
      <c r="B36" s="177">
        <v>925</v>
      </c>
      <c r="C36" s="173">
        <v>920000</v>
      </c>
      <c r="D36" s="174">
        <v>0</v>
      </c>
      <c r="E36" s="174">
        <v>0</v>
      </c>
      <c r="F36" s="174">
        <v>0</v>
      </c>
      <c r="G36" s="174">
        <v>0</v>
      </c>
      <c r="H36" s="174">
        <v>0</v>
      </c>
      <c r="I36" s="175">
        <v>0</v>
      </c>
      <c r="J36" s="174">
        <v>0</v>
      </c>
      <c r="K36" s="174">
        <v>0</v>
      </c>
      <c r="L36" s="174">
        <v>0</v>
      </c>
      <c r="M36" s="174">
        <v>0</v>
      </c>
      <c r="N36" s="174">
        <v>0</v>
      </c>
      <c r="O36" s="178">
        <v>0</v>
      </c>
    </row>
    <row r="37" spans="1:15">
      <c r="A37" s="177">
        <v>925</v>
      </c>
      <c r="B37" s="177">
        <v>930</v>
      </c>
      <c r="C37" s="173">
        <v>925000</v>
      </c>
      <c r="D37" s="174">
        <v>0</v>
      </c>
      <c r="E37" s="174">
        <v>0</v>
      </c>
      <c r="F37" s="174">
        <v>0</v>
      </c>
      <c r="G37" s="174">
        <v>0</v>
      </c>
      <c r="H37" s="174">
        <v>0</v>
      </c>
      <c r="I37" s="175">
        <v>0</v>
      </c>
      <c r="J37" s="174">
        <v>0</v>
      </c>
      <c r="K37" s="174">
        <v>0</v>
      </c>
      <c r="L37" s="174">
        <v>0</v>
      </c>
      <c r="M37" s="174">
        <v>0</v>
      </c>
      <c r="N37" s="174">
        <v>0</v>
      </c>
      <c r="O37" s="178">
        <v>0</v>
      </c>
    </row>
    <row r="38" spans="1:15">
      <c r="A38" s="177">
        <v>930</v>
      </c>
      <c r="B38" s="177">
        <v>935</v>
      </c>
      <c r="C38" s="173">
        <v>930000</v>
      </c>
      <c r="D38" s="174">
        <v>0</v>
      </c>
      <c r="E38" s="174">
        <v>0</v>
      </c>
      <c r="F38" s="174">
        <v>0</v>
      </c>
      <c r="G38" s="174">
        <v>0</v>
      </c>
      <c r="H38" s="174">
        <v>0</v>
      </c>
      <c r="I38" s="175">
        <v>0</v>
      </c>
      <c r="J38" s="174">
        <v>0</v>
      </c>
      <c r="K38" s="174">
        <v>0</v>
      </c>
      <c r="L38" s="174">
        <v>0</v>
      </c>
      <c r="M38" s="174">
        <v>0</v>
      </c>
      <c r="N38" s="174">
        <v>0</v>
      </c>
      <c r="O38" s="178">
        <v>0</v>
      </c>
    </row>
    <row r="39" spans="1:15">
      <c r="A39" s="177">
        <v>935</v>
      </c>
      <c r="B39" s="177">
        <v>940</v>
      </c>
      <c r="C39" s="173">
        <v>935000</v>
      </c>
      <c r="D39" s="174">
        <v>0</v>
      </c>
      <c r="E39" s="174">
        <v>0</v>
      </c>
      <c r="F39" s="174">
        <v>0</v>
      </c>
      <c r="G39" s="174">
        <v>0</v>
      </c>
      <c r="H39" s="174">
        <v>0</v>
      </c>
      <c r="I39" s="175">
        <v>0</v>
      </c>
      <c r="J39" s="174">
        <v>0</v>
      </c>
      <c r="K39" s="174">
        <v>0</v>
      </c>
      <c r="L39" s="174">
        <v>0</v>
      </c>
      <c r="M39" s="174">
        <v>0</v>
      </c>
      <c r="N39" s="174">
        <v>0</v>
      </c>
      <c r="O39" s="178">
        <v>0</v>
      </c>
    </row>
    <row r="40" spans="1:15">
      <c r="A40" s="177">
        <v>940</v>
      </c>
      <c r="B40" s="177">
        <v>945</v>
      </c>
      <c r="C40" s="173">
        <v>940000</v>
      </c>
      <c r="D40" s="174">
        <v>0</v>
      </c>
      <c r="E40" s="174">
        <v>0</v>
      </c>
      <c r="F40" s="174">
        <v>0</v>
      </c>
      <c r="G40" s="174">
        <v>0</v>
      </c>
      <c r="H40" s="174">
        <v>0</v>
      </c>
      <c r="I40" s="175">
        <v>0</v>
      </c>
      <c r="J40" s="174">
        <v>0</v>
      </c>
      <c r="K40" s="174">
        <v>0</v>
      </c>
      <c r="L40" s="174">
        <v>0</v>
      </c>
      <c r="M40" s="174">
        <v>0</v>
      </c>
      <c r="N40" s="174">
        <v>0</v>
      </c>
      <c r="O40" s="178">
        <v>0</v>
      </c>
    </row>
    <row r="41" spans="1:15">
      <c r="A41" s="177">
        <v>945</v>
      </c>
      <c r="B41" s="177">
        <v>950</v>
      </c>
      <c r="C41" s="173">
        <v>945000</v>
      </c>
      <c r="D41" s="174">
        <v>0</v>
      </c>
      <c r="E41" s="174">
        <v>0</v>
      </c>
      <c r="F41" s="174">
        <v>0</v>
      </c>
      <c r="G41" s="174">
        <v>0</v>
      </c>
      <c r="H41" s="174">
        <v>0</v>
      </c>
      <c r="I41" s="175">
        <v>0</v>
      </c>
      <c r="J41" s="174">
        <v>0</v>
      </c>
      <c r="K41" s="174">
        <v>0</v>
      </c>
      <c r="L41" s="174">
        <v>0</v>
      </c>
      <c r="M41" s="174">
        <v>0</v>
      </c>
      <c r="N41" s="174">
        <v>0</v>
      </c>
      <c r="O41" s="178">
        <v>0</v>
      </c>
    </row>
    <row r="42" spans="1:15">
      <c r="A42" s="177">
        <v>950</v>
      </c>
      <c r="B42" s="177">
        <v>955</v>
      </c>
      <c r="C42" s="173">
        <v>950000</v>
      </c>
      <c r="D42" s="174">
        <v>0</v>
      </c>
      <c r="E42" s="174">
        <v>0</v>
      </c>
      <c r="F42" s="174">
        <v>0</v>
      </c>
      <c r="G42" s="174">
        <v>0</v>
      </c>
      <c r="H42" s="174">
        <v>0</v>
      </c>
      <c r="I42" s="175">
        <v>0</v>
      </c>
      <c r="J42" s="174">
        <v>0</v>
      </c>
      <c r="K42" s="174">
        <v>0</v>
      </c>
      <c r="L42" s="174">
        <v>0</v>
      </c>
      <c r="M42" s="174">
        <v>0</v>
      </c>
      <c r="N42" s="174">
        <v>0</v>
      </c>
      <c r="O42" s="178">
        <v>0</v>
      </c>
    </row>
    <row r="43" spans="1:15">
      <c r="A43" s="177">
        <v>955</v>
      </c>
      <c r="B43" s="177">
        <v>960</v>
      </c>
      <c r="C43" s="173">
        <v>955000</v>
      </c>
      <c r="D43" s="174">
        <v>0</v>
      </c>
      <c r="E43" s="174">
        <v>0</v>
      </c>
      <c r="F43" s="174">
        <v>0</v>
      </c>
      <c r="G43" s="174">
        <v>0</v>
      </c>
      <c r="H43" s="174">
        <v>0</v>
      </c>
      <c r="I43" s="175">
        <v>0</v>
      </c>
      <c r="J43" s="174">
        <v>0</v>
      </c>
      <c r="K43" s="174">
        <v>0</v>
      </c>
      <c r="L43" s="174">
        <v>0</v>
      </c>
      <c r="M43" s="174">
        <v>0</v>
      </c>
      <c r="N43" s="174">
        <v>0</v>
      </c>
      <c r="O43" s="178">
        <v>0</v>
      </c>
    </row>
    <row r="44" spans="1:15">
      <c r="A44" s="177">
        <v>960</v>
      </c>
      <c r="B44" s="177">
        <v>965</v>
      </c>
      <c r="C44" s="173">
        <v>960000</v>
      </c>
      <c r="D44" s="174">
        <v>0</v>
      </c>
      <c r="E44" s="174">
        <v>0</v>
      </c>
      <c r="F44" s="174">
        <v>0</v>
      </c>
      <c r="G44" s="174">
        <v>0</v>
      </c>
      <c r="H44" s="174">
        <v>0</v>
      </c>
      <c r="I44" s="175">
        <v>0</v>
      </c>
      <c r="J44" s="174">
        <v>0</v>
      </c>
      <c r="K44" s="174">
        <v>0</v>
      </c>
      <c r="L44" s="174">
        <v>0</v>
      </c>
      <c r="M44" s="174">
        <v>0</v>
      </c>
      <c r="N44" s="174">
        <v>0</v>
      </c>
      <c r="O44" s="178">
        <v>0</v>
      </c>
    </row>
    <row r="45" spans="1:15">
      <c r="A45" s="177">
        <v>965</v>
      </c>
      <c r="B45" s="177">
        <v>970</v>
      </c>
      <c r="C45" s="173">
        <v>965000</v>
      </c>
      <c r="D45" s="174">
        <v>0</v>
      </c>
      <c r="E45" s="174">
        <v>0</v>
      </c>
      <c r="F45" s="174">
        <v>0</v>
      </c>
      <c r="G45" s="174">
        <v>0</v>
      </c>
      <c r="H45" s="174">
        <v>0</v>
      </c>
      <c r="I45" s="175">
        <v>0</v>
      </c>
      <c r="J45" s="174">
        <v>0</v>
      </c>
      <c r="K45" s="174">
        <v>0</v>
      </c>
      <c r="L45" s="174">
        <v>0</v>
      </c>
      <c r="M45" s="174">
        <v>0</v>
      </c>
      <c r="N45" s="174">
        <v>0</v>
      </c>
      <c r="O45" s="178">
        <v>0</v>
      </c>
    </row>
    <row r="46" spans="1:15">
      <c r="A46" s="177">
        <v>970</v>
      </c>
      <c r="B46" s="177">
        <v>975</v>
      </c>
      <c r="C46" s="173">
        <v>970000</v>
      </c>
      <c r="D46" s="174">
        <v>0</v>
      </c>
      <c r="E46" s="174">
        <v>0</v>
      </c>
      <c r="F46" s="174">
        <v>0</v>
      </c>
      <c r="G46" s="174">
        <v>0</v>
      </c>
      <c r="H46" s="174">
        <v>0</v>
      </c>
      <c r="I46" s="175">
        <v>0</v>
      </c>
      <c r="J46" s="174">
        <v>0</v>
      </c>
      <c r="K46" s="174">
        <v>0</v>
      </c>
      <c r="L46" s="174">
        <v>0</v>
      </c>
      <c r="M46" s="174">
        <v>0</v>
      </c>
      <c r="N46" s="174">
        <v>0</v>
      </c>
      <c r="O46" s="178">
        <v>0</v>
      </c>
    </row>
    <row r="47" spans="1:15">
      <c r="A47" s="177">
        <v>975</v>
      </c>
      <c r="B47" s="177">
        <v>980</v>
      </c>
      <c r="C47" s="173">
        <v>975000</v>
      </c>
      <c r="D47" s="174">
        <v>0</v>
      </c>
      <c r="E47" s="174">
        <v>0</v>
      </c>
      <c r="F47" s="174">
        <v>0</v>
      </c>
      <c r="G47" s="174">
        <v>0</v>
      </c>
      <c r="H47" s="174">
        <v>0</v>
      </c>
      <c r="I47" s="175">
        <v>0</v>
      </c>
      <c r="J47" s="174">
        <v>0</v>
      </c>
      <c r="K47" s="174">
        <v>0</v>
      </c>
      <c r="L47" s="174">
        <v>0</v>
      </c>
      <c r="M47" s="174">
        <v>0</v>
      </c>
      <c r="N47" s="174">
        <v>0</v>
      </c>
      <c r="O47" s="178">
        <v>0</v>
      </c>
    </row>
    <row r="48" spans="1:15">
      <c r="A48" s="177">
        <v>980</v>
      </c>
      <c r="B48" s="177">
        <v>985</v>
      </c>
      <c r="C48" s="173">
        <v>980000</v>
      </c>
      <c r="D48" s="174">
        <v>0</v>
      </c>
      <c r="E48" s="174">
        <v>0</v>
      </c>
      <c r="F48" s="174">
        <v>0</v>
      </c>
      <c r="G48" s="174">
        <v>0</v>
      </c>
      <c r="H48" s="174">
        <v>0</v>
      </c>
      <c r="I48" s="175">
        <v>0</v>
      </c>
      <c r="J48" s="174">
        <v>0</v>
      </c>
      <c r="K48" s="174">
        <v>0</v>
      </c>
      <c r="L48" s="174">
        <v>0</v>
      </c>
      <c r="M48" s="174">
        <v>0</v>
      </c>
      <c r="N48" s="174">
        <v>0</v>
      </c>
      <c r="O48" s="178">
        <v>0</v>
      </c>
    </row>
    <row r="49" spans="1:15">
      <c r="A49" s="177">
        <v>985</v>
      </c>
      <c r="B49" s="177">
        <v>990</v>
      </c>
      <c r="C49" s="173">
        <v>985000</v>
      </c>
      <c r="D49" s="174">
        <v>0</v>
      </c>
      <c r="E49" s="174">
        <v>0</v>
      </c>
      <c r="F49" s="174">
        <v>0</v>
      </c>
      <c r="G49" s="174">
        <v>0</v>
      </c>
      <c r="H49" s="174">
        <v>0</v>
      </c>
      <c r="I49" s="175">
        <v>0</v>
      </c>
      <c r="J49" s="174">
        <v>0</v>
      </c>
      <c r="K49" s="174">
        <v>0</v>
      </c>
      <c r="L49" s="174">
        <v>0</v>
      </c>
      <c r="M49" s="174">
        <v>0</v>
      </c>
      <c r="N49" s="174">
        <v>0</v>
      </c>
      <c r="O49" s="178">
        <v>0</v>
      </c>
    </row>
    <row r="50" spans="1:15">
      <c r="A50" s="177">
        <v>990</v>
      </c>
      <c r="B50" s="177">
        <v>995</v>
      </c>
      <c r="C50" s="173">
        <v>990000</v>
      </c>
      <c r="D50" s="174">
        <v>0</v>
      </c>
      <c r="E50" s="174">
        <v>0</v>
      </c>
      <c r="F50" s="174">
        <v>0</v>
      </c>
      <c r="G50" s="174">
        <v>0</v>
      </c>
      <c r="H50" s="174">
        <v>0</v>
      </c>
      <c r="I50" s="175">
        <v>0</v>
      </c>
      <c r="J50" s="174">
        <v>0</v>
      </c>
      <c r="K50" s="174">
        <v>0</v>
      </c>
      <c r="L50" s="174">
        <v>0</v>
      </c>
      <c r="M50" s="174">
        <v>0</v>
      </c>
      <c r="N50" s="174">
        <v>0</v>
      </c>
      <c r="O50" s="178">
        <v>0</v>
      </c>
    </row>
    <row r="51" spans="1:15">
      <c r="A51" s="177">
        <v>995</v>
      </c>
      <c r="B51" s="177">
        <v>1000</v>
      </c>
      <c r="C51" s="173">
        <v>995000</v>
      </c>
      <c r="D51" s="174">
        <v>0</v>
      </c>
      <c r="E51" s="174">
        <v>0</v>
      </c>
      <c r="F51" s="174">
        <v>0</v>
      </c>
      <c r="G51" s="174">
        <v>0</v>
      </c>
      <c r="H51" s="174">
        <v>0</v>
      </c>
      <c r="I51" s="175">
        <v>0</v>
      </c>
      <c r="J51" s="174">
        <v>0</v>
      </c>
      <c r="K51" s="174">
        <v>0</v>
      </c>
      <c r="L51" s="174">
        <v>0</v>
      </c>
      <c r="M51" s="174">
        <v>0</v>
      </c>
      <c r="N51" s="174">
        <v>0</v>
      </c>
      <c r="O51" s="178">
        <v>0</v>
      </c>
    </row>
    <row r="52" spans="1:15">
      <c r="A52" s="177">
        <v>1000</v>
      </c>
      <c r="B52" s="177">
        <v>1005</v>
      </c>
      <c r="C52" s="173">
        <v>1000000</v>
      </c>
      <c r="D52" s="174">
        <v>0</v>
      </c>
      <c r="E52" s="174">
        <v>0</v>
      </c>
      <c r="F52" s="174">
        <v>0</v>
      </c>
      <c r="G52" s="174">
        <v>0</v>
      </c>
      <c r="H52" s="174">
        <v>0</v>
      </c>
      <c r="I52" s="175">
        <v>0</v>
      </c>
      <c r="J52" s="174">
        <v>0</v>
      </c>
      <c r="K52" s="174">
        <v>0</v>
      </c>
      <c r="L52" s="174">
        <v>0</v>
      </c>
      <c r="M52" s="174">
        <v>0</v>
      </c>
      <c r="N52" s="174">
        <v>0</v>
      </c>
      <c r="O52" s="178">
        <v>0</v>
      </c>
    </row>
    <row r="53" spans="1:15">
      <c r="A53" s="177">
        <v>1005</v>
      </c>
      <c r="B53" s="177">
        <v>1010</v>
      </c>
      <c r="C53" s="173">
        <v>1005000</v>
      </c>
      <c r="D53" s="174">
        <v>0</v>
      </c>
      <c r="E53" s="174">
        <v>0</v>
      </c>
      <c r="F53" s="174">
        <v>0</v>
      </c>
      <c r="G53" s="174">
        <v>0</v>
      </c>
      <c r="H53" s="174">
        <v>0</v>
      </c>
      <c r="I53" s="175">
        <v>0</v>
      </c>
      <c r="J53" s="174">
        <v>0</v>
      </c>
      <c r="K53" s="174">
        <v>0</v>
      </c>
      <c r="L53" s="174">
        <v>0</v>
      </c>
      <c r="M53" s="174">
        <v>0</v>
      </c>
      <c r="N53" s="174">
        <v>0</v>
      </c>
      <c r="O53" s="178">
        <v>0</v>
      </c>
    </row>
    <row r="54" spans="1:15">
      <c r="A54" s="177">
        <v>1010</v>
      </c>
      <c r="B54" s="177">
        <v>1015</v>
      </c>
      <c r="C54" s="173">
        <v>1010000</v>
      </c>
      <c r="D54" s="174">
        <v>0</v>
      </c>
      <c r="E54" s="174">
        <v>0</v>
      </c>
      <c r="F54" s="174">
        <v>0</v>
      </c>
      <c r="G54" s="174">
        <v>0</v>
      </c>
      <c r="H54" s="174">
        <v>0</v>
      </c>
      <c r="I54" s="175">
        <v>0</v>
      </c>
      <c r="J54" s="174">
        <v>0</v>
      </c>
      <c r="K54" s="174">
        <v>0</v>
      </c>
      <c r="L54" s="174">
        <v>0</v>
      </c>
      <c r="M54" s="174">
        <v>0</v>
      </c>
      <c r="N54" s="174">
        <v>0</v>
      </c>
      <c r="O54" s="178">
        <v>0</v>
      </c>
    </row>
    <row r="55" spans="1:15">
      <c r="A55" s="177">
        <v>1015</v>
      </c>
      <c r="B55" s="177">
        <v>1020</v>
      </c>
      <c r="C55" s="173">
        <v>1015000</v>
      </c>
      <c r="D55" s="174">
        <v>0</v>
      </c>
      <c r="E55" s="174">
        <v>0</v>
      </c>
      <c r="F55" s="174">
        <v>0</v>
      </c>
      <c r="G55" s="174">
        <v>0</v>
      </c>
      <c r="H55" s="174">
        <v>0</v>
      </c>
      <c r="I55" s="175">
        <v>0</v>
      </c>
      <c r="J55" s="174">
        <v>0</v>
      </c>
      <c r="K55" s="174">
        <v>0</v>
      </c>
      <c r="L55" s="174">
        <v>0</v>
      </c>
      <c r="M55" s="174">
        <v>0</v>
      </c>
      <c r="N55" s="174">
        <v>0</v>
      </c>
      <c r="O55" s="178">
        <v>0</v>
      </c>
    </row>
    <row r="56" spans="1:15">
      <c r="A56" s="177">
        <v>1020</v>
      </c>
      <c r="B56" s="177">
        <v>1025</v>
      </c>
      <c r="C56" s="173">
        <v>1020000</v>
      </c>
      <c r="D56" s="174">
        <v>0</v>
      </c>
      <c r="E56" s="174">
        <v>0</v>
      </c>
      <c r="F56" s="174">
        <v>0</v>
      </c>
      <c r="G56" s="174">
        <v>0</v>
      </c>
      <c r="H56" s="174">
        <v>0</v>
      </c>
      <c r="I56" s="175">
        <v>0</v>
      </c>
      <c r="J56" s="174">
        <v>0</v>
      </c>
      <c r="K56" s="174">
        <v>0</v>
      </c>
      <c r="L56" s="174">
        <v>0</v>
      </c>
      <c r="M56" s="174">
        <v>0</v>
      </c>
      <c r="N56" s="174">
        <v>0</v>
      </c>
      <c r="O56" s="178">
        <v>0</v>
      </c>
    </row>
    <row r="57" spans="1:15">
      <c r="A57" s="177">
        <v>1025</v>
      </c>
      <c r="B57" s="177">
        <v>1030</v>
      </c>
      <c r="C57" s="173">
        <v>1025000</v>
      </c>
      <c r="D57" s="174">
        <v>0</v>
      </c>
      <c r="E57" s="174">
        <v>0</v>
      </c>
      <c r="F57" s="174">
        <v>0</v>
      </c>
      <c r="G57" s="174">
        <v>0</v>
      </c>
      <c r="H57" s="174">
        <v>0</v>
      </c>
      <c r="I57" s="175">
        <v>0</v>
      </c>
      <c r="J57" s="174">
        <v>0</v>
      </c>
      <c r="K57" s="174">
        <v>0</v>
      </c>
      <c r="L57" s="174">
        <v>0</v>
      </c>
      <c r="M57" s="174">
        <v>0</v>
      </c>
      <c r="N57" s="174">
        <v>0</v>
      </c>
      <c r="O57" s="178">
        <v>0</v>
      </c>
    </row>
    <row r="58" spans="1:15">
      <c r="A58" s="177">
        <v>1030</v>
      </c>
      <c r="B58" s="177">
        <v>1035</v>
      </c>
      <c r="C58" s="173">
        <v>1030000</v>
      </c>
      <c r="D58" s="174">
        <v>0</v>
      </c>
      <c r="E58" s="174">
        <v>0</v>
      </c>
      <c r="F58" s="174">
        <v>0</v>
      </c>
      <c r="G58" s="174">
        <v>0</v>
      </c>
      <c r="H58" s="174">
        <v>0</v>
      </c>
      <c r="I58" s="175">
        <v>0</v>
      </c>
      <c r="J58" s="174">
        <v>0</v>
      </c>
      <c r="K58" s="174">
        <v>0</v>
      </c>
      <c r="L58" s="174">
        <v>0</v>
      </c>
      <c r="M58" s="174">
        <v>0</v>
      </c>
      <c r="N58" s="174">
        <v>0</v>
      </c>
      <c r="O58" s="178">
        <v>0</v>
      </c>
    </row>
    <row r="59" spans="1:15">
      <c r="A59" s="177">
        <v>1035</v>
      </c>
      <c r="B59" s="177">
        <v>1040</v>
      </c>
      <c r="C59" s="173">
        <v>1035000</v>
      </c>
      <c r="D59" s="174">
        <v>0</v>
      </c>
      <c r="E59" s="174">
        <v>0</v>
      </c>
      <c r="F59" s="174">
        <v>0</v>
      </c>
      <c r="G59" s="174">
        <v>0</v>
      </c>
      <c r="H59" s="174">
        <v>0</v>
      </c>
      <c r="I59" s="175">
        <v>0</v>
      </c>
      <c r="J59" s="174">
        <v>0</v>
      </c>
      <c r="K59" s="174">
        <v>0</v>
      </c>
      <c r="L59" s="174">
        <v>0</v>
      </c>
      <c r="M59" s="174">
        <v>0</v>
      </c>
      <c r="N59" s="174">
        <v>0</v>
      </c>
      <c r="O59" s="178">
        <v>0</v>
      </c>
    </row>
    <row r="60" spans="1:15">
      <c r="A60" s="177">
        <v>1040</v>
      </c>
      <c r="B60" s="177">
        <v>1045</v>
      </c>
      <c r="C60" s="173">
        <v>1040000</v>
      </c>
      <c r="D60" s="174">
        <v>0</v>
      </c>
      <c r="E60" s="174">
        <v>0</v>
      </c>
      <c r="F60" s="174">
        <v>0</v>
      </c>
      <c r="G60" s="174">
        <v>0</v>
      </c>
      <c r="H60" s="174">
        <v>0</v>
      </c>
      <c r="I60" s="175">
        <v>0</v>
      </c>
      <c r="J60" s="174">
        <v>0</v>
      </c>
      <c r="K60" s="174">
        <v>0</v>
      </c>
      <c r="L60" s="174">
        <v>0</v>
      </c>
      <c r="M60" s="174">
        <v>0</v>
      </c>
      <c r="N60" s="174">
        <v>0</v>
      </c>
      <c r="O60" s="178">
        <v>0</v>
      </c>
    </row>
    <row r="61" spans="1:15">
      <c r="A61" s="177">
        <v>1045</v>
      </c>
      <c r="B61" s="177">
        <v>1050</v>
      </c>
      <c r="C61" s="173">
        <v>1045000</v>
      </c>
      <c r="D61" s="174">
        <v>0</v>
      </c>
      <c r="E61" s="174">
        <v>0</v>
      </c>
      <c r="F61" s="174">
        <v>0</v>
      </c>
      <c r="G61" s="174">
        <v>0</v>
      </c>
      <c r="H61" s="174">
        <v>0</v>
      </c>
      <c r="I61" s="175">
        <v>0</v>
      </c>
      <c r="J61" s="174">
        <v>0</v>
      </c>
      <c r="K61" s="174">
        <v>0</v>
      </c>
      <c r="L61" s="174">
        <v>0</v>
      </c>
      <c r="M61" s="174">
        <v>0</v>
      </c>
      <c r="N61" s="174">
        <v>0</v>
      </c>
      <c r="O61" s="178">
        <v>0</v>
      </c>
    </row>
    <row r="62" spans="1:15">
      <c r="A62" s="177">
        <v>1050</v>
      </c>
      <c r="B62" s="177">
        <v>1055</v>
      </c>
      <c r="C62" s="173">
        <v>1050000</v>
      </c>
      <c r="D62" s="174">
        <v>0</v>
      </c>
      <c r="E62" s="174">
        <v>0</v>
      </c>
      <c r="F62" s="174">
        <v>0</v>
      </c>
      <c r="G62" s="174">
        <v>0</v>
      </c>
      <c r="H62" s="174">
        <v>0</v>
      </c>
      <c r="I62" s="175">
        <v>0</v>
      </c>
      <c r="J62" s="174">
        <v>0</v>
      </c>
      <c r="K62" s="174">
        <v>0</v>
      </c>
      <c r="L62" s="174">
        <v>0</v>
      </c>
      <c r="M62" s="174">
        <v>0</v>
      </c>
      <c r="N62" s="174">
        <v>0</v>
      </c>
      <c r="O62" s="178">
        <v>0</v>
      </c>
    </row>
    <row r="63" spans="1:15">
      <c r="A63" s="177">
        <v>1055</v>
      </c>
      <c r="B63" s="177">
        <v>1060</v>
      </c>
      <c r="C63" s="173">
        <v>1055000</v>
      </c>
      <c r="D63" s="174">
        <v>0</v>
      </c>
      <c r="E63" s="174">
        <v>0</v>
      </c>
      <c r="F63" s="174">
        <v>0</v>
      </c>
      <c r="G63" s="174">
        <v>0</v>
      </c>
      <c r="H63" s="174">
        <v>0</v>
      </c>
      <c r="I63" s="175">
        <v>0</v>
      </c>
      <c r="J63" s="174">
        <v>0</v>
      </c>
      <c r="K63" s="174">
        <v>0</v>
      </c>
      <c r="L63" s="174">
        <v>0</v>
      </c>
      <c r="M63" s="174">
        <v>0</v>
      </c>
      <c r="N63" s="174">
        <v>0</v>
      </c>
      <c r="O63" s="178">
        <v>0</v>
      </c>
    </row>
    <row r="64" spans="1:15">
      <c r="A64" s="177">
        <v>1060</v>
      </c>
      <c r="B64" s="177">
        <v>1065</v>
      </c>
      <c r="C64" s="173">
        <v>1060000</v>
      </c>
      <c r="D64" s="174">
        <v>1040</v>
      </c>
      <c r="E64" s="174">
        <v>0</v>
      </c>
      <c r="F64" s="174">
        <v>0</v>
      </c>
      <c r="G64" s="174">
        <v>0</v>
      </c>
      <c r="H64" s="174">
        <v>0</v>
      </c>
      <c r="I64" s="175">
        <v>0</v>
      </c>
      <c r="J64" s="174">
        <v>0</v>
      </c>
      <c r="K64" s="174">
        <v>0</v>
      </c>
      <c r="L64" s="174">
        <v>0</v>
      </c>
      <c r="M64" s="174">
        <v>0</v>
      </c>
      <c r="N64" s="174">
        <v>0</v>
      </c>
      <c r="O64" s="178">
        <v>0</v>
      </c>
    </row>
    <row r="65" spans="1:15">
      <c r="A65" s="177">
        <v>1065</v>
      </c>
      <c r="B65" s="177">
        <v>1070</v>
      </c>
      <c r="C65" s="173">
        <v>1065000</v>
      </c>
      <c r="D65" s="174">
        <v>1110</v>
      </c>
      <c r="E65" s="174">
        <v>0</v>
      </c>
      <c r="F65" s="174">
        <v>0</v>
      </c>
      <c r="G65" s="174">
        <v>0</v>
      </c>
      <c r="H65" s="174">
        <v>0</v>
      </c>
      <c r="I65" s="175">
        <v>0</v>
      </c>
      <c r="J65" s="174">
        <v>0</v>
      </c>
      <c r="K65" s="174">
        <v>0</v>
      </c>
      <c r="L65" s="174">
        <v>0</v>
      </c>
      <c r="M65" s="174">
        <v>0</v>
      </c>
      <c r="N65" s="174">
        <v>0</v>
      </c>
      <c r="O65" s="178">
        <v>0</v>
      </c>
    </row>
    <row r="66" spans="1:15">
      <c r="A66" s="177">
        <v>1070</v>
      </c>
      <c r="B66" s="177">
        <v>1075</v>
      </c>
      <c r="C66" s="173">
        <v>1070000</v>
      </c>
      <c r="D66" s="174">
        <v>1180</v>
      </c>
      <c r="E66" s="174">
        <v>0</v>
      </c>
      <c r="F66" s="174">
        <v>0</v>
      </c>
      <c r="G66" s="174">
        <v>0</v>
      </c>
      <c r="H66" s="174">
        <v>0</v>
      </c>
      <c r="I66" s="175">
        <v>0</v>
      </c>
      <c r="J66" s="174">
        <v>0</v>
      </c>
      <c r="K66" s="174">
        <v>0</v>
      </c>
      <c r="L66" s="174">
        <v>0</v>
      </c>
      <c r="M66" s="174">
        <v>0</v>
      </c>
      <c r="N66" s="174">
        <v>0</v>
      </c>
      <c r="O66" s="178">
        <v>0</v>
      </c>
    </row>
    <row r="67" spans="1:15">
      <c r="A67" s="177">
        <v>1075</v>
      </c>
      <c r="B67" s="177">
        <v>1080</v>
      </c>
      <c r="C67" s="173">
        <v>1075000</v>
      </c>
      <c r="D67" s="174">
        <v>1250</v>
      </c>
      <c r="E67" s="174">
        <v>0</v>
      </c>
      <c r="F67" s="174">
        <v>0</v>
      </c>
      <c r="G67" s="174">
        <v>0</v>
      </c>
      <c r="H67" s="174">
        <v>0</v>
      </c>
      <c r="I67" s="175">
        <v>0</v>
      </c>
      <c r="J67" s="174">
        <v>0</v>
      </c>
      <c r="K67" s="174">
        <v>0</v>
      </c>
      <c r="L67" s="174">
        <v>0</v>
      </c>
      <c r="M67" s="174">
        <v>0</v>
      </c>
      <c r="N67" s="174">
        <v>0</v>
      </c>
      <c r="O67" s="178">
        <v>0</v>
      </c>
    </row>
    <row r="68" spans="1:15">
      <c r="A68" s="177">
        <v>1080</v>
      </c>
      <c r="B68" s="177">
        <v>1085</v>
      </c>
      <c r="C68" s="173">
        <v>1080000</v>
      </c>
      <c r="D68" s="174">
        <v>1320</v>
      </c>
      <c r="E68" s="174">
        <v>0</v>
      </c>
      <c r="F68" s="174">
        <v>0</v>
      </c>
      <c r="G68" s="174">
        <v>0</v>
      </c>
      <c r="H68" s="174">
        <v>0</v>
      </c>
      <c r="I68" s="175">
        <v>0</v>
      </c>
      <c r="J68" s="174">
        <v>0</v>
      </c>
      <c r="K68" s="174">
        <v>0</v>
      </c>
      <c r="L68" s="174">
        <v>0</v>
      </c>
      <c r="M68" s="174">
        <v>0</v>
      </c>
      <c r="N68" s="174">
        <v>0</v>
      </c>
      <c r="O68" s="178">
        <v>0</v>
      </c>
    </row>
    <row r="69" spans="1:15">
      <c r="A69" s="177">
        <v>1085</v>
      </c>
      <c r="B69" s="177">
        <v>1090</v>
      </c>
      <c r="C69" s="173">
        <v>1085000</v>
      </c>
      <c r="D69" s="174">
        <v>1390</v>
      </c>
      <c r="E69" s="174">
        <v>0</v>
      </c>
      <c r="F69" s="174">
        <v>0</v>
      </c>
      <c r="G69" s="174">
        <v>0</v>
      </c>
      <c r="H69" s="174">
        <v>0</v>
      </c>
      <c r="I69" s="175">
        <v>0</v>
      </c>
      <c r="J69" s="174">
        <v>0</v>
      </c>
      <c r="K69" s="174">
        <v>0</v>
      </c>
      <c r="L69" s="174">
        <v>0</v>
      </c>
      <c r="M69" s="174">
        <v>0</v>
      </c>
      <c r="N69" s="174">
        <v>0</v>
      </c>
      <c r="O69" s="178">
        <v>0</v>
      </c>
    </row>
    <row r="70" spans="1:15">
      <c r="A70" s="177">
        <v>1090</v>
      </c>
      <c r="B70" s="177">
        <v>1095</v>
      </c>
      <c r="C70" s="173">
        <v>1090000</v>
      </c>
      <c r="D70" s="174">
        <v>1460</v>
      </c>
      <c r="E70" s="174">
        <v>0</v>
      </c>
      <c r="F70" s="174">
        <v>0</v>
      </c>
      <c r="G70" s="174">
        <v>0</v>
      </c>
      <c r="H70" s="174">
        <v>0</v>
      </c>
      <c r="I70" s="175">
        <v>0</v>
      </c>
      <c r="J70" s="174">
        <v>0</v>
      </c>
      <c r="K70" s="174">
        <v>0</v>
      </c>
      <c r="L70" s="174">
        <v>0</v>
      </c>
      <c r="M70" s="174">
        <v>0</v>
      </c>
      <c r="N70" s="174">
        <v>0</v>
      </c>
      <c r="O70" s="178">
        <v>0</v>
      </c>
    </row>
    <row r="71" spans="1:15">
      <c r="A71" s="177">
        <v>1095</v>
      </c>
      <c r="B71" s="177">
        <v>1100</v>
      </c>
      <c r="C71" s="173">
        <v>1095000</v>
      </c>
      <c r="D71" s="174">
        <v>1530</v>
      </c>
      <c r="E71" s="174">
        <v>0</v>
      </c>
      <c r="F71" s="174">
        <v>0</v>
      </c>
      <c r="G71" s="174">
        <v>0</v>
      </c>
      <c r="H71" s="174">
        <v>0</v>
      </c>
      <c r="I71" s="175">
        <v>0</v>
      </c>
      <c r="J71" s="174">
        <v>0</v>
      </c>
      <c r="K71" s="174">
        <v>0</v>
      </c>
      <c r="L71" s="174">
        <v>0</v>
      </c>
      <c r="M71" s="174">
        <v>0</v>
      </c>
      <c r="N71" s="174">
        <v>0</v>
      </c>
      <c r="O71" s="178">
        <v>0</v>
      </c>
    </row>
    <row r="72" spans="1:15">
      <c r="A72" s="177">
        <v>1100</v>
      </c>
      <c r="B72" s="177">
        <v>1105</v>
      </c>
      <c r="C72" s="173">
        <v>1100000</v>
      </c>
      <c r="D72" s="174">
        <v>1600</v>
      </c>
      <c r="E72" s="174">
        <v>0</v>
      </c>
      <c r="F72" s="174">
        <v>0</v>
      </c>
      <c r="G72" s="174">
        <v>0</v>
      </c>
      <c r="H72" s="174">
        <v>0</v>
      </c>
      <c r="I72" s="175">
        <v>0</v>
      </c>
      <c r="J72" s="174">
        <v>0</v>
      </c>
      <c r="K72" s="174">
        <v>0</v>
      </c>
      <c r="L72" s="174">
        <v>0</v>
      </c>
      <c r="M72" s="174">
        <v>0</v>
      </c>
      <c r="N72" s="174">
        <v>0</v>
      </c>
      <c r="O72" s="178">
        <v>0</v>
      </c>
    </row>
    <row r="73" spans="1:15">
      <c r="A73" s="177">
        <v>1105</v>
      </c>
      <c r="B73" s="177">
        <v>1110</v>
      </c>
      <c r="C73" s="173">
        <v>1105000</v>
      </c>
      <c r="D73" s="174">
        <v>1670</v>
      </c>
      <c r="E73" s="174">
        <v>0</v>
      </c>
      <c r="F73" s="174">
        <v>0</v>
      </c>
      <c r="G73" s="174">
        <v>0</v>
      </c>
      <c r="H73" s="174">
        <v>0</v>
      </c>
      <c r="I73" s="175">
        <v>0</v>
      </c>
      <c r="J73" s="174">
        <v>0</v>
      </c>
      <c r="K73" s="174">
        <v>0</v>
      </c>
      <c r="L73" s="174">
        <v>0</v>
      </c>
      <c r="M73" s="174">
        <v>0</v>
      </c>
      <c r="N73" s="174">
        <v>0</v>
      </c>
      <c r="O73" s="178">
        <v>0</v>
      </c>
    </row>
    <row r="74" spans="1:15">
      <c r="A74" s="177">
        <v>1110</v>
      </c>
      <c r="B74" s="177">
        <v>1115</v>
      </c>
      <c r="C74" s="173">
        <v>1110000</v>
      </c>
      <c r="D74" s="174">
        <v>1740</v>
      </c>
      <c r="E74" s="174">
        <v>0</v>
      </c>
      <c r="F74" s="174">
        <v>0</v>
      </c>
      <c r="G74" s="174">
        <v>0</v>
      </c>
      <c r="H74" s="174">
        <v>0</v>
      </c>
      <c r="I74" s="175">
        <v>0</v>
      </c>
      <c r="J74" s="174">
        <v>0</v>
      </c>
      <c r="K74" s="174">
        <v>0</v>
      </c>
      <c r="L74" s="174">
        <v>0</v>
      </c>
      <c r="M74" s="174">
        <v>0</v>
      </c>
      <c r="N74" s="174">
        <v>0</v>
      </c>
      <c r="O74" s="178">
        <v>0</v>
      </c>
    </row>
    <row r="75" spans="1:15">
      <c r="A75" s="177">
        <v>1115</v>
      </c>
      <c r="B75" s="177">
        <v>1120</v>
      </c>
      <c r="C75" s="173">
        <v>1115000</v>
      </c>
      <c r="D75" s="174">
        <v>1810</v>
      </c>
      <c r="E75" s="174">
        <v>0</v>
      </c>
      <c r="F75" s="174">
        <v>0</v>
      </c>
      <c r="G75" s="174">
        <v>0</v>
      </c>
      <c r="H75" s="174">
        <v>0</v>
      </c>
      <c r="I75" s="175">
        <v>0</v>
      </c>
      <c r="J75" s="174">
        <v>0</v>
      </c>
      <c r="K75" s="174">
        <v>0</v>
      </c>
      <c r="L75" s="174">
        <v>0</v>
      </c>
      <c r="M75" s="174">
        <v>0</v>
      </c>
      <c r="N75" s="174">
        <v>0</v>
      </c>
      <c r="O75" s="178">
        <v>0</v>
      </c>
    </row>
    <row r="76" spans="1:15">
      <c r="A76" s="177">
        <v>1120</v>
      </c>
      <c r="B76" s="177">
        <v>1125</v>
      </c>
      <c r="C76" s="173">
        <v>1120000</v>
      </c>
      <c r="D76" s="174">
        <v>1880</v>
      </c>
      <c r="E76" s="174">
        <v>0</v>
      </c>
      <c r="F76" s="174">
        <v>0</v>
      </c>
      <c r="G76" s="174">
        <v>0</v>
      </c>
      <c r="H76" s="174">
        <v>0</v>
      </c>
      <c r="I76" s="175">
        <v>0</v>
      </c>
      <c r="J76" s="174">
        <v>0</v>
      </c>
      <c r="K76" s="174">
        <v>0</v>
      </c>
      <c r="L76" s="174">
        <v>0</v>
      </c>
      <c r="M76" s="174">
        <v>0</v>
      </c>
      <c r="N76" s="174">
        <v>0</v>
      </c>
      <c r="O76" s="178">
        <v>0</v>
      </c>
    </row>
    <row r="77" spans="1:15">
      <c r="A77" s="177">
        <v>1125</v>
      </c>
      <c r="B77" s="177">
        <v>1130</v>
      </c>
      <c r="C77" s="173">
        <v>1125000</v>
      </c>
      <c r="D77" s="174">
        <v>1950</v>
      </c>
      <c r="E77" s="174">
        <v>0</v>
      </c>
      <c r="F77" s="174">
        <v>0</v>
      </c>
      <c r="G77" s="174">
        <v>0</v>
      </c>
      <c r="H77" s="174">
        <v>0</v>
      </c>
      <c r="I77" s="175">
        <v>0</v>
      </c>
      <c r="J77" s="174">
        <v>0</v>
      </c>
      <c r="K77" s="174">
        <v>0</v>
      </c>
      <c r="L77" s="174">
        <v>0</v>
      </c>
      <c r="M77" s="174">
        <v>0</v>
      </c>
      <c r="N77" s="174">
        <v>0</v>
      </c>
      <c r="O77" s="178">
        <v>0</v>
      </c>
    </row>
    <row r="78" spans="1:15">
      <c r="A78" s="177">
        <v>1130</v>
      </c>
      <c r="B78" s="177">
        <v>1135</v>
      </c>
      <c r="C78" s="173">
        <v>1130000</v>
      </c>
      <c r="D78" s="174">
        <v>2020</v>
      </c>
      <c r="E78" s="174">
        <v>0</v>
      </c>
      <c r="F78" s="174">
        <v>0</v>
      </c>
      <c r="G78" s="174">
        <v>0</v>
      </c>
      <c r="H78" s="174">
        <v>0</v>
      </c>
      <c r="I78" s="175">
        <v>0</v>
      </c>
      <c r="J78" s="174">
        <v>0</v>
      </c>
      <c r="K78" s="174">
        <v>0</v>
      </c>
      <c r="L78" s="174">
        <v>0</v>
      </c>
      <c r="M78" s="174">
        <v>0</v>
      </c>
      <c r="N78" s="174">
        <v>0</v>
      </c>
      <c r="O78" s="178">
        <v>0</v>
      </c>
    </row>
    <row r="79" spans="1:15">
      <c r="A79" s="177">
        <v>1135</v>
      </c>
      <c r="B79" s="177">
        <v>1140</v>
      </c>
      <c r="C79" s="173">
        <v>1135000</v>
      </c>
      <c r="D79" s="174">
        <v>2090</v>
      </c>
      <c r="E79" s="174">
        <v>0</v>
      </c>
      <c r="F79" s="174">
        <v>0</v>
      </c>
      <c r="G79" s="174">
        <v>0</v>
      </c>
      <c r="H79" s="174">
        <v>0</v>
      </c>
      <c r="I79" s="175">
        <v>0</v>
      </c>
      <c r="J79" s="174">
        <v>0</v>
      </c>
      <c r="K79" s="174">
        <v>0</v>
      </c>
      <c r="L79" s="174">
        <v>0</v>
      </c>
      <c r="M79" s="174">
        <v>0</v>
      </c>
      <c r="N79" s="174">
        <v>0</v>
      </c>
      <c r="O79" s="178">
        <v>0</v>
      </c>
    </row>
    <row r="80" spans="1:15">
      <c r="A80" s="177">
        <v>1140</v>
      </c>
      <c r="B80" s="177">
        <v>1145</v>
      </c>
      <c r="C80" s="173">
        <v>1140000</v>
      </c>
      <c r="D80" s="174">
        <v>2160</v>
      </c>
      <c r="E80" s="174">
        <v>0</v>
      </c>
      <c r="F80" s="174">
        <v>0</v>
      </c>
      <c r="G80" s="174">
        <v>0</v>
      </c>
      <c r="H80" s="174">
        <v>0</v>
      </c>
      <c r="I80" s="175">
        <v>0</v>
      </c>
      <c r="J80" s="174">
        <v>0</v>
      </c>
      <c r="K80" s="174">
        <v>0</v>
      </c>
      <c r="L80" s="174">
        <v>0</v>
      </c>
      <c r="M80" s="174">
        <v>0</v>
      </c>
      <c r="N80" s="174">
        <v>0</v>
      </c>
      <c r="O80" s="178">
        <v>0</v>
      </c>
    </row>
    <row r="81" spans="1:15">
      <c r="A81" s="177">
        <v>1145</v>
      </c>
      <c r="B81" s="177">
        <v>1150</v>
      </c>
      <c r="C81" s="173">
        <v>1145000</v>
      </c>
      <c r="D81" s="174">
        <v>2230</v>
      </c>
      <c r="E81" s="174">
        <v>0</v>
      </c>
      <c r="F81" s="174">
        <v>0</v>
      </c>
      <c r="G81" s="174">
        <v>0</v>
      </c>
      <c r="H81" s="174">
        <v>0</v>
      </c>
      <c r="I81" s="175">
        <v>0</v>
      </c>
      <c r="J81" s="174">
        <v>0</v>
      </c>
      <c r="K81" s="174">
        <v>0</v>
      </c>
      <c r="L81" s="174">
        <v>0</v>
      </c>
      <c r="M81" s="174">
        <v>0</v>
      </c>
      <c r="N81" s="174">
        <v>0</v>
      </c>
      <c r="O81" s="178">
        <v>0</v>
      </c>
    </row>
    <row r="82" spans="1:15">
      <c r="A82" s="177">
        <v>1150</v>
      </c>
      <c r="B82" s="177">
        <v>1155</v>
      </c>
      <c r="C82" s="173">
        <v>1150000</v>
      </c>
      <c r="D82" s="174">
        <v>2300</v>
      </c>
      <c r="E82" s="174">
        <v>0</v>
      </c>
      <c r="F82" s="174">
        <v>0</v>
      </c>
      <c r="G82" s="174">
        <v>0</v>
      </c>
      <c r="H82" s="174">
        <v>0</v>
      </c>
      <c r="I82" s="175">
        <v>0</v>
      </c>
      <c r="J82" s="174">
        <v>0</v>
      </c>
      <c r="K82" s="174">
        <v>0</v>
      </c>
      <c r="L82" s="174">
        <v>0</v>
      </c>
      <c r="M82" s="174">
        <v>0</v>
      </c>
      <c r="N82" s="174">
        <v>0</v>
      </c>
      <c r="O82" s="178">
        <v>0</v>
      </c>
    </row>
    <row r="83" spans="1:15">
      <c r="A83" s="177">
        <v>1155</v>
      </c>
      <c r="B83" s="177">
        <v>1160</v>
      </c>
      <c r="C83" s="173">
        <v>1155000</v>
      </c>
      <c r="D83" s="174">
        <v>2370</v>
      </c>
      <c r="E83" s="174">
        <v>0</v>
      </c>
      <c r="F83" s="174">
        <v>0</v>
      </c>
      <c r="G83" s="174">
        <v>0</v>
      </c>
      <c r="H83" s="174">
        <v>0</v>
      </c>
      <c r="I83" s="175">
        <v>0</v>
      </c>
      <c r="J83" s="174">
        <v>0</v>
      </c>
      <c r="K83" s="174">
        <v>0</v>
      </c>
      <c r="L83" s="174">
        <v>0</v>
      </c>
      <c r="M83" s="174">
        <v>0</v>
      </c>
      <c r="N83" s="174">
        <v>0</v>
      </c>
      <c r="O83" s="178">
        <v>0</v>
      </c>
    </row>
    <row r="84" spans="1:15">
      <c r="A84" s="177">
        <v>1160</v>
      </c>
      <c r="B84" s="177">
        <v>1165</v>
      </c>
      <c r="C84" s="173">
        <v>1160000</v>
      </c>
      <c r="D84" s="174">
        <v>2440</v>
      </c>
      <c r="E84" s="174">
        <v>0</v>
      </c>
      <c r="F84" s="174">
        <v>0</v>
      </c>
      <c r="G84" s="174">
        <v>0</v>
      </c>
      <c r="H84" s="174">
        <v>0</v>
      </c>
      <c r="I84" s="175">
        <v>0</v>
      </c>
      <c r="J84" s="174">
        <v>0</v>
      </c>
      <c r="K84" s="174">
        <v>0</v>
      </c>
      <c r="L84" s="174">
        <v>0</v>
      </c>
      <c r="M84" s="174">
        <v>0</v>
      </c>
      <c r="N84" s="174">
        <v>0</v>
      </c>
      <c r="O84" s="178">
        <v>0</v>
      </c>
    </row>
    <row r="85" spans="1:15">
      <c r="A85" s="177">
        <v>1165</v>
      </c>
      <c r="B85" s="177">
        <v>1170</v>
      </c>
      <c r="C85" s="173">
        <v>1165000</v>
      </c>
      <c r="D85" s="174">
        <v>2500</v>
      </c>
      <c r="E85" s="174">
        <v>0</v>
      </c>
      <c r="F85" s="174">
        <v>0</v>
      </c>
      <c r="G85" s="174">
        <v>0</v>
      </c>
      <c r="H85" s="174">
        <v>0</v>
      </c>
      <c r="I85" s="175">
        <v>0</v>
      </c>
      <c r="J85" s="174">
        <v>0</v>
      </c>
      <c r="K85" s="174">
        <v>0</v>
      </c>
      <c r="L85" s="174">
        <v>0</v>
      </c>
      <c r="M85" s="174">
        <v>0</v>
      </c>
      <c r="N85" s="174">
        <v>0</v>
      </c>
      <c r="O85" s="178">
        <v>0</v>
      </c>
    </row>
    <row r="86" spans="1:15">
      <c r="A86" s="177">
        <v>1170</v>
      </c>
      <c r="B86" s="177">
        <v>1175</v>
      </c>
      <c r="C86" s="173">
        <v>1170000</v>
      </c>
      <c r="D86" s="174">
        <v>2570</v>
      </c>
      <c r="E86" s="174">
        <v>0</v>
      </c>
      <c r="F86" s="174">
        <v>0</v>
      </c>
      <c r="G86" s="174">
        <v>0</v>
      </c>
      <c r="H86" s="174">
        <v>0</v>
      </c>
      <c r="I86" s="175">
        <v>0</v>
      </c>
      <c r="J86" s="174">
        <v>0</v>
      </c>
      <c r="K86" s="174">
        <v>0</v>
      </c>
      <c r="L86" s="174">
        <v>0</v>
      </c>
      <c r="M86" s="174">
        <v>0</v>
      </c>
      <c r="N86" s="174">
        <v>0</v>
      </c>
      <c r="O86" s="178">
        <v>0</v>
      </c>
    </row>
    <row r="87" spans="1:15">
      <c r="A87" s="177">
        <v>1175</v>
      </c>
      <c r="B87" s="177">
        <v>1180</v>
      </c>
      <c r="C87" s="173">
        <v>1175000</v>
      </c>
      <c r="D87" s="174">
        <v>2640</v>
      </c>
      <c r="E87" s="174">
        <v>0</v>
      </c>
      <c r="F87" s="174">
        <v>0</v>
      </c>
      <c r="G87" s="174">
        <v>0</v>
      </c>
      <c r="H87" s="174">
        <v>0</v>
      </c>
      <c r="I87" s="175">
        <v>0</v>
      </c>
      <c r="J87" s="174">
        <v>0</v>
      </c>
      <c r="K87" s="174">
        <v>0</v>
      </c>
      <c r="L87" s="174">
        <v>0</v>
      </c>
      <c r="M87" s="174">
        <v>0</v>
      </c>
      <c r="N87" s="174">
        <v>0</v>
      </c>
      <c r="O87" s="178">
        <v>0</v>
      </c>
    </row>
    <row r="88" spans="1:15">
      <c r="A88" s="177">
        <v>1180</v>
      </c>
      <c r="B88" s="177">
        <v>1185</v>
      </c>
      <c r="C88" s="173">
        <v>1180000</v>
      </c>
      <c r="D88" s="174">
        <v>2710</v>
      </c>
      <c r="E88" s="174">
        <v>0</v>
      </c>
      <c r="F88" s="174">
        <v>0</v>
      </c>
      <c r="G88" s="174">
        <v>0</v>
      </c>
      <c r="H88" s="174">
        <v>0</v>
      </c>
      <c r="I88" s="175">
        <v>0</v>
      </c>
      <c r="J88" s="174">
        <v>0</v>
      </c>
      <c r="K88" s="174">
        <v>0</v>
      </c>
      <c r="L88" s="174">
        <v>0</v>
      </c>
      <c r="M88" s="174">
        <v>0</v>
      </c>
      <c r="N88" s="174">
        <v>0</v>
      </c>
      <c r="O88" s="178">
        <v>0</v>
      </c>
    </row>
    <row r="89" spans="1:15">
      <c r="A89" s="177">
        <v>1185</v>
      </c>
      <c r="B89" s="177">
        <v>1190</v>
      </c>
      <c r="C89" s="173">
        <v>1185000</v>
      </c>
      <c r="D89" s="174">
        <v>2780</v>
      </c>
      <c r="E89" s="174">
        <v>0</v>
      </c>
      <c r="F89" s="174">
        <v>0</v>
      </c>
      <c r="G89" s="174">
        <v>0</v>
      </c>
      <c r="H89" s="174">
        <v>0</v>
      </c>
      <c r="I89" s="175">
        <v>0</v>
      </c>
      <c r="J89" s="174">
        <v>0</v>
      </c>
      <c r="K89" s="174">
        <v>0</v>
      </c>
      <c r="L89" s="174">
        <v>0</v>
      </c>
      <c r="M89" s="174">
        <v>0</v>
      </c>
      <c r="N89" s="174">
        <v>0</v>
      </c>
      <c r="O89" s="178">
        <v>0</v>
      </c>
    </row>
    <row r="90" spans="1:15">
      <c r="A90" s="177">
        <v>1190</v>
      </c>
      <c r="B90" s="177">
        <v>1195</v>
      </c>
      <c r="C90" s="173">
        <v>1190000</v>
      </c>
      <c r="D90" s="174">
        <v>2850</v>
      </c>
      <c r="E90" s="174">
        <v>0</v>
      </c>
      <c r="F90" s="174">
        <v>0</v>
      </c>
      <c r="G90" s="174">
        <v>0</v>
      </c>
      <c r="H90" s="174">
        <v>0</v>
      </c>
      <c r="I90" s="175">
        <v>0</v>
      </c>
      <c r="J90" s="174">
        <v>0</v>
      </c>
      <c r="K90" s="174">
        <v>0</v>
      </c>
      <c r="L90" s="174">
        <v>0</v>
      </c>
      <c r="M90" s="174">
        <v>0</v>
      </c>
      <c r="N90" s="174">
        <v>0</v>
      </c>
      <c r="O90" s="178">
        <v>0</v>
      </c>
    </row>
    <row r="91" spans="1:15">
      <c r="A91" s="177">
        <v>1195</v>
      </c>
      <c r="B91" s="177">
        <v>1200</v>
      </c>
      <c r="C91" s="173">
        <v>1195000</v>
      </c>
      <c r="D91" s="174">
        <v>2920</v>
      </c>
      <c r="E91" s="174">
        <v>0</v>
      </c>
      <c r="F91" s="174">
        <v>0</v>
      </c>
      <c r="G91" s="174">
        <v>0</v>
      </c>
      <c r="H91" s="174">
        <v>0</v>
      </c>
      <c r="I91" s="175">
        <v>0</v>
      </c>
      <c r="J91" s="174">
        <v>0</v>
      </c>
      <c r="K91" s="174">
        <v>0</v>
      </c>
      <c r="L91" s="174">
        <v>0</v>
      </c>
      <c r="M91" s="174">
        <v>0</v>
      </c>
      <c r="N91" s="174">
        <v>0</v>
      </c>
      <c r="O91" s="178">
        <v>0</v>
      </c>
    </row>
    <row r="92" spans="1:15">
      <c r="A92" s="177">
        <v>1200</v>
      </c>
      <c r="B92" s="177">
        <v>1205</v>
      </c>
      <c r="C92" s="173">
        <v>1200000</v>
      </c>
      <c r="D92" s="174">
        <v>2990</v>
      </c>
      <c r="E92" s="174">
        <v>0</v>
      </c>
      <c r="F92" s="174">
        <v>0</v>
      </c>
      <c r="G92" s="174">
        <v>0</v>
      </c>
      <c r="H92" s="174">
        <v>0</v>
      </c>
      <c r="I92" s="175">
        <v>0</v>
      </c>
      <c r="J92" s="174">
        <v>0</v>
      </c>
      <c r="K92" s="174">
        <v>0</v>
      </c>
      <c r="L92" s="174">
        <v>0</v>
      </c>
      <c r="M92" s="174">
        <v>0</v>
      </c>
      <c r="N92" s="174">
        <v>0</v>
      </c>
      <c r="O92" s="178">
        <v>0</v>
      </c>
    </row>
    <row r="93" spans="1:15">
      <c r="A93" s="177">
        <v>1205</v>
      </c>
      <c r="B93" s="177">
        <v>1210</v>
      </c>
      <c r="C93" s="173">
        <v>1205000</v>
      </c>
      <c r="D93" s="174">
        <v>3060</v>
      </c>
      <c r="E93" s="174">
        <v>0</v>
      </c>
      <c r="F93" s="174">
        <v>0</v>
      </c>
      <c r="G93" s="174">
        <v>0</v>
      </c>
      <c r="H93" s="174">
        <v>0</v>
      </c>
      <c r="I93" s="175">
        <v>0</v>
      </c>
      <c r="J93" s="174">
        <v>0</v>
      </c>
      <c r="K93" s="174">
        <v>0</v>
      </c>
      <c r="L93" s="174">
        <v>0</v>
      </c>
      <c r="M93" s="174">
        <v>0</v>
      </c>
      <c r="N93" s="174">
        <v>0</v>
      </c>
      <c r="O93" s="178">
        <v>0</v>
      </c>
    </row>
    <row r="94" spans="1:15">
      <c r="A94" s="177">
        <v>1210</v>
      </c>
      <c r="B94" s="177">
        <v>1215</v>
      </c>
      <c r="C94" s="173">
        <v>1210000</v>
      </c>
      <c r="D94" s="174">
        <v>3130</v>
      </c>
      <c r="E94" s="174">
        <v>0</v>
      </c>
      <c r="F94" s="174">
        <v>0</v>
      </c>
      <c r="G94" s="174">
        <v>0</v>
      </c>
      <c r="H94" s="174">
        <v>0</v>
      </c>
      <c r="I94" s="175">
        <v>0</v>
      </c>
      <c r="J94" s="174">
        <v>0</v>
      </c>
      <c r="K94" s="174">
        <v>0</v>
      </c>
      <c r="L94" s="174">
        <v>0</v>
      </c>
      <c r="M94" s="174">
        <v>0</v>
      </c>
      <c r="N94" s="174">
        <v>0</v>
      </c>
      <c r="O94" s="178">
        <v>0</v>
      </c>
    </row>
    <row r="95" spans="1:15">
      <c r="A95" s="177">
        <v>1215</v>
      </c>
      <c r="B95" s="177">
        <v>1220</v>
      </c>
      <c r="C95" s="173">
        <v>1215000</v>
      </c>
      <c r="D95" s="174">
        <v>3200</v>
      </c>
      <c r="E95" s="174">
        <v>0</v>
      </c>
      <c r="F95" s="174">
        <v>0</v>
      </c>
      <c r="G95" s="174">
        <v>0</v>
      </c>
      <c r="H95" s="174">
        <v>0</v>
      </c>
      <c r="I95" s="175">
        <v>0</v>
      </c>
      <c r="J95" s="174">
        <v>0</v>
      </c>
      <c r="K95" s="174">
        <v>0</v>
      </c>
      <c r="L95" s="174">
        <v>0</v>
      </c>
      <c r="M95" s="174">
        <v>0</v>
      </c>
      <c r="N95" s="174">
        <v>0</v>
      </c>
      <c r="O95" s="178">
        <v>0</v>
      </c>
    </row>
    <row r="96" spans="1:15">
      <c r="A96" s="177">
        <v>1220</v>
      </c>
      <c r="B96" s="177">
        <v>1225</v>
      </c>
      <c r="C96" s="173">
        <v>1220000</v>
      </c>
      <c r="D96" s="174">
        <v>3270</v>
      </c>
      <c r="E96" s="174">
        <v>0</v>
      </c>
      <c r="F96" s="174">
        <v>0</v>
      </c>
      <c r="G96" s="174">
        <v>0</v>
      </c>
      <c r="H96" s="174">
        <v>0</v>
      </c>
      <c r="I96" s="175">
        <v>0</v>
      </c>
      <c r="J96" s="174">
        <v>0</v>
      </c>
      <c r="K96" s="174">
        <v>0</v>
      </c>
      <c r="L96" s="174">
        <v>0</v>
      </c>
      <c r="M96" s="174">
        <v>0</v>
      </c>
      <c r="N96" s="174">
        <v>0</v>
      </c>
      <c r="O96" s="178">
        <v>0</v>
      </c>
    </row>
    <row r="97" spans="1:15">
      <c r="A97" s="177">
        <v>1225</v>
      </c>
      <c r="B97" s="177">
        <v>1230</v>
      </c>
      <c r="C97" s="173">
        <v>1225000</v>
      </c>
      <c r="D97" s="174">
        <v>3340</v>
      </c>
      <c r="E97" s="174">
        <v>0</v>
      </c>
      <c r="F97" s="174">
        <v>0</v>
      </c>
      <c r="G97" s="174">
        <v>0</v>
      </c>
      <c r="H97" s="174">
        <v>0</v>
      </c>
      <c r="I97" s="175">
        <v>0</v>
      </c>
      <c r="J97" s="174">
        <v>0</v>
      </c>
      <c r="K97" s="174">
        <v>0</v>
      </c>
      <c r="L97" s="174">
        <v>0</v>
      </c>
      <c r="M97" s="174">
        <v>0</v>
      </c>
      <c r="N97" s="174">
        <v>0</v>
      </c>
      <c r="O97" s="178">
        <v>0</v>
      </c>
    </row>
    <row r="98" spans="1:15">
      <c r="A98" s="177">
        <v>1230</v>
      </c>
      <c r="B98" s="177">
        <v>1235</v>
      </c>
      <c r="C98" s="173">
        <v>1230000</v>
      </c>
      <c r="D98" s="174">
        <v>3410</v>
      </c>
      <c r="E98" s="174">
        <v>0</v>
      </c>
      <c r="F98" s="174">
        <v>0</v>
      </c>
      <c r="G98" s="174">
        <v>0</v>
      </c>
      <c r="H98" s="174">
        <v>0</v>
      </c>
      <c r="I98" s="175">
        <v>0</v>
      </c>
      <c r="J98" s="174">
        <v>0</v>
      </c>
      <c r="K98" s="174">
        <v>0</v>
      </c>
      <c r="L98" s="174">
        <v>0</v>
      </c>
      <c r="M98" s="174">
        <v>0</v>
      </c>
      <c r="N98" s="174">
        <v>0</v>
      </c>
      <c r="O98" s="178">
        <v>0</v>
      </c>
    </row>
    <row r="99" spans="1:15">
      <c r="A99" s="177">
        <v>1235</v>
      </c>
      <c r="B99" s="177">
        <v>1240</v>
      </c>
      <c r="C99" s="173">
        <v>1235000</v>
      </c>
      <c r="D99" s="174">
        <v>3480</v>
      </c>
      <c r="E99" s="174">
        <v>0</v>
      </c>
      <c r="F99" s="174">
        <v>0</v>
      </c>
      <c r="G99" s="174">
        <v>0</v>
      </c>
      <c r="H99" s="174">
        <v>0</v>
      </c>
      <c r="I99" s="175">
        <v>0</v>
      </c>
      <c r="J99" s="174">
        <v>0</v>
      </c>
      <c r="K99" s="174">
        <v>0</v>
      </c>
      <c r="L99" s="174">
        <v>0</v>
      </c>
      <c r="M99" s="174">
        <v>0</v>
      </c>
      <c r="N99" s="174">
        <v>0</v>
      </c>
      <c r="O99" s="178">
        <v>0</v>
      </c>
    </row>
    <row r="100" spans="1:15">
      <c r="A100" s="177">
        <v>1240</v>
      </c>
      <c r="B100" s="177">
        <v>1245</v>
      </c>
      <c r="C100" s="173">
        <v>1240000</v>
      </c>
      <c r="D100" s="174">
        <v>3550</v>
      </c>
      <c r="E100" s="174">
        <v>0</v>
      </c>
      <c r="F100" s="174">
        <v>0</v>
      </c>
      <c r="G100" s="174">
        <v>0</v>
      </c>
      <c r="H100" s="174">
        <v>0</v>
      </c>
      <c r="I100" s="175">
        <v>0</v>
      </c>
      <c r="J100" s="174">
        <v>0</v>
      </c>
      <c r="K100" s="174">
        <v>0</v>
      </c>
      <c r="L100" s="174">
        <v>0</v>
      </c>
      <c r="M100" s="174">
        <v>0</v>
      </c>
      <c r="N100" s="174">
        <v>0</v>
      </c>
      <c r="O100" s="178">
        <v>0</v>
      </c>
    </row>
    <row r="101" spans="1:15">
      <c r="A101" s="177">
        <v>1245</v>
      </c>
      <c r="B101" s="177">
        <v>1250</v>
      </c>
      <c r="C101" s="173">
        <v>1245000</v>
      </c>
      <c r="D101" s="174">
        <v>3620</v>
      </c>
      <c r="E101" s="174">
        <v>0</v>
      </c>
      <c r="F101" s="174">
        <v>0</v>
      </c>
      <c r="G101" s="174">
        <v>0</v>
      </c>
      <c r="H101" s="174">
        <v>0</v>
      </c>
      <c r="I101" s="175">
        <v>0</v>
      </c>
      <c r="J101" s="174">
        <v>0</v>
      </c>
      <c r="K101" s="174">
        <v>0</v>
      </c>
      <c r="L101" s="174">
        <v>0</v>
      </c>
      <c r="M101" s="174">
        <v>0</v>
      </c>
      <c r="N101" s="174">
        <v>0</v>
      </c>
      <c r="O101" s="178">
        <v>0</v>
      </c>
    </row>
    <row r="102" spans="1:15">
      <c r="A102" s="177">
        <v>1250</v>
      </c>
      <c r="B102" s="177">
        <v>1255</v>
      </c>
      <c r="C102" s="173">
        <v>1250000</v>
      </c>
      <c r="D102" s="174">
        <v>3700</v>
      </c>
      <c r="E102" s="174">
        <v>0</v>
      </c>
      <c r="F102" s="174">
        <v>0</v>
      </c>
      <c r="G102" s="174">
        <v>0</v>
      </c>
      <c r="H102" s="174">
        <v>0</v>
      </c>
      <c r="I102" s="175">
        <v>0</v>
      </c>
      <c r="J102" s="174">
        <v>0</v>
      </c>
      <c r="K102" s="174">
        <v>0</v>
      </c>
      <c r="L102" s="174">
        <v>0</v>
      </c>
      <c r="M102" s="174">
        <v>0</v>
      </c>
      <c r="N102" s="174">
        <v>0</v>
      </c>
      <c r="O102" s="178">
        <v>0</v>
      </c>
    </row>
    <row r="103" spans="1:15">
      <c r="A103" s="177">
        <v>1255</v>
      </c>
      <c r="B103" s="177">
        <v>1260</v>
      </c>
      <c r="C103" s="173">
        <v>1255000</v>
      </c>
      <c r="D103" s="174">
        <v>3810</v>
      </c>
      <c r="E103" s="174">
        <v>0</v>
      </c>
      <c r="F103" s="174">
        <v>0</v>
      </c>
      <c r="G103" s="174">
        <v>0</v>
      </c>
      <c r="H103" s="174">
        <v>0</v>
      </c>
      <c r="I103" s="175">
        <v>0</v>
      </c>
      <c r="J103" s="174">
        <v>0</v>
      </c>
      <c r="K103" s="174">
        <v>0</v>
      </c>
      <c r="L103" s="174">
        <v>0</v>
      </c>
      <c r="M103" s="174">
        <v>0</v>
      </c>
      <c r="N103" s="174">
        <v>0</v>
      </c>
      <c r="O103" s="178">
        <v>0</v>
      </c>
    </row>
    <row r="104" spans="1:15">
      <c r="A104" s="177">
        <v>1260</v>
      </c>
      <c r="B104" s="177">
        <v>1265</v>
      </c>
      <c r="C104" s="173">
        <v>1260000</v>
      </c>
      <c r="D104" s="174">
        <v>3910</v>
      </c>
      <c r="E104" s="174">
        <v>0</v>
      </c>
      <c r="F104" s="174">
        <v>0</v>
      </c>
      <c r="G104" s="174">
        <v>0</v>
      </c>
      <c r="H104" s="174">
        <v>0</v>
      </c>
      <c r="I104" s="175">
        <v>0</v>
      </c>
      <c r="J104" s="174">
        <v>0</v>
      </c>
      <c r="K104" s="174">
        <v>0</v>
      </c>
      <c r="L104" s="174">
        <v>0</v>
      </c>
      <c r="M104" s="174">
        <v>0</v>
      </c>
      <c r="N104" s="174">
        <v>0</v>
      </c>
      <c r="O104" s="178">
        <v>0</v>
      </c>
    </row>
    <row r="105" spans="1:15">
      <c r="A105" s="177">
        <v>1265</v>
      </c>
      <c r="B105" s="177">
        <v>1270</v>
      </c>
      <c r="C105" s="173">
        <v>1265000</v>
      </c>
      <c r="D105" s="174">
        <v>4010</v>
      </c>
      <c r="E105" s="174">
        <v>0</v>
      </c>
      <c r="F105" s="174">
        <v>0</v>
      </c>
      <c r="G105" s="174">
        <v>0</v>
      </c>
      <c r="H105" s="174">
        <v>0</v>
      </c>
      <c r="I105" s="175">
        <v>0</v>
      </c>
      <c r="J105" s="174">
        <v>0</v>
      </c>
      <c r="K105" s="174">
        <v>0</v>
      </c>
      <c r="L105" s="174">
        <v>0</v>
      </c>
      <c r="M105" s="174">
        <v>0</v>
      </c>
      <c r="N105" s="174">
        <v>0</v>
      </c>
      <c r="O105" s="178">
        <v>0</v>
      </c>
    </row>
    <row r="106" spans="1:15">
      <c r="A106" s="177">
        <v>1270</v>
      </c>
      <c r="B106" s="177">
        <v>1275</v>
      </c>
      <c r="C106" s="173">
        <v>1270000</v>
      </c>
      <c r="D106" s="174">
        <v>4120</v>
      </c>
      <c r="E106" s="174">
        <v>0</v>
      </c>
      <c r="F106" s="174">
        <v>0</v>
      </c>
      <c r="G106" s="174">
        <v>0</v>
      </c>
      <c r="H106" s="174">
        <v>0</v>
      </c>
      <c r="I106" s="175">
        <v>0</v>
      </c>
      <c r="J106" s="174">
        <v>0</v>
      </c>
      <c r="K106" s="174">
        <v>0</v>
      </c>
      <c r="L106" s="174">
        <v>0</v>
      </c>
      <c r="M106" s="174">
        <v>0</v>
      </c>
      <c r="N106" s="174">
        <v>0</v>
      </c>
      <c r="O106" s="178">
        <v>0</v>
      </c>
    </row>
    <row r="107" spans="1:15">
      <c r="A107" s="177">
        <v>1275</v>
      </c>
      <c r="B107" s="177">
        <v>1280</v>
      </c>
      <c r="C107" s="173">
        <v>1275000</v>
      </c>
      <c r="D107" s="174">
        <v>4220</v>
      </c>
      <c r="E107" s="174">
        <v>0</v>
      </c>
      <c r="F107" s="174">
        <v>0</v>
      </c>
      <c r="G107" s="174">
        <v>0</v>
      </c>
      <c r="H107" s="174">
        <v>0</v>
      </c>
      <c r="I107" s="175">
        <v>0</v>
      </c>
      <c r="J107" s="174">
        <v>0</v>
      </c>
      <c r="K107" s="174">
        <v>0</v>
      </c>
      <c r="L107" s="174">
        <v>0</v>
      </c>
      <c r="M107" s="174">
        <v>0</v>
      </c>
      <c r="N107" s="174">
        <v>0</v>
      </c>
      <c r="O107" s="178">
        <v>0</v>
      </c>
    </row>
    <row r="108" spans="1:15">
      <c r="A108" s="177">
        <v>1280</v>
      </c>
      <c r="B108" s="177">
        <v>1285</v>
      </c>
      <c r="C108" s="173">
        <v>1280000</v>
      </c>
      <c r="D108" s="174">
        <v>4320</v>
      </c>
      <c r="E108" s="174">
        <v>0</v>
      </c>
      <c r="F108" s="174">
        <v>0</v>
      </c>
      <c r="G108" s="174">
        <v>0</v>
      </c>
      <c r="H108" s="174">
        <v>0</v>
      </c>
      <c r="I108" s="175">
        <v>0</v>
      </c>
      <c r="J108" s="174">
        <v>0</v>
      </c>
      <c r="K108" s="174">
        <v>0</v>
      </c>
      <c r="L108" s="174">
        <v>0</v>
      </c>
      <c r="M108" s="174">
        <v>0</v>
      </c>
      <c r="N108" s="174">
        <v>0</v>
      </c>
      <c r="O108" s="178">
        <v>0</v>
      </c>
    </row>
    <row r="109" spans="1:15">
      <c r="A109" s="177">
        <v>1285</v>
      </c>
      <c r="B109" s="177">
        <v>1290</v>
      </c>
      <c r="C109" s="173">
        <v>1285000</v>
      </c>
      <c r="D109" s="174">
        <v>4430</v>
      </c>
      <c r="E109" s="174">
        <v>0</v>
      </c>
      <c r="F109" s="174">
        <v>0</v>
      </c>
      <c r="G109" s="174">
        <v>0</v>
      </c>
      <c r="H109" s="174">
        <v>0</v>
      </c>
      <c r="I109" s="175">
        <v>0</v>
      </c>
      <c r="J109" s="174">
        <v>0</v>
      </c>
      <c r="K109" s="174">
        <v>0</v>
      </c>
      <c r="L109" s="174">
        <v>0</v>
      </c>
      <c r="M109" s="174">
        <v>0</v>
      </c>
      <c r="N109" s="174">
        <v>0</v>
      </c>
      <c r="O109" s="178">
        <v>0</v>
      </c>
    </row>
    <row r="110" spans="1:15">
      <c r="A110" s="177">
        <v>1290</v>
      </c>
      <c r="B110" s="177">
        <v>1295</v>
      </c>
      <c r="C110" s="173">
        <v>1290000</v>
      </c>
      <c r="D110" s="174">
        <v>4530</v>
      </c>
      <c r="E110" s="174">
        <v>0</v>
      </c>
      <c r="F110" s="174">
        <v>0</v>
      </c>
      <c r="G110" s="174">
        <v>0</v>
      </c>
      <c r="H110" s="174">
        <v>0</v>
      </c>
      <c r="I110" s="175">
        <v>0</v>
      </c>
      <c r="J110" s="174">
        <v>0</v>
      </c>
      <c r="K110" s="174">
        <v>0</v>
      </c>
      <c r="L110" s="174">
        <v>0</v>
      </c>
      <c r="M110" s="174">
        <v>0</v>
      </c>
      <c r="N110" s="174">
        <v>0</v>
      </c>
      <c r="O110" s="178">
        <v>0</v>
      </c>
    </row>
    <row r="111" spans="1:15">
      <c r="A111" s="177">
        <v>1295</v>
      </c>
      <c r="B111" s="177">
        <v>1300</v>
      </c>
      <c r="C111" s="173">
        <v>1295000</v>
      </c>
      <c r="D111" s="174">
        <v>4630</v>
      </c>
      <c r="E111" s="174">
        <v>0</v>
      </c>
      <c r="F111" s="174">
        <v>0</v>
      </c>
      <c r="G111" s="174">
        <v>0</v>
      </c>
      <c r="H111" s="174">
        <v>0</v>
      </c>
      <c r="I111" s="175">
        <v>0</v>
      </c>
      <c r="J111" s="174">
        <v>0</v>
      </c>
      <c r="K111" s="174">
        <v>0</v>
      </c>
      <c r="L111" s="174">
        <v>0</v>
      </c>
      <c r="M111" s="174">
        <v>0</v>
      </c>
      <c r="N111" s="174">
        <v>0</v>
      </c>
      <c r="O111" s="178">
        <v>0</v>
      </c>
    </row>
    <row r="112" spans="1:15">
      <c r="A112" s="177">
        <v>1300</v>
      </c>
      <c r="B112" s="177">
        <v>1305</v>
      </c>
      <c r="C112" s="173">
        <v>1300000</v>
      </c>
      <c r="D112" s="174">
        <v>4740</v>
      </c>
      <c r="E112" s="174">
        <v>0</v>
      </c>
      <c r="F112" s="174">
        <v>0</v>
      </c>
      <c r="G112" s="174">
        <v>0</v>
      </c>
      <c r="H112" s="174">
        <v>0</v>
      </c>
      <c r="I112" s="175">
        <v>0</v>
      </c>
      <c r="J112" s="174">
        <v>0</v>
      </c>
      <c r="K112" s="174">
        <v>0</v>
      </c>
      <c r="L112" s="174">
        <v>0</v>
      </c>
      <c r="M112" s="174">
        <v>0</v>
      </c>
      <c r="N112" s="174">
        <v>0</v>
      </c>
      <c r="O112" s="178">
        <v>0</v>
      </c>
    </row>
    <row r="113" spans="1:15">
      <c r="A113" s="177">
        <v>1305</v>
      </c>
      <c r="B113" s="177">
        <v>1310</v>
      </c>
      <c r="C113" s="173">
        <v>1305000</v>
      </c>
      <c r="D113" s="174">
        <v>4840</v>
      </c>
      <c r="E113" s="174">
        <v>0</v>
      </c>
      <c r="F113" s="174">
        <v>0</v>
      </c>
      <c r="G113" s="174">
        <v>0</v>
      </c>
      <c r="H113" s="174">
        <v>0</v>
      </c>
      <c r="I113" s="175">
        <v>0</v>
      </c>
      <c r="J113" s="174">
        <v>0</v>
      </c>
      <c r="K113" s="174">
        <v>0</v>
      </c>
      <c r="L113" s="174">
        <v>0</v>
      </c>
      <c r="M113" s="174">
        <v>0</v>
      </c>
      <c r="N113" s="174">
        <v>0</v>
      </c>
      <c r="O113" s="178">
        <v>0</v>
      </c>
    </row>
    <row r="114" spans="1:15">
      <c r="A114" s="177">
        <v>1310</v>
      </c>
      <c r="B114" s="177">
        <v>1315</v>
      </c>
      <c r="C114" s="173">
        <v>1310000</v>
      </c>
      <c r="D114" s="174">
        <v>4940</v>
      </c>
      <c r="E114" s="174">
        <v>0</v>
      </c>
      <c r="F114" s="174">
        <v>0</v>
      </c>
      <c r="G114" s="174">
        <v>0</v>
      </c>
      <c r="H114" s="174">
        <v>0</v>
      </c>
      <c r="I114" s="175">
        <v>0</v>
      </c>
      <c r="J114" s="174">
        <v>0</v>
      </c>
      <c r="K114" s="174">
        <v>0</v>
      </c>
      <c r="L114" s="174">
        <v>0</v>
      </c>
      <c r="M114" s="174">
        <v>0</v>
      </c>
      <c r="N114" s="174">
        <v>0</v>
      </c>
      <c r="O114" s="178">
        <v>0</v>
      </c>
    </row>
    <row r="115" spans="1:15">
      <c r="A115" s="177">
        <v>1315</v>
      </c>
      <c r="B115" s="177">
        <v>1320</v>
      </c>
      <c r="C115" s="173">
        <v>1315000</v>
      </c>
      <c r="D115" s="174">
        <v>5050</v>
      </c>
      <c r="E115" s="174">
        <v>0</v>
      </c>
      <c r="F115" s="174">
        <v>0</v>
      </c>
      <c r="G115" s="174">
        <v>0</v>
      </c>
      <c r="H115" s="174">
        <v>0</v>
      </c>
      <c r="I115" s="175">
        <v>0</v>
      </c>
      <c r="J115" s="174">
        <v>0</v>
      </c>
      <c r="K115" s="174">
        <v>0</v>
      </c>
      <c r="L115" s="174">
        <v>0</v>
      </c>
      <c r="M115" s="174">
        <v>0</v>
      </c>
      <c r="N115" s="174">
        <v>0</v>
      </c>
      <c r="O115" s="178">
        <v>0</v>
      </c>
    </row>
    <row r="116" spans="1:15">
      <c r="A116" s="177">
        <v>1320</v>
      </c>
      <c r="B116" s="177">
        <v>1325</v>
      </c>
      <c r="C116" s="173">
        <v>1320000</v>
      </c>
      <c r="D116" s="174">
        <v>5150</v>
      </c>
      <c r="E116" s="174">
        <v>0</v>
      </c>
      <c r="F116" s="174">
        <v>0</v>
      </c>
      <c r="G116" s="174">
        <v>0</v>
      </c>
      <c r="H116" s="174">
        <v>0</v>
      </c>
      <c r="I116" s="175">
        <v>0</v>
      </c>
      <c r="J116" s="174">
        <v>0</v>
      </c>
      <c r="K116" s="174">
        <v>0</v>
      </c>
      <c r="L116" s="174">
        <v>0</v>
      </c>
      <c r="M116" s="174">
        <v>0</v>
      </c>
      <c r="N116" s="174">
        <v>0</v>
      </c>
      <c r="O116" s="178">
        <v>0</v>
      </c>
    </row>
    <row r="117" spans="1:15">
      <c r="A117" s="177">
        <v>1325</v>
      </c>
      <c r="B117" s="177">
        <v>1330</v>
      </c>
      <c r="C117" s="173">
        <v>1325000</v>
      </c>
      <c r="D117" s="174">
        <v>5250</v>
      </c>
      <c r="E117" s="174">
        <v>0</v>
      </c>
      <c r="F117" s="174">
        <v>0</v>
      </c>
      <c r="G117" s="174">
        <v>0</v>
      </c>
      <c r="H117" s="174">
        <v>0</v>
      </c>
      <c r="I117" s="175">
        <v>0</v>
      </c>
      <c r="J117" s="174">
        <v>0</v>
      </c>
      <c r="K117" s="174">
        <v>0</v>
      </c>
      <c r="L117" s="174">
        <v>0</v>
      </c>
      <c r="M117" s="174">
        <v>0</v>
      </c>
      <c r="N117" s="174">
        <v>0</v>
      </c>
      <c r="O117" s="178">
        <v>0</v>
      </c>
    </row>
    <row r="118" spans="1:15">
      <c r="A118" s="177">
        <v>1330</v>
      </c>
      <c r="B118" s="177">
        <v>1335</v>
      </c>
      <c r="C118" s="173">
        <v>1330000</v>
      </c>
      <c r="D118" s="174">
        <v>5360</v>
      </c>
      <c r="E118" s="174">
        <v>0</v>
      </c>
      <c r="F118" s="174">
        <v>0</v>
      </c>
      <c r="G118" s="174">
        <v>0</v>
      </c>
      <c r="H118" s="174">
        <v>0</v>
      </c>
      <c r="I118" s="175">
        <v>0</v>
      </c>
      <c r="J118" s="174">
        <v>0</v>
      </c>
      <c r="K118" s="174">
        <v>0</v>
      </c>
      <c r="L118" s="174">
        <v>0</v>
      </c>
      <c r="M118" s="174">
        <v>0</v>
      </c>
      <c r="N118" s="174">
        <v>0</v>
      </c>
      <c r="O118" s="178">
        <v>0</v>
      </c>
    </row>
    <row r="119" spans="1:15">
      <c r="A119" s="177">
        <v>1335</v>
      </c>
      <c r="B119" s="177">
        <v>1340</v>
      </c>
      <c r="C119" s="173">
        <v>1335000</v>
      </c>
      <c r="D119" s="174">
        <v>5460</v>
      </c>
      <c r="E119" s="174">
        <v>0</v>
      </c>
      <c r="F119" s="174">
        <v>0</v>
      </c>
      <c r="G119" s="174">
        <v>0</v>
      </c>
      <c r="H119" s="174">
        <v>0</v>
      </c>
      <c r="I119" s="175">
        <v>0</v>
      </c>
      <c r="J119" s="174">
        <v>0</v>
      </c>
      <c r="K119" s="174">
        <v>0</v>
      </c>
      <c r="L119" s="174">
        <v>0</v>
      </c>
      <c r="M119" s="174">
        <v>0</v>
      </c>
      <c r="N119" s="174">
        <v>0</v>
      </c>
      <c r="O119" s="178">
        <v>0</v>
      </c>
    </row>
    <row r="120" spans="1:15">
      <c r="A120" s="177">
        <v>1340</v>
      </c>
      <c r="B120" s="177">
        <v>1345</v>
      </c>
      <c r="C120" s="173">
        <v>1340000</v>
      </c>
      <c r="D120" s="174">
        <v>5560</v>
      </c>
      <c r="E120" s="174">
        <v>1060</v>
      </c>
      <c r="F120" s="174">
        <v>0</v>
      </c>
      <c r="G120" s="174">
        <v>0</v>
      </c>
      <c r="H120" s="174">
        <v>0</v>
      </c>
      <c r="I120" s="175">
        <v>0</v>
      </c>
      <c r="J120" s="174">
        <v>0</v>
      </c>
      <c r="K120" s="174">
        <v>0</v>
      </c>
      <c r="L120" s="174">
        <v>0</v>
      </c>
      <c r="M120" s="174">
        <v>0</v>
      </c>
      <c r="N120" s="174">
        <v>0</v>
      </c>
      <c r="O120" s="178">
        <v>0</v>
      </c>
    </row>
    <row r="121" spans="1:15">
      <c r="A121" s="177">
        <v>1345</v>
      </c>
      <c r="B121" s="177">
        <v>1350</v>
      </c>
      <c r="C121" s="173">
        <v>1345000</v>
      </c>
      <c r="D121" s="174">
        <v>5670</v>
      </c>
      <c r="E121" s="174">
        <v>1170</v>
      </c>
      <c r="F121" s="174">
        <v>0</v>
      </c>
      <c r="G121" s="174">
        <v>0</v>
      </c>
      <c r="H121" s="174">
        <v>0</v>
      </c>
      <c r="I121" s="175">
        <v>0</v>
      </c>
      <c r="J121" s="174">
        <v>0</v>
      </c>
      <c r="K121" s="174">
        <v>0</v>
      </c>
      <c r="L121" s="174">
        <v>0</v>
      </c>
      <c r="M121" s="174">
        <v>0</v>
      </c>
      <c r="N121" s="174">
        <v>0</v>
      </c>
      <c r="O121" s="178">
        <v>0</v>
      </c>
    </row>
    <row r="122" spans="1:15">
      <c r="A122" s="177">
        <v>1350</v>
      </c>
      <c r="B122" s="177">
        <v>1355</v>
      </c>
      <c r="C122" s="173">
        <v>1350000</v>
      </c>
      <c r="D122" s="174">
        <v>5770</v>
      </c>
      <c r="E122" s="174">
        <v>1270</v>
      </c>
      <c r="F122" s="174">
        <v>0</v>
      </c>
      <c r="G122" s="174">
        <v>0</v>
      </c>
      <c r="H122" s="174">
        <v>0</v>
      </c>
      <c r="I122" s="175">
        <v>0</v>
      </c>
      <c r="J122" s="174">
        <v>0</v>
      </c>
      <c r="K122" s="174">
        <v>0</v>
      </c>
      <c r="L122" s="174">
        <v>0</v>
      </c>
      <c r="M122" s="174">
        <v>0</v>
      </c>
      <c r="N122" s="174">
        <v>0</v>
      </c>
      <c r="O122" s="178">
        <v>0</v>
      </c>
    </row>
    <row r="123" spans="1:15">
      <c r="A123" s="177">
        <v>1355</v>
      </c>
      <c r="B123" s="177">
        <v>1360</v>
      </c>
      <c r="C123" s="173">
        <v>1355000</v>
      </c>
      <c r="D123" s="174">
        <v>5870</v>
      </c>
      <c r="E123" s="174">
        <v>1370</v>
      </c>
      <c r="F123" s="174">
        <v>0</v>
      </c>
      <c r="G123" s="174">
        <v>0</v>
      </c>
      <c r="H123" s="174">
        <v>0</v>
      </c>
      <c r="I123" s="175">
        <v>0</v>
      </c>
      <c r="J123" s="174">
        <v>0</v>
      </c>
      <c r="K123" s="174">
        <v>0</v>
      </c>
      <c r="L123" s="174">
        <v>0</v>
      </c>
      <c r="M123" s="174">
        <v>0</v>
      </c>
      <c r="N123" s="174">
        <v>0</v>
      </c>
      <c r="O123" s="178">
        <v>0</v>
      </c>
    </row>
    <row r="124" spans="1:15">
      <c r="A124" s="177">
        <v>1360</v>
      </c>
      <c r="B124" s="177">
        <v>1365</v>
      </c>
      <c r="C124" s="173">
        <v>1360000</v>
      </c>
      <c r="D124" s="174">
        <v>5980</v>
      </c>
      <c r="E124" s="174">
        <v>1480</v>
      </c>
      <c r="F124" s="174">
        <v>0</v>
      </c>
      <c r="G124" s="174">
        <v>0</v>
      </c>
      <c r="H124" s="174">
        <v>0</v>
      </c>
      <c r="I124" s="175">
        <v>0</v>
      </c>
      <c r="J124" s="174">
        <v>0</v>
      </c>
      <c r="K124" s="174">
        <v>0</v>
      </c>
      <c r="L124" s="174">
        <v>0</v>
      </c>
      <c r="M124" s="174">
        <v>0</v>
      </c>
      <c r="N124" s="174">
        <v>0</v>
      </c>
      <c r="O124" s="178">
        <v>0</v>
      </c>
    </row>
    <row r="125" spans="1:15">
      <c r="A125" s="177">
        <v>1365</v>
      </c>
      <c r="B125" s="177">
        <v>1370</v>
      </c>
      <c r="C125" s="173">
        <v>1365000</v>
      </c>
      <c r="D125" s="174">
        <v>6080</v>
      </c>
      <c r="E125" s="174">
        <v>1580</v>
      </c>
      <c r="F125" s="174">
        <v>0</v>
      </c>
      <c r="G125" s="174">
        <v>0</v>
      </c>
      <c r="H125" s="174">
        <v>0</v>
      </c>
      <c r="I125" s="175">
        <v>0</v>
      </c>
      <c r="J125" s="174">
        <v>0</v>
      </c>
      <c r="K125" s="174">
        <v>0</v>
      </c>
      <c r="L125" s="174">
        <v>0</v>
      </c>
      <c r="M125" s="174">
        <v>0</v>
      </c>
      <c r="N125" s="174">
        <v>0</v>
      </c>
      <c r="O125" s="178">
        <v>0</v>
      </c>
    </row>
    <row r="126" spans="1:15">
      <c r="A126" s="177">
        <v>1370</v>
      </c>
      <c r="B126" s="177">
        <v>1375</v>
      </c>
      <c r="C126" s="173">
        <v>1370000</v>
      </c>
      <c r="D126" s="174">
        <v>6180</v>
      </c>
      <c r="E126" s="174">
        <v>1680</v>
      </c>
      <c r="F126" s="174">
        <v>0</v>
      </c>
      <c r="G126" s="174">
        <v>0</v>
      </c>
      <c r="H126" s="174">
        <v>0</v>
      </c>
      <c r="I126" s="175">
        <v>0</v>
      </c>
      <c r="J126" s="174">
        <v>0</v>
      </c>
      <c r="K126" s="174">
        <v>0</v>
      </c>
      <c r="L126" s="174">
        <v>0</v>
      </c>
      <c r="M126" s="174">
        <v>0</v>
      </c>
      <c r="N126" s="174">
        <v>0</v>
      </c>
      <c r="O126" s="178">
        <v>0</v>
      </c>
    </row>
    <row r="127" spans="1:15">
      <c r="A127" s="177">
        <v>1375</v>
      </c>
      <c r="B127" s="177">
        <v>1380</v>
      </c>
      <c r="C127" s="173">
        <v>1375000</v>
      </c>
      <c r="D127" s="174">
        <v>6290</v>
      </c>
      <c r="E127" s="174">
        <v>1790</v>
      </c>
      <c r="F127" s="174">
        <v>0</v>
      </c>
      <c r="G127" s="174">
        <v>0</v>
      </c>
      <c r="H127" s="174">
        <v>0</v>
      </c>
      <c r="I127" s="175">
        <v>0</v>
      </c>
      <c r="J127" s="174">
        <v>0</v>
      </c>
      <c r="K127" s="174">
        <v>0</v>
      </c>
      <c r="L127" s="174">
        <v>0</v>
      </c>
      <c r="M127" s="174">
        <v>0</v>
      </c>
      <c r="N127" s="174">
        <v>0</v>
      </c>
      <c r="O127" s="178">
        <v>0</v>
      </c>
    </row>
    <row r="128" spans="1:15">
      <c r="A128" s="177">
        <v>1380</v>
      </c>
      <c r="B128" s="177">
        <v>1385</v>
      </c>
      <c r="C128" s="173">
        <v>1380000</v>
      </c>
      <c r="D128" s="174">
        <v>6390</v>
      </c>
      <c r="E128" s="174">
        <v>1890</v>
      </c>
      <c r="F128" s="174">
        <v>0</v>
      </c>
      <c r="G128" s="174">
        <v>0</v>
      </c>
      <c r="H128" s="174">
        <v>0</v>
      </c>
      <c r="I128" s="175">
        <v>0</v>
      </c>
      <c r="J128" s="174">
        <v>0</v>
      </c>
      <c r="K128" s="174">
        <v>0</v>
      </c>
      <c r="L128" s="174">
        <v>0</v>
      </c>
      <c r="M128" s="174">
        <v>0</v>
      </c>
      <c r="N128" s="174">
        <v>0</v>
      </c>
      <c r="O128" s="178">
        <v>0</v>
      </c>
    </row>
    <row r="129" spans="1:15">
      <c r="A129" s="177">
        <v>1385</v>
      </c>
      <c r="B129" s="177">
        <v>1390</v>
      </c>
      <c r="C129" s="173">
        <v>1385000</v>
      </c>
      <c r="D129" s="174">
        <v>6490</v>
      </c>
      <c r="E129" s="174">
        <v>1990</v>
      </c>
      <c r="F129" s="174">
        <v>0</v>
      </c>
      <c r="G129" s="174">
        <v>0</v>
      </c>
      <c r="H129" s="174">
        <v>0</v>
      </c>
      <c r="I129" s="175">
        <v>0</v>
      </c>
      <c r="J129" s="174">
        <v>0</v>
      </c>
      <c r="K129" s="174">
        <v>0</v>
      </c>
      <c r="L129" s="174">
        <v>0</v>
      </c>
      <c r="M129" s="174">
        <v>0</v>
      </c>
      <c r="N129" s="174">
        <v>0</v>
      </c>
      <c r="O129" s="178">
        <v>0</v>
      </c>
    </row>
    <row r="130" spans="1:15">
      <c r="A130" s="177">
        <v>1390</v>
      </c>
      <c r="B130" s="177">
        <v>1395</v>
      </c>
      <c r="C130" s="173">
        <v>1390000</v>
      </c>
      <c r="D130" s="174">
        <v>6600</v>
      </c>
      <c r="E130" s="174">
        <v>2100</v>
      </c>
      <c r="F130" s="174">
        <v>0</v>
      </c>
      <c r="G130" s="174">
        <v>0</v>
      </c>
      <c r="H130" s="174">
        <v>0</v>
      </c>
      <c r="I130" s="175">
        <v>0</v>
      </c>
      <c r="J130" s="174">
        <v>0</v>
      </c>
      <c r="K130" s="174">
        <v>0</v>
      </c>
      <c r="L130" s="174">
        <v>0</v>
      </c>
      <c r="M130" s="174">
        <v>0</v>
      </c>
      <c r="N130" s="174">
        <v>0</v>
      </c>
      <c r="O130" s="178">
        <v>0</v>
      </c>
    </row>
    <row r="131" spans="1:15">
      <c r="A131" s="177">
        <v>1395</v>
      </c>
      <c r="B131" s="177">
        <v>1400</v>
      </c>
      <c r="C131" s="173">
        <v>1395000</v>
      </c>
      <c r="D131" s="174">
        <v>6700</v>
      </c>
      <c r="E131" s="174">
        <v>2200</v>
      </c>
      <c r="F131" s="174">
        <v>0</v>
      </c>
      <c r="G131" s="174">
        <v>0</v>
      </c>
      <c r="H131" s="174">
        <v>0</v>
      </c>
      <c r="I131" s="175">
        <v>0</v>
      </c>
      <c r="J131" s="174">
        <v>0</v>
      </c>
      <c r="K131" s="174">
        <v>0</v>
      </c>
      <c r="L131" s="174">
        <v>0</v>
      </c>
      <c r="M131" s="174">
        <v>0</v>
      </c>
      <c r="N131" s="174">
        <v>0</v>
      </c>
      <c r="O131" s="178">
        <v>0</v>
      </c>
    </row>
    <row r="132" spans="1:15">
      <c r="A132" s="177">
        <v>1400</v>
      </c>
      <c r="B132" s="177">
        <v>1405</v>
      </c>
      <c r="C132" s="173">
        <v>1400000</v>
      </c>
      <c r="D132" s="174">
        <v>6800</v>
      </c>
      <c r="E132" s="174">
        <v>2300</v>
      </c>
      <c r="F132" s="174">
        <v>0</v>
      </c>
      <c r="G132" s="174">
        <v>0</v>
      </c>
      <c r="H132" s="174">
        <v>0</v>
      </c>
      <c r="I132" s="175">
        <v>0</v>
      </c>
      <c r="J132" s="174">
        <v>0</v>
      </c>
      <c r="K132" s="174">
        <v>0</v>
      </c>
      <c r="L132" s="174">
        <v>0</v>
      </c>
      <c r="M132" s="174">
        <v>0</v>
      </c>
      <c r="N132" s="174">
        <v>0</v>
      </c>
      <c r="O132" s="178">
        <v>0</v>
      </c>
    </row>
    <row r="133" spans="1:15">
      <c r="A133" s="177">
        <v>1405</v>
      </c>
      <c r="B133" s="177">
        <v>1410</v>
      </c>
      <c r="C133" s="173">
        <v>1405000</v>
      </c>
      <c r="D133" s="174">
        <v>6910</v>
      </c>
      <c r="E133" s="174">
        <v>2410</v>
      </c>
      <c r="F133" s="174">
        <v>0</v>
      </c>
      <c r="G133" s="174">
        <v>0</v>
      </c>
      <c r="H133" s="174">
        <v>0</v>
      </c>
      <c r="I133" s="175">
        <v>0</v>
      </c>
      <c r="J133" s="174">
        <v>0</v>
      </c>
      <c r="K133" s="174">
        <v>0</v>
      </c>
      <c r="L133" s="174">
        <v>0</v>
      </c>
      <c r="M133" s="174">
        <v>0</v>
      </c>
      <c r="N133" s="174">
        <v>0</v>
      </c>
      <c r="O133" s="178">
        <v>0</v>
      </c>
    </row>
    <row r="134" spans="1:15">
      <c r="A134" s="177">
        <v>1410</v>
      </c>
      <c r="B134" s="177">
        <v>1415</v>
      </c>
      <c r="C134" s="173">
        <v>1410000</v>
      </c>
      <c r="D134" s="174">
        <v>7010</v>
      </c>
      <c r="E134" s="174">
        <v>2510</v>
      </c>
      <c r="F134" s="174">
        <v>0</v>
      </c>
      <c r="G134" s="174">
        <v>0</v>
      </c>
      <c r="H134" s="174">
        <v>0</v>
      </c>
      <c r="I134" s="175">
        <v>0</v>
      </c>
      <c r="J134" s="174">
        <v>0</v>
      </c>
      <c r="K134" s="174">
        <v>0</v>
      </c>
      <c r="L134" s="174">
        <v>0</v>
      </c>
      <c r="M134" s="174">
        <v>0</v>
      </c>
      <c r="N134" s="174">
        <v>0</v>
      </c>
      <c r="O134" s="178">
        <v>0</v>
      </c>
    </row>
    <row r="135" spans="1:15">
      <c r="A135" s="177">
        <v>1415</v>
      </c>
      <c r="B135" s="177">
        <v>1420</v>
      </c>
      <c r="C135" s="173">
        <v>1415000</v>
      </c>
      <c r="D135" s="174">
        <v>7110</v>
      </c>
      <c r="E135" s="174">
        <v>2610</v>
      </c>
      <c r="F135" s="174">
        <v>0</v>
      </c>
      <c r="G135" s="174">
        <v>0</v>
      </c>
      <c r="H135" s="174">
        <v>0</v>
      </c>
      <c r="I135" s="175">
        <v>0</v>
      </c>
      <c r="J135" s="174">
        <v>0</v>
      </c>
      <c r="K135" s="174">
        <v>0</v>
      </c>
      <c r="L135" s="174">
        <v>0</v>
      </c>
      <c r="M135" s="174">
        <v>0</v>
      </c>
      <c r="N135" s="174">
        <v>0</v>
      </c>
      <c r="O135" s="178">
        <v>0</v>
      </c>
    </row>
    <row r="136" spans="1:15">
      <c r="A136" s="177">
        <v>1420</v>
      </c>
      <c r="B136" s="177">
        <v>1425</v>
      </c>
      <c r="C136" s="173">
        <v>1420000</v>
      </c>
      <c r="D136" s="174">
        <v>7210</v>
      </c>
      <c r="E136" s="174">
        <v>2710</v>
      </c>
      <c r="F136" s="174">
        <v>0</v>
      </c>
      <c r="G136" s="174">
        <v>0</v>
      </c>
      <c r="H136" s="174">
        <v>0</v>
      </c>
      <c r="I136" s="175">
        <v>0</v>
      </c>
      <c r="J136" s="174">
        <v>0</v>
      </c>
      <c r="K136" s="174">
        <v>0</v>
      </c>
      <c r="L136" s="174">
        <v>0</v>
      </c>
      <c r="M136" s="174">
        <v>0</v>
      </c>
      <c r="N136" s="174">
        <v>0</v>
      </c>
      <c r="O136" s="178">
        <v>0</v>
      </c>
    </row>
    <row r="137" spans="1:15">
      <c r="A137" s="177">
        <v>1425</v>
      </c>
      <c r="B137" s="177">
        <v>1430</v>
      </c>
      <c r="C137" s="173">
        <v>1425000</v>
      </c>
      <c r="D137" s="174">
        <v>7320</v>
      </c>
      <c r="E137" s="174">
        <v>2820</v>
      </c>
      <c r="F137" s="174">
        <v>0</v>
      </c>
      <c r="G137" s="174">
        <v>0</v>
      </c>
      <c r="H137" s="174">
        <v>0</v>
      </c>
      <c r="I137" s="175">
        <v>0</v>
      </c>
      <c r="J137" s="174">
        <v>0</v>
      </c>
      <c r="K137" s="174">
        <v>0</v>
      </c>
      <c r="L137" s="174">
        <v>0</v>
      </c>
      <c r="M137" s="174">
        <v>0</v>
      </c>
      <c r="N137" s="174">
        <v>0</v>
      </c>
      <c r="O137" s="178">
        <v>0</v>
      </c>
    </row>
    <row r="138" spans="1:15">
      <c r="A138" s="177">
        <v>1430</v>
      </c>
      <c r="B138" s="177">
        <v>1435</v>
      </c>
      <c r="C138" s="173">
        <v>1430000</v>
      </c>
      <c r="D138" s="174">
        <v>7420</v>
      </c>
      <c r="E138" s="174">
        <v>2920</v>
      </c>
      <c r="F138" s="174">
        <v>0</v>
      </c>
      <c r="G138" s="174">
        <v>0</v>
      </c>
      <c r="H138" s="174">
        <v>0</v>
      </c>
      <c r="I138" s="175">
        <v>0</v>
      </c>
      <c r="J138" s="174">
        <v>0</v>
      </c>
      <c r="K138" s="174">
        <v>0</v>
      </c>
      <c r="L138" s="174">
        <v>0</v>
      </c>
      <c r="M138" s="174">
        <v>0</v>
      </c>
      <c r="N138" s="174">
        <v>0</v>
      </c>
      <c r="O138" s="178">
        <v>0</v>
      </c>
    </row>
    <row r="139" spans="1:15">
      <c r="A139" s="177">
        <v>1435</v>
      </c>
      <c r="B139" s="177">
        <v>1440</v>
      </c>
      <c r="C139" s="173">
        <v>1435000</v>
      </c>
      <c r="D139" s="174">
        <v>7520</v>
      </c>
      <c r="E139" s="174">
        <v>3020</v>
      </c>
      <c r="F139" s="174">
        <v>0</v>
      </c>
      <c r="G139" s="174">
        <v>0</v>
      </c>
      <c r="H139" s="174">
        <v>0</v>
      </c>
      <c r="I139" s="175">
        <v>0</v>
      </c>
      <c r="J139" s="174">
        <v>0</v>
      </c>
      <c r="K139" s="174">
        <v>0</v>
      </c>
      <c r="L139" s="174">
        <v>0</v>
      </c>
      <c r="M139" s="174">
        <v>0</v>
      </c>
      <c r="N139" s="174">
        <v>0</v>
      </c>
      <c r="O139" s="178">
        <v>0</v>
      </c>
    </row>
    <row r="140" spans="1:15">
      <c r="A140" s="177">
        <v>1440</v>
      </c>
      <c r="B140" s="177">
        <v>1445</v>
      </c>
      <c r="C140" s="173">
        <v>1440000</v>
      </c>
      <c r="D140" s="174">
        <v>7630</v>
      </c>
      <c r="E140" s="174">
        <v>3130</v>
      </c>
      <c r="F140" s="174">
        <v>0</v>
      </c>
      <c r="G140" s="174">
        <v>0</v>
      </c>
      <c r="H140" s="174">
        <v>0</v>
      </c>
      <c r="I140" s="175">
        <v>0</v>
      </c>
      <c r="J140" s="174">
        <v>0</v>
      </c>
      <c r="K140" s="174">
        <v>0</v>
      </c>
      <c r="L140" s="174">
        <v>0</v>
      </c>
      <c r="M140" s="174">
        <v>0</v>
      </c>
      <c r="N140" s="174">
        <v>0</v>
      </c>
      <c r="O140" s="178">
        <v>0</v>
      </c>
    </row>
    <row r="141" spans="1:15">
      <c r="A141" s="177">
        <v>1445</v>
      </c>
      <c r="B141" s="177">
        <v>1450</v>
      </c>
      <c r="C141" s="173">
        <v>1445000</v>
      </c>
      <c r="D141" s="174">
        <v>7730</v>
      </c>
      <c r="E141" s="174">
        <v>3230</v>
      </c>
      <c r="F141" s="174">
        <v>0</v>
      </c>
      <c r="G141" s="174">
        <v>0</v>
      </c>
      <c r="H141" s="174">
        <v>0</v>
      </c>
      <c r="I141" s="175">
        <v>0</v>
      </c>
      <c r="J141" s="174">
        <v>0</v>
      </c>
      <c r="K141" s="174">
        <v>0</v>
      </c>
      <c r="L141" s="174">
        <v>0</v>
      </c>
      <c r="M141" s="174">
        <v>0</v>
      </c>
      <c r="N141" s="174">
        <v>0</v>
      </c>
      <c r="O141" s="178">
        <v>0</v>
      </c>
    </row>
    <row r="142" spans="1:15">
      <c r="A142" s="177">
        <v>1450</v>
      </c>
      <c r="B142" s="177">
        <v>1455</v>
      </c>
      <c r="C142" s="173">
        <v>1450000</v>
      </c>
      <c r="D142" s="174">
        <v>7830</v>
      </c>
      <c r="E142" s="174">
        <v>3330</v>
      </c>
      <c r="F142" s="174">
        <v>0</v>
      </c>
      <c r="G142" s="174">
        <v>0</v>
      </c>
      <c r="H142" s="174">
        <v>0</v>
      </c>
      <c r="I142" s="175">
        <v>0</v>
      </c>
      <c r="J142" s="174">
        <v>0</v>
      </c>
      <c r="K142" s="174">
        <v>0</v>
      </c>
      <c r="L142" s="174">
        <v>0</v>
      </c>
      <c r="M142" s="174">
        <v>0</v>
      </c>
      <c r="N142" s="174">
        <v>0</v>
      </c>
      <c r="O142" s="178">
        <v>0</v>
      </c>
    </row>
    <row r="143" spans="1:15">
      <c r="A143" s="177">
        <v>1455</v>
      </c>
      <c r="B143" s="177">
        <v>1460</v>
      </c>
      <c r="C143" s="173">
        <v>1455000</v>
      </c>
      <c r="D143" s="174">
        <v>7940</v>
      </c>
      <c r="E143" s="174">
        <v>3440</v>
      </c>
      <c r="F143" s="174">
        <v>0</v>
      </c>
      <c r="G143" s="174">
        <v>0</v>
      </c>
      <c r="H143" s="174">
        <v>0</v>
      </c>
      <c r="I143" s="175">
        <v>0</v>
      </c>
      <c r="J143" s="174">
        <v>0</v>
      </c>
      <c r="K143" s="174">
        <v>0</v>
      </c>
      <c r="L143" s="174">
        <v>0</v>
      </c>
      <c r="M143" s="174">
        <v>0</v>
      </c>
      <c r="N143" s="174">
        <v>0</v>
      </c>
      <c r="O143" s="178">
        <v>0</v>
      </c>
    </row>
    <row r="144" spans="1:15">
      <c r="A144" s="177">
        <v>1460</v>
      </c>
      <c r="B144" s="177">
        <v>1465</v>
      </c>
      <c r="C144" s="173">
        <v>1460000</v>
      </c>
      <c r="D144" s="174">
        <v>8040</v>
      </c>
      <c r="E144" s="174">
        <v>3540</v>
      </c>
      <c r="F144" s="174">
        <v>0</v>
      </c>
      <c r="G144" s="174">
        <v>0</v>
      </c>
      <c r="H144" s="174">
        <v>0</v>
      </c>
      <c r="I144" s="175">
        <v>0</v>
      </c>
      <c r="J144" s="174">
        <v>0</v>
      </c>
      <c r="K144" s="174">
        <v>0</v>
      </c>
      <c r="L144" s="174">
        <v>0</v>
      </c>
      <c r="M144" s="174">
        <v>0</v>
      </c>
      <c r="N144" s="174">
        <v>0</v>
      </c>
      <c r="O144" s="178">
        <v>0</v>
      </c>
    </row>
    <row r="145" spans="1:15">
      <c r="A145" s="177">
        <v>1465</v>
      </c>
      <c r="B145" s="177">
        <v>1470</v>
      </c>
      <c r="C145" s="173">
        <v>1465000</v>
      </c>
      <c r="D145" s="174">
        <v>8140</v>
      </c>
      <c r="E145" s="174">
        <v>3640</v>
      </c>
      <c r="F145" s="174">
        <v>0</v>
      </c>
      <c r="G145" s="174">
        <v>0</v>
      </c>
      <c r="H145" s="174">
        <v>0</v>
      </c>
      <c r="I145" s="175">
        <v>0</v>
      </c>
      <c r="J145" s="174">
        <v>0</v>
      </c>
      <c r="K145" s="174">
        <v>0</v>
      </c>
      <c r="L145" s="174">
        <v>0</v>
      </c>
      <c r="M145" s="174">
        <v>0</v>
      </c>
      <c r="N145" s="174">
        <v>0</v>
      </c>
      <c r="O145" s="178">
        <v>0</v>
      </c>
    </row>
    <row r="146" spans="1:15">
      <c r="A146" s="177">
        <v>1470</v>
      </c>
      <c r="B146" s="177">
        <v>1475</v>
      </c>
      <c r="C146" s="173">
        <v>1470000</v>
      </c>
      <c r="D146" s="174">
        <v>8250</v>
      </c>
      <c r="E146" s="174">
        <v>3750</v>
      </c>
      <c r="F146" s="174">
        <v>0</v>
      </c>
      <c r="G146" s="174">
        <v>0</v>
      </c>
      <c r="H146" s="174">
        <v>0</v>
      </c>
      <c r="I146" s="175">
        <v>0</v>
      </c>
      <c r="J146" s="174">
        <v>0</v>
      </c>
      <c r="K146" s="174">
        <v>0</v>
      </c>
      <c r="L146" s="174">
        <v>0</v>
      </c>
      <c r="M146" s="174">
        <v>0</v>
      </c>
      <c r="N146" s="174">
        <v>0</v>
      </c>
      <c r="O146" s="178">
        <v>0</v>
      </c>
    </row>
    <row r="147" spans="1:15">
      <c r="A147" s="177">
        <v>1475</v>
      </c>
      <c r="B147" s="177">
        <v>1480</v>
      </c>
      <c r="C147" s="173">
        <v>1475000</v>
      </c>
      <c r="D147" s="174">
        <v>8350</v>
      </c>
      <c r="E147" s="174">
        <v>3850</v>
      </c>
      <c r="F147" s="174">
        <v>0</v>
      </c>
      <c r="G147" s="174">
        <v>0</v>
      </c>
      <c r="H147" s="174">
        <v>0</v>
      </c>
      <c r="I147" s="175">
        <v>0</v>
      </c>
      <c r="J147" s="174">
        <v>0</v>
      </c>
      <c r="K147" s="174">
        <v>0</v>
      </c>
      <c r="L147" s="174">
        <v>0</v>
      </c>
      <c r="M147" s="174">
        <v>0</v>
      </c>
      <c r="N147" s="174">
        <v>0</v>
      </c>
      <c r="O147" s="178">
        <v>0</v>
      </c>
    </row>
    <row r="148" spans="1:15">
      <c r="A148" s="177">
        <v>1480</v>
      </c>
      <c r="B148" s="177">
        <v>1485</v>
      </c>
      <c r="C148" s="173">
        <v>1480000</v>
      </c>
      <c r="D148" s="174">
        <v>8450</v>
      </c>
      <c r="E148" s="174">
        <v>3950</v>
      </c>
      <c r="F148" s="174">
        <v>0</v>
      </c>
      <c r="G148" s="174">
        <v>0</v>
      </c>
      <c r="H148" s="174">
        <v>0</v>
      </c>
      <c r="I148" s="175">
        <v>0</v>
      </c>
      <c r="J148" s="174">
        <v>0</v>
      </c>
      <c r="K148" s="174">
        <v>0</v>
      </c>
      <c r="L148" s="174">
        <v>0</v>
      </c>
      <c r="M148" s="174">
        <v>0</v>
      </c>
      <c r="N148" s="174">
        <v>0</v>
      </c>
      <c r="O148" s="178">
        <v>0</v>
      </c>
    </row>
    <row r="149" spans="1:15">
      <c r="A149" s="177">
        <v>1485</v>
      </c>
      <c r="B149" s="177">
        <v>1490</v>
      </c>
      <c r="C149" s="173">
        <v>1485000</v>
      </c>
      <c r="D149" s="174">
        <v>8560</v>
      </c>
      <c r="E149" s="174">
        <v>4060</v>
      </c>
      <c r="F149" s="174">
        <v>0</v>
      </c>
      <c r="G149" s="174">
        <v>0</v>
      </c>
      <c r="H149" s="174">
        <v>0</v>
      </c>
      <c r="I149" s="175">
        <v>0</v>
      </c>
      <c r="J149" s="174">
        <v>0</v>
      </c>
      <c r="K149" s="174">
        <v>0</v>
      </c>
      <c r="L149" s="174">
        <v>0</v>
      </c>
      <c r="M149" s="174">
        <v>0</v>
      </c>
      <c r="N149" s="174">
        <v>0</v>
      </c>
      <c r="O149" s="178">
        <v>0</v>
      </c>
    </row>
    <row r="150" spans="1:15">
      <c r="A150" s="177">
        <v>1490</v>
      </c>
      <c r="B150" s="177">
        <v>1495</v>
      </c>
      <c r="C150" s="173">
        <v>1490000</v>
      </c>
      <c r="D150" s="174">
        <v>8660</v>
      </c>
      <c r="E150" s="174">
        <v>4160</v>
      </c>
      <c r="F150" s="174">
        <v>0</v>
      </c>
      <c r="G150" s="174">
        <v>0</v>
      </c>
      <c r="H150" s="174">
        <v>0</v>
      </c>
      <c r="I150" s="175">
        <v>0</v>
      </c>
      <c r="J150" s="174">
        <v>0</v>
      </c>
      <c r="K150" s="174">
        <v>0</v>
      </c>
      <c r="L150" s="174">
        <v>0</v>
      </c>
      <c r="M150" s="174">
        <v>0</v>
      </c>
      <c r="N150" s="174">
        <v>0</v>
      </c>
      <c r="O150" s="178">
        <v>0</v>
      </c>
    </row>
    <row r="151" spans="1:15">
      <c r="A151" s="177">
        <v>1495</v>
      </c>
      <c r="B151" s="177">
        <v>1500</v>
      </c>
      <c r="C151" s="173">
        <v>1495000</v>
      </c>
      <c r="D151" s="174">
        <v>8760</v>
      </c>
      <c r="E151" s="174">
        <v>4260</v>
      </c>
      <c r="F151" s="174">
        <v>0</v>
      </c>
      <c r="G151" s="174">
        <v>0</v>
      </c>
      <c r="H151" s="174">
        <v>0</v>
      </c>
      <c r="I151" s="175">
        <v>0</v>
      </c>
      <c r="J151" s="174">
        <v>0</v>
      </c>
      <c r="K151" s="174">
        <v>0</v>
      </c>
      <c r="L151" s="174">
        <v>0</v>
      </c>
      <c r="M151" s="174">
        <v>0</v>
      </c>
      <c r="N151" s="174">
        <v>0</v>
      </c>
      <c r="O151" s="178">
        <v>0</v>
      </c>
    </row>
    <row r="152" spans="1:15">
      <c r="A152" s="177">
        <v>1500</v>
      </c>
      <c r="B152" s="177">
        <v>1510</v>
      </c>
      <c r="C152" s="173">
        <v>1500000</v>
      </c>
      <c r="D152" s="174">
        <v>8920</v>
      </c>
      <c r="E152" s="174">
        <v>4420</v>
      </c>
      <c r="F152" s="174">
        <v>0</v>
      </c>
      <c r="G152" s="174">
        <v>0</v>
      </c>
      <c r="H152" s="174">
        <v>0</v>
      </c>
      <c r="I152" s="175">
        <v>0</v>
      </c>
      <c r="J152" s="174">
        <v>0</v>
      </c>
      <c r="K152" s="174">
        <v>0</v>
      </c>
      <c r="L152" s="174">
        <v>0</v>
      </c>
      <c r="M152" s="174">
        <v>0</v>
      </c>
      <c r="N152" s="174">
        <v>0</v>
      </c>
      <c r="O152" s="178">
        <v>0</v>
      </c>
    </row>
    <row r="153" spans="1:15">
      <c r="A153" s="177">
        <v>1510</v>
      </c>
      <c r="B153" s="177">
        <v>1520</v>
      </c>
      <c r="C153" s="173">
        <v>1510000</v>
      </c>
      <c r="D153" s="174">
        <v>9120</v>
      </c>
      <c r="E153" s="174">
        <v>4620</v>
      </c>
      <c r="F153" s="174">
        <v>0</v>
      </c>
      <c r="G153" s="174">
        <v>0</v>
      </c>
      <c r="H153" s="174">
        <v>0</v>
      </c>
      <c r="I153" s="175">
        <v>0</v>
      </c>
      <c r="J153" s="174">
        <v>0</v>
      </c>
      <c r="K153" s="174">
        <v>0</v>
      </c>
      <c r="L153" s="174">
        <v>0</v>
      </c>
      <c r="M153" s="174">
        <v>0</v>
      </c>
      <c r="N153" s="174">
        <v>0</v>
      </c>
      <c r="O153" s="178">
        <v>0</v>
      </c>
    </row>
    <row r="154" spans="1:15">
      <c r="A154" s="177">
        <v>1520</v>
      </c>
      <c r="B154" s="177">
        <v>1530</v>
      </c>
      <c r="C154" s="173">
        <v>1520000</v>
      </c>
      <c r="D154" s="174">
        <v>9330</v>
      </c>
      <c r="E154" s="174">
        <v>4830</v>
      </c>
      <c r="F154" s="174">
        <v>0</v>
      </c>
      <c r="G154" s="174">
        <v>0</v>
      </c>
      <c r="H154" s="174">
        <v>0</v>
      </c>
      <c r="I154" s="175">
        <v>0</v>
      </c>
      <c r="J154" s="174">
        <v>0</v>
      </c>
      <c r="K154" s="174">
        <v>0</v>
      </c>
      <c r="L154" s="174">
        <v>0</v>
      </c>
      <c r="M154" s="174">
        <v>0</v>
      </c>
      <c r="N154" s="174">
        <v>0</v>
      </c>
      <c r="O154" s="178">
        <v>0</v>
      </c>
    </row>
    <row r="155" spans="1:15">
      <c r="A155" s="177">
        <v>1530</v>
      </c>
      <c r="B155" s="177">
        <v>1540</v>
      </c>
      <c r="C155" s="173">
        <v>1530000</v>
      </c>
      <c r="D155" s="174">
        <v>9540</v>
      </c>
      <c r="E155" s="174">
        <v>5040</v>
      </c>
      <c r="F155" s="174">
        <v>0</v>
      </c>
      <c r="G155" s="174">
        <v>0</v>
      </c>
      <c r="H155" s="174">
        <v>0</v>
      </c>
      <c r="I155" s="175">
        <v>0</v>
      </c>
      <c r="J155" s="174">
        <v>0</v>
      </c>
      <c r="K155" s="174">
        <v>0</v>
      </c>
      <c r="L155" s="174">
        <v>0</v>
      </c>
      <c r="M155" s="174">
        <v>0</v>
      </c>
      <c r="N155" s="174">
        <v>0</v>
      </c>
      <c r="O155" s="178">
        <v>0</v>
      </c>
    </row>
    <row r="156" spans="1:15">
      <c r="A156" s="177">
        <v>1540</v>
      </c>
      <c r="B156" s="177">
        <v>1550</v>
      </c>
      <c r="C156" s="173">
        <v>1540000</v>
      </c>
      <c r="D156" s="174">
        <v>9740</v>
      </c>
      <c r="E156" s="174">
        <v>5240</v>
      </c>
      <c r="F156" s="174">
        <v>0</v>
      </c>
      <c r="G156" s="174">
        <v>0</v>
      </c>
      <c r="H156" s="174">
        <v>0</v>
      </c>
      <c r="I156" s="175">
        <v>0</v>
      </c>
      <c r="J156" s="174">
        <v>0</v>
      </c>
      <c r="K156" s="174">
        <v>0</v>
      </c>
      <c r="L156" s="174">
        <v>0</v>
      </c>
      <c r="M156" s="174">
        <v>0</v>
      </c>
      <c r="N156" s="174">
        <v>0</v>
      </c>
      <c r="O156" s="178">
        <v>0</v>
      </c>
    </row>
    <row r="157" spans="1:15">
      <c r="A157" s="177">
        <v>1550</v>
      </c>
      <c r="B157" s="177">
        <v>1560</v>
      </c>
      <c r="C157" s="173">
        <v>1550000</v>
      </c>
      <c r="D157" s="174">
        <v>9950</v>
      </c>
      <c r="E157" s="174">
        <v>5450</v>
      </c>
      <c r="F157" s="174">
        <v>0</v>
      </c>
      <c r="G157" s="174">
        <v>0</v>
      </c>
      <c r="H157" s="174">
        <v>0</v>
      </c>
      <c r="I157" s="175">
        <v>0</v>
      </c>
      <c r="J157" s="174">
        <v>0</v>
      </c>
      <c r="K157" s="174">
        <v>0</v>
      </c>
      <c r="L157" s="174">
        <v>0</v>
      </c>
      <c r="M157" s="174">
        <v>0</v>
      </c>
      <c r="N157" s="174">
        <v>0</v>
      </c>
      <c r="O157" s="178">
        <v>0</v>
      </c>
    </row>
    <row r="158" spans="1:15">
      <c r="A158" s="177">
        <v>1560</v>
      </c>
      <c r="B158" s="177">
        <v>1570</v>
      </c>
      <c r="C158" s="173">
        <v>1560000</v>
      </c>
      <c r="D158" s="174">
        <v>10160</v>
      </c>
      <c r="E158" s="174">
        <v>5660</v>
      </c>
      <c r="F158" s="174">
        <v>0</v>
      </c>
      <c r="G158" s="174">
        <v>0</v>
      </c>
      <c r="H158" s="174">
        <v>0</v>
      </c>
      <c r="I158" s="175">
        <v>0</v>
      </c>
      <c r="J158" s="174">
        <v>0</v>
      </c>
      <c r="K158" s="174">
        <v>0</v>
      </c>
      <c r="L158" s="174">
        <v>0</v>
      </c>
      <c r="M158" s="174">
        <v>0</v>
      </c>
      <c r="N158" s="174">
        <v>0</v>
      </c>
      <c r="O158" s="178">
        <v>0</v>
      </c>
    </row>
    <row r="159" spans="1:15">
      <c r="A159" s="177">
        <v>1570</v>
      </c>
      <c r="B159" s="177">
        <v>1580</v>
      </c>
      <c r="C159" s="173">
        <v>1570000</v>
      </c>
      <c r="D159" s="174">
        <v>10360</v>
      </c>
      <c r="E159" s="174">
        <v>5860</v>
      </c>
      <c r="F159" s="174">
        <v>0</v>
      </c>
      <c r="G159" s="174">
        <v>0</v>
      </c>
      <c r="H159" s="174">
        <v>0</v>
      </c>
      <c r="I159" s="175">
        <v>0</v>
      </c>
      <c r="J159" s="174">
        <v>0</v>
      </c>
      <c r="K159" s="174">
        <v>0</v>
      </c>
      <c r="L159" s="174">
        <v>0</v>
      </c>
      <c r="M159" s="174">
        <v>0</v>
      </c>
      <c r="N159" s="174">
        <v>0</v>
      </c>
      <c r="O159" s="178">
        <v>0</v>
      </c>
    </row>
    <row r="160" spans="1:15">
      <c r="A160" s="177">
        <v>1580</v>
      </c>
      <c r="B160" s="177">
        <v>1590</v>
      </c>
      <c r="C160" s="173">
        <v>1580000</v>
      </c>
      <c r="D160" s="174">
        <v>10570</v>
      </c>
      <c r="E160" s="174">
        <v>6070</v>
      </c>
      <c r="F160" s="174">
        <v>0</v>
      </c>
      <c r="G160" s="174">
        <v>0</v>
      </c>
      <c r="H160" s="174">
        <v>0</v>
      </c>
      <c r="I160" s="175">
        <v>0</v>
      </c>
      <c r="J160" s="174">
        <v>0</v>
      </c>
      <c r="K160" s="174">
        <v>0</v>
      </c>
      <c r="L160" s="174">
        <v>0</v>
      </c>
      <c r="M160" s="174">
        <v>0</v>
      </c>
      <c r="N160" s="174">
        <v>0</v>
      </c>
      <c r="O160" s="178">
        <v>0</v>
      </c>
    </row>
    <row r="161" spans="1:15">
      <c r="A161" s="177">
        <v>1590</v>
      </c>
      <c r="B161" s="177">
        <v>1600</v>
      </c>
      <c r="C161" s="173">
        <v>1590000</v>
      </c>
      <c r="D161" s="174">
        <v>10780</v>
      </c>
      <c r="E161" s="174">
        <v>6280</v>
      </c>
      <c r="F161" s="174">
        <v>0</v>
      </c>
      <c r="G161" s="174">
        <v>0</v>
      </c>
      <c r="H161" s="174">
        <v>0</v>
      </c>
      <c r="I161" s="175">
        <v>0</v>
      </c>
      <c r="J161" s="174">
        <v>0</v>
      </c>
      <c r="K161" s="174">
        <v>0</v>
      </c>
      <c r="L161" s="174">
        <v>0</v>
      </c>
      <c r="M161" s="174">
        <v>0</v>
      </c>
      <c r="N161" s="174">
        <v>0</v>
      </c>
      <c r="O161" s="178">
        <v>0</v>
      </c>
    </row>
    <row r="162" spans="1:15">
      <c r="A162" s="177">
        <v>1600</v>
      </c>
      <c r="B162" s="177">
        <v>1610</v>
      </c>
      <c r="C162" s="173">
        <v>1600000</v>
      </c>
      <c r="D162" s="174">
        <v>10980</v>
      </c>
      <c r="E162" s="174">
        <v>6480</v>
      </c>
      <c r="F162" s="174">
        <v>0</v>
      </c>
      <c r="G162" s="174">
        <v>0</v>
      </c>
      <c r="H162" s="174">
        <v>0</v>
      </c>
      <c r="I162" s="175">
        <v>0</v>
      </c>
      <c r="J162" s="174">
        <v>0</v>
      </c>
      <c r="K162" s="174">
        <v>0</v>
      </c>
      <c r="L162" s="174">
        <v>0</v>
      </c>
      <c r="M162" s="174">
        <v>0</v>
      </c>
      <c r="N162" s="174">
        <v>0</v>
      </c>
      <c r="O162" s="178">
        <v>0</v>
      </c>
    </row>
    <row r="163" spans="1:15">
      <c r="A163" s="177">
        <v>1610</v>
      </c>
      <c r="B163" s="177">
        <v>1620</v>
      </c>
      <c r="C163" s="173">
        <v>1610000</v>
      </c>
      <c r="D163" s="174">
        <v>11190</v>
      </c>
      <c r="E163" s="174">
        <v>6690</v>
      </c>
      <c r="F163" s="174">
        <v>0</v>
      </c>
      <c r="G163" s="174">
        <v>0</v>
      </c>
      <c r="H163" s="174">
        <v>0</v>
      </c>
      <c r="I163" s="175">
        <v>0</v>
      </c>
      <c r="J163" s="174">
        <v>0</v>
      </c>
      <c r="K163" s="174">
        <v>0</v>
      </c>
      <c r="L163" s="174">
        <v>0</v>
      </c>
      <c r="M163" s="174">
        <v>0</v>
      </c>
      <c r="N163" s="174">
        <v>0</v>
      </c>
      <c r="O163" s="178">
        <v>0</v>
      </c>
    </row>
    <row r="164" spans="1:15">
      <c r="A164" s="177">
        <v>1620</v>
      </c>
      <c r="B164" s="177">
        <v>1630</v>
      </c>
      <c r="C164" s="173">
        <v>1620000</v>
      </c>
      <c r="D164" s="174">
        <v>11400</v>
      </c>
      <c r="E164" s="174">
        <v>6900</v>
      </c>
      <c r="F164" s="174">
        <v>0</v>
      </c>
      <c r="G164" s="174">
        <v>0</v>
      </c>
      <c r="H164" s="174">
        <v>0</v>
      </c>
      <c r="I164" s="175">
        <v>0</v>
      </c>
      <c r="J164" s="174">
        <v>0</v>
      </c>
      <c r="K164" s="174">
        <v>0</v>
      </c>
      <c r="L164" s="174">
        <v>0</v>
      </c>
      <c r="M164" s="174">
        <v>0</v>
      </c>
      <c r="N164" s="174">
        <v>0</v>
      </c>
      <c r="O164" s="178">
        <v>0</v>
      </c>
    </row>
    <row r="165" spans="1:15">
      <c r="A165" s="177">
        <v>1630</v>
      </c>
      <c r="B165" s="177">
        <v>1640</v>
      </c>
      <c r="C165" s="173">
        <v>1630000</v>
      </c>
      <c r="D165" s="174">
        <v>11600</v>
      </c>
      <c r="E165" s="174">
        <v>7100</v>
      </c>
      <c r="F165" s="174">
        <v>0</v>
      </c>
      <c r="G165" s="174">
        <v>0</v>
      </c>
      <c r="H165" s="174">
        <v>0</v>
      </c>
      <c r="I165" s="175">
        <v>0</v>
      </c>
      <c r="J165" s="174">
        <v>0</v>
      </c>
      <c r="K165" s="174">
        <v>0</v>
      </c>
      <c r="L165" s="174">
        <v>0</v>
      </c>
      <c r="M165" s="174">
        <v>0</v>
      </c>
      <c r="N165" s="174">
        <v>0</v>
      </c>
      <c r="O165" s="178">
        <v>0</v>
      </c>
    </row>
    <row r="166" spans="1:15">
      <c r="A166" s="177">
        <v>1640</v>
      </c>
      <c r="B166" s="177">
        <v>1650</v>
      </c>
      <c r="C166" s="173">
        <v>1640000</v>
      </c>
      <c r="D166" s="174">
        <v>11810</v>
      </c>
      <c r="E166" s="174">
        <v>7310</v>
      </c>
      <c r="F166" s="174">
        <v>0</v>
      </c>
      <c r="G166" s="174">
        <v>0</v>
      </c>
      <c r="H166" s="174">
        <v>0</v>
      </c>
      <c r="I166" s="175">
        <v>0</v>
      </c>
      <c r="J166" s="174">
        <v>0</v>
      </c>
      <c r="K166" s="174">
        <v>0</v>
      </c>
      <c r="L166" s="174">
        <v>0</v>
      </c>
      <c r="M166" s="174">
        <v>0</v>
      </c>
      <c r="N166" s="174">
        <v>0</v>
      </c>
      <c r="O166" s="178">
        <v>0</v>
      </c>
    </row>
    <row r="167" spans="1:15">
      <c r="A167" s="177">
        <v>1650</v>
      </c>
      <c r="B167" s="177">
        <v>1660</v>
      </c>
      <c r="C167" s="173">
        <v>1650000</v>
      </c>
      <c r="D167" s="174">
        <v>12020</v>
      </c>
      <c r="E167" s="174">
        <v>7520</v>
      </c>
      <c r="F167" s="174">
        <v>0</v>
      </c>
      <c r="G167" s="174">
        <v>0</v>
      </c>
      <c r="H167" s="174">
        <v>0</v>
      </c>
      <c r="I167" s="175">
        <v>0</v>
      </c>
      <c r="J167" s="174">
        <v>0</v>
      </c>
      <c r="K167" s="174">
        <v>0</v>
      </c>
      <c r="L167" s="174">
        <v>0</v>
      </c>
      <c r="M167" s="174">
        <v>0</v>
      </c>
      <c r="N167" s="174">
        <v>0</v>
      </c>
      <c r="O167" s="178">
        <v>0</v>
      </c>
    </row>
    <row r="168" spans="1:15">
      <c r="A168" s="177">
        <v>1660</v>
      </c>
      <c r="B168" s="177">
        <v>1670</v>
      </c>
      <c r="C168" s="173">
        <v>1660000</v>
      </c>
      <c r="D168" s="174">
        <v>12220</v>
      </c>
      <c r="E168" s="174">
        <v>7720</v>
      </c>
      <c r="F168" s="174">
        <v>0</v>
      </c>
      <c r="G168" s="174">
        <v>0</v>
      </c>
      <c r="H168" s="174">
        <v>0</v>
      </c>
      <c r="I168" s="175">
        <v>0</v>
      </c>
      <c r="J168" s="174">
        <v>0</v>
      </c>
      <c r="K168" s="174">
        <v>0</v>
      </c>
      <c r="L168" s="174">
        <v>0</v>
      </c>
      <c r="M168" s="174">
        <v>0</v>
      </c>
      <c r="N168" s="174">
        <v>0</v>
      </c>
      <c r="O168" s="178">
        <v>0</v>
      </c>
    </row>
    <row r="169" spans="1:15">
      <c r="A169" s="177">
        <v>1670</v>
      </c>
      <c r="B169" s="177">
        <v>1680</v>
      </c>
      <c r="C169" s="173">
        <v>1670000</v>
      </c>
      <c r="D169" s="174">
        <v>12430</v>
      </c>
      <c r="E169" s="174">
        <v>7930</v>
      </c>
      <c r="F169" s="174">
        <v>0</v>
      </c>
      <c r="G169" s="174">
        <v>0</v>
      </c>
      <c r="H169" s="174">
        <v>0</v>
      </c>
      <c r="I169" s="175">
        <v>0</v>
      </c>
      <c r="J169" s="174">
        <v>0</v>
      </c>
      <c r="K169" s="174">
        <v>0</v>
      </c>
      <c r="L169" s="174">
        <v>0</v>
      </c>
      <c r="M169" s="174">
        <v>0</v>
      </c>
      <c r="N169" s="174">
        <v>0</v>
      </c>
      <c r="O169" s="178">
        <v>0</v>
      </c>
    </row>
    <row r="170" spans="1:15">
      <c r="A170" s="177">
        <v>1680</v>
      </c>
      <c r="B170" s="177">
        <v>1690</v>
      </c>
      <c r="C170" s="173">
        <v>1680000</v>
      </c>
      <c r="D170" s="174">
        <v>12640</v>
      </c>
      <c r="E170" s="174">
        <v>8140</v>
      </c>
      <c r="F170" s="174">
        <v>0</v>
      </c>
      <c r="G170" s="174">
        <v>0</v>
      </c>
      <c r="H170" s="174">
        <v>0</v>
      </c>
      <c r="I170" s="175">
        <v>0</v>
      </c>
      <c r="J170" s="174">
        <v>0</v>
      </c>
      <c r="K170" s="174">
        <v>0</v>
      </c>
      <c r="L170" s="174">
        <v>0</v>
      </c>
      <c r="M170" s="174">
        <v>0</v>
      </c>
      <c r="N170" s="174">
        <v>0</v>
      </c>
      <c r="O170" s="178">
        <v>0</v>
      </c>
    </row>
    <row r="171" spans="1:15">
      <c r="A171" s="177">
        <v>1690</v>
      </c>
      <c r="B171" s="177">
        <v>1700</v>
      </c>
      <c r="C171" s="173">
        <v>1690000</v>
      </c>
      <c r="D171" s="174">
        <v>12840</v>
      </c>
      <c r="E171" s="174">
        <v>8340</v>
      </c>
      <c r="F171" s="174">
        <v>0</v>
      </c>
      <c r="G171" s="174">
        <v>0</v>
      </c>
      <c r="H171" s="174">
        <v>0</v>
      </c>
      <c r="I171" s="175">
        <v>0</v>
      </c>
      <c r="J171" s="174">
        <v>0</v>
      </c>
      <c r="K171" s="174">
        <v>0</v>
      </c>
      <c r="L171" s="174">
        <v>0</v>
      </c>
      <c r="M171" s="174">
        <v>0</v>
      </c>
      <c r="N171" s="174">
        <v>0</v>
      </c>
      <c r="O171" s="178">
        <v>0</v>
      </c>
    </row>
    <row r="172" spans="1:15">
      <c r="A172" s="177">
        <v>1700</v>
      </c>
      <c r="B172" s="177">
        <v>1710</v>
      </c>
      <c r="C172" s="173">
        <v>1700000</v>
      </c>
      <c r="D172" s="174">
        <v>13050</v>
      </c>
      <c r="E172" s="174">
        <v>8550</v>
      </c>
      <c r="F172" s="174">
        <v>0</v>
      </c>
      <c r="G172" s="174">
        <v>0</v>
      </c>
      <c r="H172" s="174">
        <v>0</v>
      </c>
      <c r="I172" s="175">
        <v>0</v>
      </c>
      <c r="J172" s="174">
        <v>0</v>
      </c>
      <c r="K172" s="174">
        <v>0</v>
      </c>
      <c r="L172" s="174">
        <v>0</v>
      </c>
      <c r="M172" s="174">
        <v>0</v>
      </c>
      <c r="N172" s="174">
        <v>0</v>
      </c>
      <c r="O172" s="178">
        <v>0</v>
      </c>
    </row>
    <row r="173" spans="1:15">
      <c r="A173" s="177">
        <v>1710</v>
      </c>
      <c r="B173" s="177">
        <v>1720</v>
      </c>
      <c r="C173" s="173">
        <v>1710000</v>
      </c>
      <c r="D173" s="174">
        <v>13260</v>
      </c>
      <c r="E173" s="174">
        <v>8760</v>
      </c>
      <c r="F173" s="174">
        <v>0</v>
      </c>
      <c r="G173" s="174">
        <v>0</v>
      </c>
      <c r="H173" s="174">
        <v>0</v>
      </c>
      <c r="I173" s="175">
        <v>0</v>
      </c>
      <c r="J173" s="174">
        <v>0</v>
      </c>
      <c r="K173" s="174">
        <v>0</v>
      </c>
      <c r="L173" s="174">
        <v>0</v>
      </c>
      <c r="M173" s="174">
        <v>0</v>
      </c>
      <c r="N173" s="174">
        <v>0</v>
      </c>
      <c r="O173" s="178">
        <v>0</v>
      </c>
    </row>
    <row r="174" spans="1:15">
      <c r="A174" s="177">
        <v>1720</v>
      </c>
      <c r="B174" s="177">
        <v>1730</v>
      </c>
      <c r="C174" s="173">
        <v>1720000</v>
      </c>
      <c r="D174" s="174">
        <v>13460</v>
      </c>
      <c r="E174" s="174">
        <v>8960</v>
      </c>
      <c r="F174" s="174">
        <v>1040</v>
      </c>
      <c r="G174" s="174">
        <v>0</v>
      </c>
      <c r="H174" s="174">
        <v>0</v>
      </c>
      <c r="I174" s="175">
        <v>0</v>
      </c>
      <c r="J174" s="174">
        <v>0</v>
      </c>
      <c r="K174" s="174">
        <v>0</v>
      </c>
      <c r="L174" s="174">
        <v>0</v>
      </c>
      <c r="M174" s="174">
        <v>0</v>
      </c>
      <c r="N174" s="174">
        <v>0</v>
      </c>
      <c r="O174" s="178">
        <v>0</v>
      </c>
    </row>
    <row r="175" spans="1:15">
      <c r="A175" s="177">
        <v>1730</v>
      </c>
      <c r="B175" s="177">
        <v>1740</v>
      </c>
      <c r="C175" s="173">
        <v>1730000</v>
      </c>
      <c r="D175" s="174">
        <v>13670</v>
      </c>
      <c r="E175" s="174">
        <v>9170</v>
      </c>
      <c r="F175" s="174">
        <v>1240</v>
      </c>
      <c r="G175" s="174">
        <v>0</v>
      </c>
      <c r="H175" s="174">
        <v>0</v>
      </c>
      <c r="I175" s="175">
        <v>0</v>
      </c>
      <c r="J175" s="174">
        <v>0</v>
      </c>
      <c r="K175" s="174">
        <v>0</v>
      </c>
      <c r="L175" s="174">
        <v>0</v>
      </c>
      <c r="M175" s="174">
        <v>0</v>
      </c>
      <c r="N175" s="174">
        <v>0</v>
      </c>
      <c r="O175" s="178">
        <v>0</v>
      </c>
    </row>
    <row r="176" spans="1:15">
      <c r="A176" s="177">
        <v>1740</v>
      </c>
      <c r="B176" s="177">
        <v>1750</v>
      </c>
      <c r="C176" s="173">
        <v>1740000</v>
      </c>
      <c r="D176" s="174">
        <v>13880</v>
      </c>
      <c r="E176" s="174">
        <v>9380</v>
      </c>
      <c r="F176" s="174">
        <v>1440</v>
      </c>
      <c r="G176" s="174">
        <v>0</v>
      </c>
      <c r="H176" s="174">
        <v>0</v>
      </c>
      <c r="I176" s="175">
        <v>0</v>
      </c>
      <c r="J176" s="174">
        <v>0</v>
      </c>
      <c r="K176" s="174">
        <v>0</v>
      </c>
      <c r="L176" s="174">
        <v>0</v>
      </c>
      <c r="M176" s="174">
        <v>0</v>
      </c>
      <c r="N176" s="174">
        <v>0</v>
      </c>
      <c r="O176" s="178">
        <v>0</v>
      </c>
    </row>
    <row r="177" spans="1:15">
      <c r="A177" s="177">
        <v>1750</v>
      </c>
      <c r="B177" s="177">
        <v>1760</v>
      </c>
      <c r="C177" s="173">
        <v>1750000</v>
      </c>
      <c r="D177" s="174">
        <v>14080</v>
      </c>
      <c r="E177" s="174">
        <v>9580</v>
      </c>
      <c r="F177" s="174">
        <v>1640</v>
      </c>
      <c r="G177" s="174">
        <v>0</v>
      </c>
      <c r="H177" s="174">
        <v>0</v>
      </c>
      <c r="I177" s="175">
        <v>0</v>
      </c>
      <c r="J177" s="174">
        <v>0</v>
      </c>
      <c r="K177" s="174">
        <v>0</v>
      </c>
      <c r="L177" s="174">
        <v>0</v>
      </c>
      <c r="M177" s="174">
        <v>0</v>
      </c>
      <c r="N177" s="174">
        <v>0</v>
      </c>
      <c r="O177" s="178">
        <v>0</v>
      </c>
    </row>
    <row r="178" spans="1:15">
      <c r="A178" s="177">
        <v>1760</v>
      </c>
      <c r="B178" s="177">
        <v>1770</v>
      </c>
      <c r="C178" s="173">
        <v>1760000</v>
      </c>
      <c r="D178" s="174">
        <v>14290</v>
      </c>
      <c r="E178" s="174">
        <v>9790</v>
      </c>
      <c r="F178" s="174">
        <v>1830</v>
      </c>
      <c r="G178" s="174">
        <v>0</v>
      </c>
      <c r="H178" s="174">
        <v>0</v>
      </c>
      <c r="I178" s="175">
        <v>0</v>
      </c>
      <c r="J178" s="174">
        <v>0</v>
      </c>
      <c r="K178" s="174">
        <v>0</v>
      </c>
      <c r="L178" s="174">
        <v>0</v>
      </c>
      <c r="M178" s="174">
        <v>0</v>
      </c>
      <c r="N178" s="174">
        <v>0</v>
      </c>
      <c r="O178" s="178">
        <v>0</v>
      </c>
    </row>
    <row r="179" spans="1:15">
      <c r="A179" s="177">
        <v>1770</v>
      </c>
      <c r="B179" s="177">
        <v>1780</v>
      </c>
      <c r="C179" s="173">
        <v>1770000</v>
      </c>
      <c r="D179" s="174">
        <v>14500</v>
      </c>
      <c r="E179" s="174">
        <v>10000</v>
      </c>
      <c r="F179" s="174">
        <v>2030</v>
      </c>
      <c r="G179" s="174">
        <v>0</v>
      </c>
      <c r="H179" s="174">
        <v>0</v>
      </c>
      <c r="I179" s="175">
        <v>0</v>
      </c>
      <c r="J179" s="174">
        <v>0</v>
      </c>
      <c r="K179" s="174">
        <v>0</v>
      </c>
      <c r="L179" s="174">
        <v>0</v>
      </c>
      <c r="M179" s="174">
        <v>0</v>
      </c>
      <c r="N179" s="174">
        <v>0</v>
      </c>
      <c r="O179" s="178">
        <v>0</v>
      </c>
    </row>
    <row r="180" spans="1:15">
      <c r="A180" s="177">
        <v>1780</v>
      </c>
      <c r="B180" s="177">
        <v>1790</v>
      </c>
      <c r="C180" s="173">
        <v>1780000</v>
      </c>
      <c r="D180" s="174">
        <v>14700</v>
      </c>
      <c r="E180" s="174">
        <v>10200</v>
      </c>
      <c r="F180" s="174">
        <v>2230</v>
      </c>
      <c r="G180" s="174">
        <v>0</v>
      </c>
      <c r="H180" s="174">
        <v>0</v>
      </c>
      <c r="I180" s="175">
        <v>0</v>
      </c>
      <c r="J180" s="174">
        <v>0</v>
      </c>
      <c r="K180" s="174">
        <v>0</v>
      </c>
      <c r="L180" s="174">
        <v>0</v>
      </c>
      <c r="M180" s="174">
        <v>0</v>
      </c>
      <c r="N180" s="174">
        <v>0</v>
      </c>
      <c r="O180" s="178">
        <v>0</v>
      </c>
    </row>
    <row r="181" spans="1:15">
      <c r="A181" s="177">
        <v>1790</v>
      </c>
      <c r="B181" s="177">
        <v>1800</v>
      </c>
      <c r="C181" s="173">
        <v>1790000</v>
      </c>
      <c r="D181" s="174">
        <v>14910</v>
      </c>
      <c r="E181" s="174">
        <v>10410</v>
      </c>
      <c r="F181" s="174">
        <v>2430</v>
      </c>
      <c r="G181" s="174">
        <v>0</v>
      </c>
      <c r="H181" s="174">
        <v>0</v>
      </c>
      <c r="I181" s="175">
        <v>0</v>
      </c>
      <c r="J181" s="174">
        <v>0</v>
      </c>
      <c r="K181" s="174">
        <v>0</v>
      </c>
      <c r="L181" s="174">
        <v>0</v>
      </c>
      <c r="M181" s="174">
        <v>0</v>
      </c>
      <c r="N181" s="174">
        <v>0</v>
      </c>
      <c r="O181" s="178">
        <v>0</v>
      </c>
    </row>
    <row r="182" spans="1:15">
      <c r="A182" s="177">
        <v>1800</v>
      </c>
      <c r="B182" s="177">
        <v>1810</v>
      </c>
      <c r="C182" s="173">
        <v>1800000</v>
      </c>
      <c r="D182" s="174">
        <v>15110</v>
      </c>
      <c r="E182" s="174">
        <v>10610</v>
      </c>
      <c r="F182" s="174">
        <v>2630</v>
      </c>
      <c r="G182" s="174">
        <v>0</v>
      </c>
      <c r="H182" s="174">
        <v>0</v>
      </c>
      <c r="I182" s="175">
        <v>0</v>
      </c>
      <c r="J182" s="174">
        <v>0</v>
      </c>
      <c r="K182" s="174">
        <v>0</v>
      </c>
      <c r="L182" s="174">
        <v>0</v>
      </c>
      <c r="M182" s="174">
        <v>0</v>
      </c>
      <c r="N182" s="174">
        <v>0</v>
      </c>
      <c r="O182" s="178">
        <v>0</v>
      </c>
    </row>
    <row r="183" spans="1:15">
      <c r="A183" s="177">
        <v>1810</v>
      </c>
      <c r="B183" s="177">
        <v>1820</v>
      </c>
      <c r="C183" s="173">
        <v>1810000</v>
      </c>
      <c r="D183" s="174">
        <v>15320</v>
      </c>
      <c r="E183" s="174">
        <v>10820</v>
      </c>
      <c r="F183" s="174">
        <v>2830</v>
      </c>
      <c r="G183" s="174">
        <v>0</v>
      </c>
      <c r="H183" s="174">
        <v>0</v>
      </c>
      <c r="I183" s="175">
        <v>0</v>
      </c>
      <c r="J183" s="174">
        <v>0</v>
      </c>
      <c r="K183" s="174">
        <v>0</v>
      </c>
      <c r="L183" s="174">
        <v>0</v>
      </c>
      <c r="M183" s="174">
        <v>0</v>
      </c>
      <c r="N183" s="174">
        <v>0</v>
      </c>
      <c r="O183" s="178">
        <v>0</v>
      </c>
    </row>
    <row r="184" spans="1:15">
      <c r="A184" s="177">
        <v>1820</v>
      </c>
      <c r="B184" s="177">
        <v>1830</v>
      </c>
      <c r="C184" s="173">
        <v>1820000</v>
      </c>
      <c r="D184" s="174">
        <v>15530</v>
      </c>
      <c r="E184" s="174">
        <v>11030</v>
      </c>
      <c r="F184" s="174">
        <v>3020</v>
      </c>
      <c r="G184" s="174">
        <v>0</v>
      </c>
      <c r="H184" s="174">
        <v>0</v>
      </c>
      <c r="I184" s="175">
        <v>0</v>
      </c>
      <c r="J184" s="174">
        <v>0</v>
      </c>
      <c r="K184" s="174">
        <v>0</v>
      </c>
      <c r="L184" s="174">
        <v>0</v>
      </c>
      <c r="M184" s="174">
        <v>0</v>
      </c>
      <c r="N184" s="174">
        <v>0</v>
      </c>
      <c r="O184" s="178">
        <v>0</v>
      </c>
    </row>
    <row r="185" spans="1:15">
      <c r="A185" s="177">
        <v>1830</v>
      </c>
      <c r="B185" s="177">
        <v>1840</v>
      </c>
      <c r="C185" s="173">
        <v>1830000</v>
      </c>
      <c r="D185" s="174">
        <v>15730</v>
      </c>
      <c r="E185" s="174">
        <v>11230</v>
      </c>
      <c r="F185" s="174">
        <v>3220</v>
      </c>
      <c r="G185" s="174">
        <v>0</v>
      </c>
      <c r="H185" s="174">
        <v>0</v>
      </c>
      <c r="I185" s="175">
        <v>0</v>
      </c>
      <c r="J185" s="174">
        <v>0</v>
      </c>
      <c r="K185" s="174">
        <v>0</v>
      </c>
      <c r="L185" s="174">
        <v>0</v>
      </c>
      <c r="M185" s="174">
        <v>0</v>
      </c>
      <c r="N185" s="174">
        <v>0</v>
      </c>
      <c r="O185" s="178">
        <v>0</v>
      </c>
    </row>
    <row r="186" spans="1:15">
      <c r="A186" s="177">
        <v>1840</v>
      </c>
      <c r="B186" s="177">
        <v>1850</v>
      </c>
      <c r="C186" s="173">
        <v>1840000</v>
      </c>
      <c r="D186" s="174">
        <v>15940</v>
      </c>
      <c r="E186" s="174">
        <v>11440</v>
      </c>
      <c r="F186" s="174">
        <v>3420</v>
      </c>
      <c r="G186" s="174">
        <v>0</v>
      </c>
      <c r="H186" s="174">
        <v>0</v>
      </c>
      <c r="I186" s="175">
        <v>0</v>
      </c>
      <c r="J186" s="174">
        <v>0</v>
      </c>
      <c r="K186" s="174">
        <v>0</v>
      </c>
      <c r="L186" s="174">
        <v>0</v>
      </c>
      <c r="M186" s="174">
        <v>0</v>
      </c>
      <c r="N186" s="174">
        <v>0</v>
      </c>
      <c r="O186" s="178">
        <v>0</v>
      </c>
    </row>
    <row r="187" spans="1:15">
      <c r="A187" s="177">
        <v>1850</v>
      </c>
      <c r="B187" s="177">
        <v>1860</v>
      </c>
      <c r="C187" s="173">
        <v>1850000</v>
      </c>
      <c r="D187" s="174">
        <v>16150</v>
      </c>
      <c r="E187" s="174">
        <v>11650</v>
      </c>
      <c r="F187" s="174">
        <v>3620</v>
      </c>
      <c r="G187" s="174">
        <v>0</v>
      </c>
      <c r="H187" s="174">
        <v>0</v>
      </c>
      <c r="I187" s="175">
        <v>0</v>
      </c>
      <c r="J187" s="174">
        <v>0</v>
      </c>
      <c r="K187" s="174">
        <v>0</v>
      </c>
      <c r="L187" s="174">
        <v>0</v>
      </c>
      <c r="M187" s="174">
        <v>0</v>
      </c>
      <c r="N187" s="174">
        <v>0</v>
      </c>
      <c r="O187" s="178">
        <v>0</v>
      </c>
    </row>
    <row r="188" spans="1:15">
      <c r="A188" s="177">
        <v>1860</v>
      </c>
      <c r="B188" s="177">
        <v>1870</v>
      </c>
      <c r="C188" s="173">
        <v>1860000</v>
      </c>
      <c r="D188" s="174">
        <v>16350</v>
      </c>
      <c r="E188" s="174">
        <v>11850</v>
      </c>
      <c r="F188" s="174">
        <v>3820</v>
      </c>
      <c r="G188" s="174">
        <v>0</v>
      </c>
      <c r="H188" s="174">
        <v>0</v>
      </c>
      <c r="I188" s="175">
        <v>0</v>
      </c>
      <c r="J188" s="174">
        <v>0</v>
      </c>
      <c r="K188" s="174">
        <v>0</v>
      </c>
      <c r="L188" s="174">
        <v>0</v>
      </c>
      <c r="M188" s="174">
        <v>0</v>
      </c>
      <c r="N188" s="174">
        <v>0</v>
      </c>
      <c r="O188" s="178">
        <v>0</v>
      </c>
    </row>
    <row r="189" spans="1:15">
      <c r="A189" s="177">
        <v>1870</v>
      </c>
      <c r="B189" s="177">
        <v>1880</v>
      </c>
      <c r="C189" s="173">
        <v>1870000</v>
      </c>
      <c r="D189" s="174">
        <v>16560</v>
      </c>
      <c r="E189" s="174">
        <v>12060</v>
      </c>
      <c r="F189" s="174">
        <v>4020</v>
      </c>
      <c r="G189" s="174">
        <v>0</v>
      </c>
      <c r="H189" s="174">
        <v>0</v>
      </c>
      <c r="I189" s="175">
        <v>0</v>
      </c>
      <c r="J189" s="174">
        <v>0</v>
      </c>
      <c r="K189" s="174">
        <v>0</v>
      </c>
      <c r="L189" s="174">
        <v>0</v>
      </c>
      <c r="M189" s="174">
        <v>0</v>
      </c>
      <c r="N189" s="174">
        <v>0</v>
      </c>
      <c r="O189" s="178">
        <v>0</v>
      </c>
    </row>
    <row r="190" spans="1:15">
      <c r="A190" s="177">
        <v>1880</v>
      </c>
      <c r="B190" s="177">
        <v>1890</v>
      </c>
      <c r="C190" s="173">
        <v>1880000</v>
      </c>
      <c r="D190" s="174">
        <v>16770</v>
      </c>
      <c r="E190" s="174">
        <v>12270</v>
      </c>
      <c r="F190" s="174">
        <v>4220</v>
      </c>
      <c r="G190" s="174">
        <v>0</v>
      </c>
      <c r="H190" s="174">
        <v>0</v>
      </c>
      <c r="I190" s="175">
        <v>0</v>
      </c>
      <c r="J190" s="174">
        <v>0</v>
      </c>
      <c r="K190" s="174">
        <v>0</v>
      </c>
      <c r="L190" s="174">
        <v>0</v>
      </c>
      <c r="M190" s="174">
        <v>0</v>
      </c>
      <c r="N190" s="174">
        <v>0</v>
      </c>
      <c r="O190" s="178">
        <v>0</v>
      </c>
    </row>
    <row r="191" spans="1:15">
      <c r="A191" s="177">
        <v>1890</v>
      </c>
      <c r="B191" s="177">
        <v>1900</v>
      </c>
      <c r="C191" s="173">
        <v>1890000</v>
      </c>
      <c r="D191" s="174">
        <v>16970</v>
      </c>
      <c r="E191" s="174">
        <v>12470</v>
      </c>
      <c r="F191" s="174">
        <v>4410</v>
      </c>
      <c r="G191" s="174">
        <v>1040</v>
      </c>
      <c r="H191" s="174">
        <v>0</v>
      </c>
      <c r="I191" s="175">
        <v>0</v>
      </c>
      <c r="J191" s="174">
        <v>0</v>
      </c>
      <c r="K191" s="174">
        <v>0</v>
      </c>
      <c r="L191" s="174">
        <v>0</v>
      </c>
      <c r="M191" s="174">
        <v>0</v>
      </c>
      <c r="N191" s="174">
        <v>0</v>
      </c>
      <c r="O191" s="178">
        <v>0</v>
      </c>
    </row>
    <row r="192" spans="1:15">
      <c r="A192" s="177">
        <v>1900</v>
      </c>
      <c r="B192" s="177">
        <v>1910</v>
      </c>
      <c r="C192" s="173">
        <v>1900000</v>
      </c>
      <c r="D192" s="174">
        <v>17180</v>
      </c>
      <c r="E192" s="174">
        <v>12680</v>
      </c>
      <c r="F192" s="174">
        <v>4610</v>
      </c>
      <c r="G192" s="174">
        <v>1240</v>
      </c>
      <c r="H192" s="174">
        <v>0</v>
      </c>
      <c r="I192" s="175">
        <v>0</v>
      </c>
      <c r="J192" s="174">
        <v>0</v>
      </c>
      <c r="K192" s="174">
        <v>0</v>
      </c>
      <c r="L192" s="174">
        <v>0</v>
      </c>
      <c r="M192" s="174">
        <v>0</v>
      </c>
      <c r="N192" s="174">
        <v>0</v>
      </c>
      <c r="O192" s="178">
        <v>0</v>
      </c>
    </row>
    <row r="193" spans="1:15">
      <c r="A193" s="177">
        <v>1910</v>
      </c>
      <c r="B193" s="177">
        <v>1920</v>
      </c>
      <c r="C193" s="173">
        <v>1910000</v>
      </c>
      <c r="D193" s="174">
        <v>17390</v>
      </c>
      <c r="E193" s="174">
        <v>12890</v>
      </c>
      <c r="F193" s="174">
        <v>4810</v>
      </c>
      <c r="G193" s="174">
        <v>1440</v>
      </c>
      <c r="H193" s="174">
        <v>0</v>
      </c>
      <c r="I193" s="175">
        <v>0</v>
      </c>
      <c r="J193" s="174">
        <v>0</v>
      </c>
      <c r="K193" s="174">
        <v>0</v>
      </c>
      <c r="L193" s="174">
        <v>0</v>
      </c>
      <c r="M193" s="174">
        <v>0</v>
      </c>
      <c r="N193" s="174">
        <v>0</v>
      </c>
      <c r="O193" s="178">
        <v>0</v>
      </c>
    </row>
    <row r="194" spans="1:15">
      <c r="A194" s="177">
        <v>1920</v>
      </c>
      <c r="B194" s="177">
        <v>1930</v>
      </c>
      <c r="C194" s="173">
        <v>1920000</v>
      </c>
      <c r="D194" s="174">
        <v>17590</v>
      </c>
      <c r="E194" s="174">
        <v>13090</v>
      </c>
      <c r="F194" s="174">
        <v>5010</v>
      </c>
      <c r="G194" s="174">
        <v>1630</v>
      </c>
      <c r="H194" s="174">
        <v>0</v>
      </c>
      <c r="I194" s="175">
        <v>0</v>
      </c>
      <c r="J194" s="174">
        <v>0</v>
      </c>
      <c r="K194" s="174">
        <v>0</v>
      </c>
      <c r="L194" s="174">
        <v>0</v>
      </c>
      <c r="M194" s="174">
        <v>0</v>
      </c>
      <c r="N194" s="174">
        <v>0</v>
      </c>
      <c r="O194" s="178">
        <v>0</v>
      </c>
    </row>
    <row r="195" spans="1:15">
      <c r="A195" s="177">
        <v>1930</v>
      </c>
      <c r="B195" s="177">
        <v>1940</v>
      </c>
      <c r="C195" s="173">
        <v>1930000</v>
      </c>
      <c r="D195" s="174">
        <v>17800</v>
      </c>
      <c r="E195" s="174">
        <v>13300</v>
      </c>
      <c r="F195" s="174">
        <v>5210</v>
      </c>
      <c r="G195" s="174">
        <v>1830</v>
      </c>
      <c r="H195" s="174">
        <v>0</v>
      </c>
      <c r="I195" s="175">
        <v>0</v>
      </c>
      <c r="J195" s="174">
        <v>0</v>
      </c>
      <c r="K195" s="174">
        <v>0</v>
      </c>
      <c r="L195" s="174">
        <v>0</v>
      </c>
      <c r="M195" s="174">
        <v>0</v>
      </c>
      <c r="N195" s="174">
        <v>0</v>
      </c>
      <c r="O195" s="178">
        <v>0</v>
      </c>
    </row>
    <row r="196" spans="1:15">
      <c r="A196" s="177">
        <v>1940</v>
      </c>
      <c r="B196" s="177">
        <v>1950</v>
      </c>
      <c r="C196" s="173">
        <v>1940000</v>
      </c>
      <c r="D196" s="174">
        <v>18010</v>
      </c>
      <c r="E196" s="174">
        <v>13510</v>
      </c>
      <c r="F196" s="174">
        <v>5410</v>
      </c>
      <c r="G196" s="174">
        <v>2030</v>
      </c>
      <c r="H196" s="174">
        <v>0</v>
      </c>
      <c r="I196" s="175">
        <v>0</v>
      </c>
      <c r="J196" s="174">
        <v>0</v>
      </c>
      <c r="K196" s="174">
        <v>0</v>
      </c>
      <c r="L196" s="174">
        <v>0</v>
      </c>
      <c r="M196" s="174">
        <v>0</v>
      </c>
      <c r="N196" s="174">
        <v>0</v>
      </c>
      <c r="O196" s="178">
        <v>0</v>
      </c>
    </row>
    <row r="197" spans="1:15">
      <c r="A197" s="177">
        <v>1950</v>
      </c>
      <c r="B197" s="177">
        <v>1960</v>
      </c>
      <c r="C197" s="173">
        <v>1950000</v>
      </c>
      <c r="D197" s="174">
        <v>18210</v>
      </c>
      <c r="E197" s="174">
        <v>13710</v>
      </c>
      <c r="F197" s="174">
        <v>5600</v>
      </c>
      <c r="G197" s="174">
        <v>2230</v>
      </c>
      <c r="H197" s="174">
        <v>0</v>
      </c>
      <c r="I197" s="175">
        <v>0</v>
      </c>
      <c r="J197" s="174">
        <v>0</v>
      </c>
      <c r="K197" s="174">
        <v>0</v>
      </c>
      <c r="L197" s="174">
        <v>0</v>
      </c>
      <c r="M197" s="174">
        <v>0</v>
      </c>
      <c r="N197" s="174">
        <v>0</v>
      </c>
      <c r="O197" s="178">
        <v>0</v>
      </c>
    </row>
    <row r="198" spans="1:15">
      <c r="A198" s="177">
        <v>1960</v>
      </c>
      <c r="B198" s="177">
        <v>1970</v>
      </c>
      <c r="C198" s="173">
        <v>1960000</v>
      </c>
      <c r="D198" s="174">
        <v>18420</v>
      </c>
      <c r="E198" s="174">
        <v>13920</v>
      </c>
      <c r="F198" s="174">
        <v>5800</v>
      </c>
      <c r="G198" s="174">
        <v>2430</v>
      </c>
      <c r="H198" s="174">
        <v>0</v>
      </c>
      <c r="I198" s="175">
        <v>0</v>
      </c>
      <c r="J198" s="174">
        <v>0</v>
      </c>
      <c r="K198" s="174">
        <v>0</v>
      </c>
      <c r="L198" s="174">
        <v>0</v>
      </c>
      <c r="M198" s="174">
        <v>0</v>
      </c>
      <c r="N198" s="174">
        <v>0</v>
      </c>
      <c r="O198" s="178">
        <v>0</v>
      </c>
    </row>
    <row r="199" spans="1:15">
      <c r="A199" s="177">
        <v>1970</v>
      </c>
      <c r="B199" s="177">
        <v>1980</v>
      </c>
      <c r="C199" s="173">
        <v>1970000</v>
      </c>
      <c r="D199" s="174">
        <v>18630</v>
      </c>
      <c r="E199" s="174">
        <v>14130</v>
      </c>
      <c r="F199" s="174">
        <v>6000</v>
      </c>
      <c r="G199" s="174">
        <v>2630</v>
      </c>
      <c r="H199" s="174">
        <v>0</v>
      </c>
      <c r="I199" s="175">
        <v>0</v>
      </c>
      <c r="J199" s="174">
        <v>0</v>
      </c>
      <c r="K199" s="174">
        <v>0</v>
      </c>
      <c r="L199" s="174">
        <v>0</v>
      </c>
      <c r="M199" s="174">
        <v>0</v>
      </c>
      <c r="N199" s="174">
        <v>0</v>
      </c>
      <c r="O199" s="178">
        <v>0</v>
      </c>
    </row>
    <row r="200" spans="1:15">
      <c r="A200" s="177">
        <v>1980</v>
      </c>
      <c r="B200" s="177">
        <v>1990</v>
      </c>
      <c r="C200" s="173">
        <v>1980000</v>
      </c>
      <c r="D200" s="174">
        <v>18880</v>
      </c>
      <c r="E200" s="174">
        <v>14330</v>
      </c>
      <c r="F200" s="174">
        <v>6200</v>
      </c>
      <c r="G200" s="174">
        <v>2820</v>
      </c>
      <c r="H200" s="174">
        <v>0</v>
      </c>
      <c r="I200" s="175">
        <v>0</v>
      </c>
      <c r="J200" s="174">
        <v>0</v>
      </c>
      <c r="K200" s="174">
        <v>0</v>
      </c>
      <c r="L200" s="174">
        <v>0</v>
      </c>
      <c r="M200" s="174">
        <v>0</v>
      </c>
      <c r="N200" s="174">
        <v>0</v>
      </c>
      <c r="O200" s="178">
        <v>0</v>
      </c>
    </row>
    <row r="201" spans="1:15">
      <c r="A201" s="177">
        <v>1990</v>
      </c>
      <c r="B201" s="177">
        <v>2000</v>
      </c>
      <c r="C201" s="173">
        <v>1990000</v>
      </c>
      <c r="D201" s="174">
        <v>19200</v>
      </c>
      <c r="E201" s="174">
        <v>14540</v>
      </c>
      <c r="F201" s="174">
        <v>6400</v>
      </c>
      <c r="G201" s="174">
        <v>3020</v>
      </c>
      <c r="H201" s="174">
        <v>0</v>
      </c>
      <c r="I201" s="175">
        <v>0</v>
      </c>
      <c r="J201" s="174">
        <v>0</v>
      </c>
      <c r="K201" s="174">
        <v>0</v>
      </c>
      <c r="L201" s="174">
        <v>0</v>
      </c>
      <c r="M201" s="174">
        <v>0</v>
      </c>
      <c r="N201" s="174">
        <v>0</v>
      </c>
      <c r="O201" s="178">
        <v>0</v>
      </c>
    </row>
    <row r="202" spans="1:15">
      <c r="A202" s="177">
        <v>2000</v>
      </c>
      <c r="B202" s="177">
        <v>2010</v>
      </c>
      <c r="C202" s="173">
        <v>2000000</v>
      </c>
      <c r="D202" s="174">
        <v>19520</v>
      </c>
      <c r="E202" s="174">
        <v>14750</v>
      </c>
      <c r="F202" s="174">
        <v>6600</v>
      </c>
      <c r="G202" s="174">
        <v>3220</v>
      </c>
      <c r="H202" s="174">
        <v>0</v>
      </c>
      <c r="I202" s="175">
        <v>0</v>
      </c>
      <c r="J202" s="174">
        <v>0</v>
      </c>
      <c r="K202" s="174">
        <v>0</v>
      </c>
      <c r="L202" s="174">
        <v>0</v>
      </c>
      <c r="M202" s="174">
        <v>0</v>
      </c>
      <c r="N202" s="174">
        <v>0</v>
      </c>
      <c r="O202" s="178">
        <v>0</v>
      </c>
    </row>
    <row r="203" spans="1:15">
      <c r="A203" s="177">
        <v>2010</v>
      </c>
      <c r="B203" s="177">
        <v>2020</v>
      </c>
      <c r="C203" s="173">
        <v>2010000</v>
      </c>
      <c r="D203" s="174">
        <v>19850</v>
      </c>
      <c r="E203" s="174">
        <v>14950</v>
      </c>
      <c r="F203" s="174">
        <v>6800</v>
      </c>
      <c r="G203" s="174">
        <v>3420</v>
      </c>
      <c r="H203" s="174">
        <v>0</v>
      </c>
      <c r="I203" s="175">
        <v>0</v>
      </c>
      <c r="J203" s="174">
        <v>0</v>
      </c>
      <c r="K203" s="174">
        <v>0</v>
      </c>
      <c r="L203" s="174">
        <v>0</v>
      </c>
      <c r="M203" s="174">
        <v>0</v>
      </c>
      <c r="N203" s="174">
        <v>0</v>
      </c>
      <c r="O203" s="178">
        <v>0</v>
      </c>
    </row>
    <row r="204" spans="1:15">
      <c r="A204" s="177">
        <v>2020</v>
      </c>
      <c r="B204" s="177">
        <v>2030</v>
      </c>
      <c r="C204" s="173">
        <v>2020000</v>
      </c>
      <c r="D204" s="174">
        <v>20170</v>
      </c>
      <c r="E204" s="174">
        <v>15160</v>
      </c>
      <c r="F204" s="174">
        <v>6990</v>
      </c>
      <c r="G204" s="174">
        <v>3620</v>
      </c>
      <c r="H204" s="174">
        <v>0</v>
      </c>
      <c r="I204" s="175">
        <v>0</v>
      </c>
      <c r="J204" s="174">
        <v>0</v>
      </c>
      <c r="K204" s="174">
        <v>0</v>
      </c>
      <c r="L204" s="174">
        <v>0</v>
      </c>
      <c r="M204" s="174">
        <v>0</v>
      </c>
      <c r="N204" s="174">
        <v>0</v>
      </c>
      <c r="O204" s="178">
        <v>0</v>
      </c>
    </row>
    <row r="205" spans="1:15">
      <c r="A205" s="177">
        <v>2030</v>
      </c>
      <c r="B205" s="177">
        <v>2040</v>
      </c>
      <c r="C205" s="173">
        <v>2030000</v>
      </c>
      <c r="D205" s="174">
        <v>20490</v>
      </c>
      <c r="E205" s="174">
        <v>15370</v>
      </c>
      <c r="F205" s="174">
        <v>7190</v>
      </c>
      <c r="G205" s="174">
        <v>3820</v>
      </c>
      <c r="H205" s="174">
        <v>0</v>
      </c>
      <c r="I205" s="175">
        <v>0</v>
      </c>
      <c r="J205" s="174">
        <v>0</v>
      </c>
      <c r="K205" s="174">
        <v>0</v>
      </c>
      <c r="L205" s="174">
        <v>0</v>
      </c>
      <c r="M205" s="174">
        <v>0</v>
      </c>
      <c r="N205" s="174">
        <v>0</v>
      </c>
      <c r="O205" s="178">
        <v>0</v>
      </c>
    </row>
    <row r="206" spans="1:15">
      <c r="A206" s="177">
        <v>2040</v>
      </c>
      <c r="B206" s="177">
        <v>2050</v>
      </c>
      <c r="C206" s="173">
        <v>2040000</v>
      </c>
      <c r="D206" s="174">
        <v>20810</v>
      </c>
      <c r="E206" s="174">
        <v>15570</v>
      </c>
      <c r="F206" s="174">
        <v>7390</v>
      </c>
      <c r="G206" s="174">
        <v>4020</v>
      </c>
      <c r="H206" s="174">
        <v>0</v>
      </c>
      <c r="I206" s="175">
        <v>0</v>
      </c>
      <c r="J206" s="174">
        <v>0</v>
      </c>
      <c r="K206" s="174">
        <v>0</v>
      </c>
      <c r="L206" s="174">
        <v>0</v>
      </c>
      <c r="M206" s="174">
        <v>0</v>
      </c>
      <c r="N206" s="174">
        <v>0</v>
      </c>
      <c r="O206" s="178">
        <v>0</v>
      </c>
    </row>
    <row r="207" spans="1:15">
      <c r="A207" s="177">
        <v>2050</v>
      </c>
      <c r="B207" s="177">
        <v>2060</v>
      </c>
      <c r="C207" s="173">
        <v>2050000</v>
      </c>
      <c r="D207" s="174">
        <v>21130</v>
      </c>
      <c r="E207" s="174">
        <v>15780</v>
      </c>
      <c r="F207" s="174">
        <v>7590</v>
      </c>
      <c r="G207" s="174">
        <v>4210</v>
      </c>
      <c r="H207" s="174">
        <v>0</v>
      </c>
      <c r="I207" s="175">
        <v>0</v>
      </c>
      <c r="J207" s="174">
        <v>0</v>
      </c>
      <c r="K207" s="174">
        <v>0</v>
      </c>
      <c r="L207" s="174">
        <v>0</v>
      </c>
      <c r="M207" s="174">
        <v>0</v>
      </c>
      <c r="N207" s="174">
        <v>0</v>
      </c>
      <c r="O207" s="178">
        <v>0</v>
      </c>
    </row>
    <row r="208" spans="1:15">
      <c r="A208" s="177">
        <v>2060</v>
      </c>
      <c r="B208" s="177">
        <v>2070</v>
      </c>
      <c r="C208" s="173">
        <v>2060000</v>
      </c>
      <c r="D208" s="174">
        <v>21450</v>
      </c>
      <c r="E208" s="174">
        <v>15990</v>
      </c>
      <c r="F208" s="174">
        <v>7790</v>
      </c>
      <c r="G208" s="174">
        <v>4410</v>
      </c>
      <c r="H208" s="174">
        <v>1040</v>
      </c>
      <c r="I208" s="175">
        <v>0</v>
      </c>
      <c r="J208" s="174">
        <v>0</v>
      </c>
      <c r="K208" s="174">
        <v>0</v>
      </c>
      <c r="L208" s="174">
        <v>0</v>
      </c>
      <c r="M208" s="174">
        <v>0</v>
      </c>
      <c r="N208" s="174">
        <v>0</v>
      </c>
      <c r="O208" s="178">
        <v>0</v>
      </c>
    </row>
    <row r="209" spans="1:15">
      <c r="A209" s="177">
        <v>2070</v>
      </c>
      <c r="B209" s="177">
        <v>2080</v>
      </c>
      <c r="C209" s="173">
        <v>2070000</v>
      </c>
      <c r="D209" s="174">
        <v>21770</v>
      </c>
      <c r="E209" s="174">
        <v>16190</v>
      </c>
      <c r="F209" s="174">
        <v>7990</v>
      </c>
      <c r="G209" s="174">
        <v>4610</v>
      </c>
      <c r="H209" s="174">
        <v>1240</v>
      </c>
      <c r="I209" s="175">
        <v>0</v>
      </c>
      <c r="J209" s="174">
        <v>0</v>
      </c>
      <c r="K209" s="174">
        <v>0</v>
      </c>
      <c r="L209" s="174">
        <v>0</v>
      </c>
      <c r="M209" s="174">
        <v>0</v>
      </c>
      <c r="N209" s="174">
        <v>0</v>
      </c>
      <c r="O209" s="178">
        <v>0</v>
      </c>
    </row>
    <row r="210" spans="1:15">
      <c r="A210" s="177">
        <v>2080</v>
      </c>
      <c r="B210" s="177">
        <v>2090</v>
      </c>
      <c r="C210" s="173">
        <v>2080000</v>
      </c>
      <c r="D210" s="174">
        <v>22090</v>
      </c>
      <c r="E210" s="174">
        <v>16400</v>
      </c>
      <c r="F210" s="174">
        <v>8180</v>
      </c>
      <c r="G210" s="174">
        <v>4810</v>
      </c>
      <c r="H210" s="174">
        <v>1430</v>
      </c>
      <c r="I210" s="175">
        <v>0</v>
      </c>
      <c r="J210" s="174">
        <v>0</v>
      </c>
      <c r="K210" s="174">
        <v>0</v>
      </c>
      <c r="L210" s="174">
        <v>0</v>
      </c>
      <c r="M210" s="174">
        <v>0</v>
      </c>
      <c r="N210" s="174">
        <v>0</v>
      </c>
      <c r="O210" s="178">
        <v>0</v>
      </c>
    </row>
    <row r="211" spans="1:15">
      <c r="A211" s="177">
        <v>2090</v>
      </c>
      <c r="B211" s="177">
        <v>2100</v>
      </c>
      <c r="C211" s="173">
        <v>2090000</v>
      </c>
      <c r="D211" s="174">
        <v>22420</v>
      </c>
      <c r="E211" s="174">
        <v>16600</v>
      </c>
      <c r="F211" s="174">
        <v>8380</v>
      </c>
      <c r="G211" s="174">
        <v>5010</v>
      </c>
      <c r="H211" s="174">
        <v>1630</v>
      </c>
      <c r="I211" s="175">
        <v>0</v>
      </c>
      <c r="J211" s="174">
        <v>0</v>
      </c>
      <c r="K211" s="174">
        <v>0</v>
      </c>
      <c r="L211" s="174">
        <v>0</v>
      </c>
      <c r="M211" s="174">
        <v>0</v>
      </c>
      <c r="N211" s="174">
        <v>0</v>
      </c>
      <c r="O211" s="178">
        <v>0</v>
      </c>
    </row>
    <row r="212" spans="1:15">
      <c r="A212" s="177">
        <v>2100</v>
      </c>
      <c r="B212" s="177">
        <v>2110</v>
      </c>
      <c r="C212" s="173">
        <v>2100000</v>
      </c>
      <c r="D212" s="174">
        <v>22740</v>
      </c>
      <c r="E212" s="174">
        <v>16810</v>
      </c>
      <c r="F212" s="174">
        <v>8580</v>
      </c>
      <c r="G212" s="174">
        <v>5210</v>
      </c>
      <c r="H212" s="174">
        <v>1830</v>
      </c>
      <c r="I212" s="175">
        <v>0</v>
      </c>
      <c r="J212" s="174">
        <v>0</v>
      </c>
      <c r="K212" s="174">
        <v>0</v>
      </c>
      <c r="L212" s="174">
        <v>0</v>
      </c>
      <c r="M212" s="174">
        <v>0</v>
      </c>
      <c r="N212" s="174">
        <v>0</v>
      </c>
      <c r="O212" s="178">
        <v>0</v>
      </c>
    </row>
    <row r="213" spans="1:15">
      <c r="A213" s="177">
        <v>2110</v>
      </c>
      <c r="B213" s="177">
        <v>2120</v>
      </c>
      <c r="C213" s="173">
        <v>2110000</v>
      </c>
      <c r="D213" s="174">
        <v>23060</v>
      </c>
      <c r="E213" s="174">
        <v>17020</v>
      </c>
      <c r="F213" s="174">
        <v>8780</v>
      </c>
      <c r="G213" s="174">
        <v>5400</v>
      </c>
      <c r="H213" s="174">
        <v>2030</v>
      </c>
      <c r="I213" s="175">
        <v>0</v>
      </c>
      <c r="J213" s="174">
        <v>0</v>
      </c>
      <c r="K213" s="174">
        <v>0</v>
      </c>
      <c r="L213" s="174">
        <v>0</v>
      </c>
      <c r="M213" s="174">
        <v>0</v>
      </c>
      <c r="N213" s="174">
        <v>0</v>
      </c>
      <c r="O213" s="178">
        <v>0</v>
      </c>
    </row>
    <row r="214" spans="1:15">
      <c r="A214" s="177">
        <v>2120</v>
      </c>
      <c r="B214" s="177">
        <v>2130</v>
      </c>
      <c r="C214" s="173">
        <v>2120000</v>
      </c>
      <c r="D214" s="174">
        <v>23380</v>
      </c>
      <c r="E214" s="174">
        <v>17220</v>
      </c>
      <c r="F214" s="174">
        <v>8980</v>
      </c>
      <c r="G214" s="174">
        <v>5600</v>
      </c>
      <c r="H214" s="174">
        <v>2230</v>
      </c>
      <c r="I214" s="175">
        <v>0</v>
      </c>
      <c r="J214" s="174">
        <v>0</v>
      </c>
      <c r="K214" s="174">
        <v>0</v>
      </c>
      <c r="L214" s="174">
        <v>0</v>
      </c>
      <c r="M214" s="174">
        <v>0</v>
      </c>
      <c r="N214" s="174">
        <v>0</v>
      </c>
      <c r="O214" s="178">
        <v>0</v>
      </c>
    </row>
    <row r="215" spans="1:15">
      <c r="A215" s="177">
        <v>2130</v>
      </c>
      <c r="B215" s="177">
        <v>2140</v>
      </c>
      <c r="C215" s="173">
        <v>2130000</v>
      </c>
      <c r="D215" s="174">
        <v>23700</v>
      </c>
      <c r="E215" s="174">
        <v>17430</v>
      </c>
      <c r="F215" s="174">
        <v>9180</v>
      </c>
      <c r="G215" s="174">
        <v>5800</v>
      </c>
      <c r="H215" s="174">
        <v>2430</v>
      </c>
      <c r="I215" s="175">
        <v>0</v>
      </c>
      <c r="J215" s="174">
        <v>0</v>
      </c>
      <c r="K215" s="174">
        <v>0</v>
      </c>
      <c r="L215" s="174">
        <v>0</v>
      </c>
      <c r="M215" s="174">
        <v>0</v>
      </c>
      <c r="N215" s="174">
        <v>0</v>
      </c>
      <c r="O215" s="178">
        <v>0</v>
      </c>
    </row>
    <row r="216" spans="1:15">
      <c r="A216" s="177">
        <v>2140</v>
      </c>
      <c r="B216" s="177">
        <v>2150</v>
      </c>
      <c r="C216" s="173">
        <v>2140000</v>
      </c>
      <c r="D216" s="174">
        <v>24020</v>
      </c>
      <c r="E216" s="174">
        <v>17640</v>
      </c>
      <c r="F216" s="174">
        <v>9380</v>
      </c>
      <c r="G216" s="174">
        <v>6000</v>
      </c>
      <c r="H216" s="174">
        <v>2630</v>
      </c>
      <c r="I216" s="175">
        <v>0</v>
      </c>
      <c r="J216" s="174">
        <v>0</v>
      </c>
      <c r="K216" s="174">
        <v>0</v>
      </c>
      <c r="L216" s="174">
        <v>0</v>
      </c>
      <c r="M216" s="174">
        <v>0</v>
      </c>
      <c r="N216" s="174">
        <v>0</v>
      </c>
      <c r="O216" s="178">
        <v>0</v>
      </c>
    </row>
    <row r="217" spans="1:15">
      <c r="A217" s="177">
        <v>2150</v>
      </c>
      <c r="B217" s="177">
        <v>2160</v>
      </c>
      <c r="C217" s="173">
        <v>2150000</v>
      </c>
      <c r="D217" s="174">
        <v>24340</v>
      </c>
      <c r="E217" s="174">
        <v>17840</v>
      </c>
      <c r="F217" s="174">
        <v>9570</v>
      </c>
      <c r="G217" s="174">
        <v>6200</v>
      </c>
      <c r="H217" s="174">
        <v>2820</v>
      </c>
      <c r="I217" s="175">
        <v>0</v>
      </c>
      <c r="J217" s="174">
        <v>0</v>
      </c>
      <c r="K217" s="174">
        <v>0</v>
      </c>
      <c r="L217" s="174">
        <v>0</v>
      </c>
      <c r="M217" s="174">
        <v>0</v>
      </c>
      <c r="N217" s="174">
        <v>0</v>
      </c>
      <c r="O217" s="178">
        <v>0</v>
      </c>
    </row>
    <row r="218" spans="1:15">
      <c r="A218" s="177">
        <v>2160</v>
      </c>
      <c r="B218" s="177">
        <v>2170</v>
      </c>
      <c r="C218" s="173">
        <v>2160000</v>
      </c>
      <c r="D218" s="174">
        <v>24660</v>
      </c>
      <c r="E218" s="174">
        <v>18050</v>
      </c>
      <c r="F218" s="174">
        <v>9770</v>
      </c>
      <c r="G218" s="174">
        <v>6400</v>
      </c>
      <c r="H218" s="174">
        <v>3020</v>
      </c>
      <c r="I218" s="175">
        <v>0</v>
      </c>
      <c r="J218" s="174">
        <v>0</v>
      </c>
      <c r="K218" s="174">
        <v>0</v>
      </c>
      <c r="L218" s="174">
        <v>0</v>
      </c>
      <c r="M218" s="174">
        <v>0</v>
      </c>
      <c r="N218" s="174">
        <v>0</v>
      </c>
      <c r="O218" s="178">
        <v>0</v>
      </c>
    </row>
    <row r="219" spans="1:15">
      <c r="A219" s="177">
        <v>2170</v>
      </c>
      <c r="B219" s="177">
        <v>2180</v>
      </c>
      <c r="C219" s="173">
        <v>2170000</v>
      </c>
      <c r="D219" s="174">
        <v>24990</v>
      </c>
      <c r="E219" s="174">
        <v>18260</v>
      </c>
      <c r="F219" s="174">
        <v>9970</v>
      </c>
      <c r="G219" s="174">
        <v>6600</v>
      </c>
      <c r="H219" s="174">
        <v>3220</v>
      </c>
      <c r="I219" s="175">
        <v>0</v>
      </c>
      <c r="J219" s="174">
        <v>0</v>
      </c>
      <c r="K219" s="174">
        <v>0</v>
      </c>
      <c r="L219" s="174">
        <v>0</v>
      </c>
      <c r="M219" s="174">
        <v>0</v>
      </c>
      <c r="N219" s="174">
        <v>0</v>
      </c>
      <c r="O219" s="178">
        <v>0</v>
      </c>
    </row>
    <row r="220" spans="1:15">
      <c r="A220" s="177">
        <v>2180</v>
      </c>
      <c r="B220" s="177">
        <v>2190</v>
      </c>
      <c r="C220" s="173">
        <v>2180000</v>
      </c>
      <c r="D220" s="174">
        <v>25310</v>
      </c>
      <c r="E220" s="174">
        <v>18460</v>
      </c>
      <c r="F220" s="174">
        <v>10170</v>
      </c>
      <c r="G220" s="174">
        <v>6790</v>
      </c>
      <c r="H220" s="174">
        <v>3420</v>
      </c>
      <c r="I220" s="175">
        <v>0</v>
      </c>
      <c r="J220" s="174">
        <v>0</v>
      </c>
      <c r="K220" s="174">
        <v>0</v>
      </c>
      <c r="L220" s="174">
        <v>0</v>
      </c>
      <c r="M220" s="174">
        <v>0</v>
      </c>
      <c r="N220" s="174">
        <v>0</v>
      </c>
      <c r="O220" s="178">
        <v>0</v>
      </c>
    </row>
    <row r="221" spans="1:15">
      <c r="A221" s="177">
        <v>2190</v>
      </c>
      <c r="B221" s="177">
        <v>2200</v>
      </c>
      <c r="C221" s="173">
        <v>2190000</v>
      </c>
      <c r="D221" s="174">
        <v>25630</v>
      </c>
      <c r="E221" s="174">
        <v>18670</v>
      </c>
      <c r="F221" s="174">
        <v>10370</v>
      </c>
      <c r="G221" s="174">
        <v>6990</v>
      </c>
      <c r="H221" s="174">
        <v>3620</v>
      </c>
      <c r="I221" s="175">
        <v>0</v>
      </c>
      <c r="J221" s="174">
        <v>0</v>
      </c>
      <c r="K221" s="174">
        <v>0</v>
      </c>
      <c r="L221" s="174">
        <v>0</v>
      </c>
      <c r="M221" s="174">
        <v>0</v>
      </c>
      <c r="N221" s="174">
        <v>0</v>
      </c>
      <c r="O221" s="178">
        <v>0</v>
      </c>
    </row>
    <row r="222" spans="1:15">
      <c r="A222" s="177">
        <v>2200</v>
      </c>
      <c r="B222" s="177">
        <v>2210</v>
      </c>
      <c r="C222" s="173">
        <v>2200000</v>
      </c>
      <c r="D222" s="174">
        <v>25950</v>
      </c>
      <c r="E222" s="174">
        <v>18950</v>
      </c>
      <c r="F222" s="174">
        <v>10570</v>
      </c>
      <c r="G222" s="174">
        <v>7190</v>
      </c>
      <c r="H222" s="174">
        <v>3820</v>
      </c>
      <c r="I222" s="175">
        <v>0</v>
      </c>
      <c r="J222" s="174">
        <v>0</v>
      </c>
      <c r="K222" s="174">
        <v>0</v>
      </c>
      <c r="L222" s="174">
        <v>0</v>
      </c>
      <c r="M222" s="174">
        <v>0</v>
      </c>
      <c r="N222" s="174">
        <v>0</v>
      </c>
      <c r="O222" s="178">
        <v>0</v>
      </c>
    </row>
    <row r="223" spans="1:15">
      <c r="A223" s="177">
        <v>2210</v>
      </c>
      <c r="B223" s="177">
        <v>2220</v>
      </c>
      <c r="C223" s="173">
        <v>2210000</v>
      </c>
      <c r="D223" s="174">
        <v>26270</v>
      </c>
      <c r="E223" s="174">
        <v>19270</v>
      </c>
      <c r="F223" s="174">
        <v>10760</v>
      </c>
      <c r="G223" s="174">
        <v>7390</v>
      </c>
      <c r="H223" s="174">
        <v>4010</v>
      </c>
      <c r="I223" s="175">
        <v>0</v>
      </c>
      <c r="J223" s="174">
        <v>0</v>
      </c>
      <c r="K223" s="174">
        <v>0</v>
      </c>
      <c r="L223" s="174">
        <v>0</v>
      </c>
      <c r="M223" s="174">
        <v>0</v>
      </c>
      <c r="N223" s="174">
        <v>0</v>
      </c>
      <c r="O223" s="178">
        <v>0</v>
      </c>
    </row>
    <row r="224" spans="1:15">
      <c r="A224" s="177">
        <v>2220</v>
      </c>
      <c r="B224" s="177">
        <v>2230</v>
      </c>
      <c r="C224" s="173">
        <v>2220000</v>
      </c>
      <c r="D224" s="174">
        <v>26590</v>
      </c>
      <c r="E224" s="174">
        <v>19590</v>
      </c>
      <c r="F224" s="174">
        <v>10960</v>
      </c>
      <c r="G224" s="174">
        <v>7590</v>
      </c>
      <c r="H224" s="174">
        <v>4210</v>
      </c>
      <c r="I224" s="175">
        <v>0</v>
      </c>
      <c r="J224" s="174">
        <v>0</v>
      </c>
      <c r="K224" s="174">
        <v>0</v>
      </c>
      <c r="L224" s="174">
        <v>0</v>
      </c>
      <c r="M224" s="174">
        <v>0</v>
      </c>
      <c r="N224" s="174">
        <v>0</v>
      </c>
      <c r="O224" s="178">
        <v>0</v>
      </c>
    </row>
    <row r="225" spans="1:15">
      <c r="A225" s="177">
        <v>2230</v>
      </c>
      <c r="B225" s="177">
        <v>2240</v>
      </c>
      <c r="C225" s="173">
        <v>2230000</v>
      </c>
      <c r="D225" s="174">
        <v>26910</v>
      </c>
      <c r="E225" s="174">
        <v>19910</v>
      </c>
      <c r="F225" s="174">
        <v>11160</v>
      </c>
      <c r="G225" s="174">
        <v>7790</v>
      </c>
      <c r="H225" s="174">
        <v>4410</v>
      </c>
      <c r="I225" s="175">
        <v>1040</v>
      </c>
      <c r="J225" s="174">
        <v>0</v>
      </c>
      <c r="K225" s="174">
        <v>0</v>
      </c>
      <c r="L225" s="174">
        <v>0</v>
      </c>
      <c r="M225" s="174">
        <v>0</v>
      </c>
      <c r="N225" s="174">
        <v>0</v>
      </c>
      <c r="O225" s="178">
        <v>0</v>
      </c>
    </row>
    <row r="226" spans="1:15">
      <c r="A226" s="177">
        <v>2240</v>
      </c>
      <c r="B226" s="177">
        <v>2250</v>
      </c>
      <c r="C226" s="173">
        <v>2240000</v>
      </c>
      <c r="D226" s="174">
        <v>27240</v>
      </c>
      <c r="E226" s="174">
        <v>20240</v>
      </c>
      <c r="F226" s="174">
        <v>11360</v>
      </c>
      <c r="G226" s="174">
        <v>7980</v>
      </c>
      <c r="H226" s="174">
        <v>4610</v>
      </c>
      <c r="I226" s="175">
        <v>1230</v>
      </c>
      <c r="J226" s="174">
        <v>0</v>
      </c>
      <c r="K226" s="174">
        <v>0</v>
      </c>
      <c r="L226" s="174">
        <v>0</v>
      </c>
      <c r="M226" s="174">
        <v>0</v>
      </c>
      <c r="N226" s="174">
        <v>0</v>
      </c>
      <c r="O226" s="178">
        <v>0</v>
      </c>
    </row>
    <row r="227" spans="1:15">
      <c r="A227" s="177">
        <v>2250</v>
      </c>
      <c r="B227" s="177">
        <v>2260</v>
      </c>
      <c r="C227" s="173">
        <v>2250000</v>
      </c>
      <c r="D227" s="174">
        <v>27560</v>
      </c>
      <c r="E227" s="174">
        <v>20560</v>
      </c>
      <c r="F227" s="174">
        <v>11560</v>
      </c>
      <c r="G227" s="174">
        <v>8180</v>
      </c>
      <c r="H227" s="174">
        <v>4810</v>
      </c>
      <c r="I227" s="175">
        <v>1430</v>
      </c>
      <c r="J227" s="174">
        <v>0</v>
      </c>
      <c r="K227" s="174">
        <v>0</v>
      </c>
      <c r="L227" s="174">
        <v>0</v>
      </c>
      <c r="M227" s="174">
        <v>0</v>
      </c>
      <c r="N227" s="174">
        <v>0</v>
      </c>
      <c r="O227" s="178">
        <v>0</v>
      </c>
    </row>
    <row r="228" spans="1:15">
      <c r="A228" s="177">
        <v>2260</v>
      </c>
      <c r="B228" s="177">
        <v>2270</v>
      </c>
      <c r="C228" s="173">
        <v>2260000</v>
      </c>
      <c r="D228" s="174">
        <v>27880</v>
      </c>
      <c r="E228" s="174">
        <v>20880</v>
      </c>
      <c r="F228" s="174">
        <v>11760</v>
      </c>
      <c r="G228" s="174">
        <v>8380</v>
      </c>
      <c r="H228" s="174">
        <v>5010</v>
      </c>
      <c r="I228" s="175">
        <v>1630</v>
      </c>
      <c r="J228" s="174">
        <v>0</v>
      </c>
      <c r="K228" s="174">
        <v>0</v>
      </c>
      <c r="L228" s="174">
        <v>0</v>
      </c>
      <c r="M228" s="174">
        <v>0</v>
      </c>
      <c r="N228" s="174">
        <v>0</v>
      </c>
      <c r="O228" s="178">
        <v>0</v>
      </c>
    </row>
    <row r="229" spans="1:15">
      <c r="A229" s="177">
        <v>2270</v>
      </c>
      <c r="B229" s="177">
        <v>2280</v>
      </c>
      <c r="C229" s="173">
        <v>2270000</v>
      </c>
      <c r="D229" s="174">
        <v>28200</v>
      </c>
      <c r="E229" s="174">
        <v>21200</v>
      </c>
      <c r="F229" s="174">
        <v>11960</v>
      </c>
      <c r="G229" s="174">
        <v>8580</v>
      </c>
      <c r="H229" s="174">
        <v>5210</v>
      </c>
      <c r="I229" s="175">
        <v>1830</v>
      </c>
      <c r="J229" s="174">
        <v>0</v>
      </c>
      <c r="K229" s="174">
        <v>0</v>
      </c>
      <c r="L229" s="174">
        <v>0</v>
      </c>
      <c r="M229" s="174">
        <v>0</v>
      </c>
      <c r="N229" s="174">
        <v>0</v>
      </c>
      <c r="O229" s="178">
        <v>0</v>
      </c>
    </row>
    <row r="230" spans="1:15">
      <c r="A230" s="177">
        <v>2280</v>
      </c>
      <c r="B230" s="177">
        <v>2290</v>
      </c>
      <c r="C230" s="173">
        <v>2280000</v>
      </c>
      <c r="D230" s="174">
        <v>28520</v>
      </c>
      <c r="E230" s="174">
        <v>21520</v>
      </c>
      <c r="F230" s="174">
        <v>12150</v>
      </c>
      <c r="G230" s="174">
        <v>8780</v>
      </c>
      <c r="H230" s="174">
        <v>5400</v>
      </c>
      <c r="I230" s="175">
        <v>2030</v>
      </c>
      <c r="J230" s="174">
        <v>0</v>
      </c>
      <c r="K230" s="174">
        <v>0</v>
      </c>
      <c r="L230" s="174">
        <v>0</v>
      </c>
      <c r="M230" s="174">
        <v>0</v>
      </c>
      <c r="N230" s="174">
        <v>0</v>
      </c>
      <c r="O230" s="178">
        <v>0</v>
      </c>
    </row>
    <row r="231" spans="1:15">
      <c r="A231" s="177">
        <v>2290</v>
      </c>
      <c r="B231" s="177">
        <v>2300</v>
      </c>
      <c r="C231" s="173">
        <v>2290000</v>
      </c>
      <c r="D231" s="174">
        <v>28840</v>
      </c>
      <c r="E231" s="174">
        <v>21840</v>
      </c>
      <c r="F231" s="174">
        <v>12350</v>
      </c>
      <c r="G231" s="174">
        <v>8980</v>
      </c>
      <c r="H231" s="174">
        <v>5600</v>
      </c>
      <c r="I231" s="175">
        <v>2230</v>
      </c>
      <c r="J231" s="174">
        <v>0</v>
      </c>
      <c r="K231" s="174">
        <v>0</v>
      </c>
      <c r="L231" s="174">
        <v>0</v>
      </c>
      <c r="M231" s="174">
        <v>0</v>
      </c>
      <c r="N231" s="174">
        <v>0</v>
      </c>
      <c r="O231" s="178">
        <v>0</v>
      </c>
    </row>
    <row r="232" spans="1:15">
      <c r="A232" s="177">
        <v>2300</v>
      </c>
      <c r="B232" s="177">
        <v>2310</v>
      </c>
      <c r="C232" s="173">
        <v>2300000</v>
      </c>
      <c r="D232" s="174">
        <v>29160</v>
      </c>
      <c r="E232" s="174">
        <v>22160</v>
      </c>
      <c r="F232" s="174">
        <v>12550</v>
      </c>
      <c r="G232" s="174">
        <v>9180</v>
      </c>
      <c r="H232" s="174">
        <v>5800</v>
      </c>
      <c r="I232" s="175">
        <v>2430</v>
      </c>
      <c r="J232" s="174">
        <v>0</v>
      </c>
      <c r="K232" s="174">
        <v>0</v>
      </c>
      <c r="L232" s="174">
        <v>0</v>
      </c>
      <c r="M232" s="174">
        <v>0</v>
      </c>
      <c r="N232" s="174">
        <v>0</v>
      </c>
      <c r="O232" s="178">
        <v>0</v>
      </c>
    </row>
    <row r="233" spans="1:15">
      <c r="A233" s="177">
        <v>2310</v>
      </c>
      <c r="B233" s="177">
        <v>2320</v>
      </c>
      <c r="C233" s="173">
        <v>2310000</v>
      </c>
      <c r="D233" s="174">
        <v>29480</v>
      </c>
      <c r="E233" s="174">
        <v>22480</v>
      </c>
      <c r="F233" s="174">
        <v>12750</v>
      </c>
      <c r="G233" s="174">
        <v>9370</v>
      </c>
      <c r="H233" s="174">
        <v>6000</v>
      </c>
      <c r="I233" s="175">
        <v>2620</v>
      </c>
      <c r="J233" s="174">
        <v>0</v>
      </c>
      <c r="K233" s="174">
        <v>0</v>
      </c>
      <c r="L233" s="174">
        <v>0</v>
      </c>
      <c r="M233" s="174">
        <v>0</v>
      </c>
      <c r="N233" s="174">
        <v>0</v>
      </c>
      <c r="O233" s="178">
        <v>0</v>
      </c>
    </row>
    <row r="234" spans="1:15">
      <c r="A234" s="177">
        <v>2320</v>
      </c>
      <c r="B234" s="177">
        <v>2330</v>
      </c>
      <c r="C234" s="173">
        <v>2320000</v>
      </c>
      <c r="D234" s="174">
        <v>29810</v>
      </c>
      <c r="E234" s="174">
        <v>22810</v>
      </c>
      <c r="F234" s="174">
        <v>12950</v>
      </c>
      <c r="G234" s="174">
        <v>9570</v>
      </c>
      <c r="H234" s="174">
        <v>6200</v>
      </c>
      <c r="I234" s="175">
        <v>2820</v>
      </c>
      <c r="J234" s="174">
        <v>0</v>
      </c>
      <c r="K234" s="174">
        <v>0</v>
      </c>
      <c r="L234" s="174">
        <v>0</v>
      </c>
      <c r="M234" s="174">
        <v>0</v>
      </c>
      <c r="N234" s="174">
        <v>0</v>
      </c>
      <c r="O234" s="178">
        <v>0</v>
      </c>
    </row>
    <row r="235" spans="1:15">
      <c r="A235" s="177">
        <v>2330</v>
      </c>
      <c r="B235" s="177">
        <v>2340</v>
      </c>
      <c r="C235" s="173">
        <v>2330000</v>
      </c>
      <c r="D235" s="174">
        <v>30130</v>
      </c>
      <c r="E235" s="174">
        <v>23130</v>
      </c>
      <c r="F235" s="174">
        <v>13150</v>
      </c>
      <c r="G235" s="174">
        <v>9770</v>
      </c>
      <c r="H235" s="174">
        <v>6400</v>
      </c>
      <c r="I235" s="175">
        <v>3020</v>
      </c>
      <c r="J235" s="174">
        <v>0</v>
      </c>
      <c r="K235" s="174">
        <v>0</v>
      </c>
      <c r="L235" s="174">
        <v>0</v>
      </c>
      <c r="M235" s="174">
        <v>0</v>
      </c>
      <c r="N235" s="174">
        <v>0</v>
      </c>
      <c r="O235" s="178">
        <v>0</v>
      </c>
    </row>
    <row r="236" spans="1:15">
      <c r="A236" s="177">
        <v>2340</v>
      </c>
      <c r="B236" s="177">
        <v>2350</v>
      </c>
      <c r="C236" s="173">
        <v>2340000</v>
      </c>
      <c r="D236" s="174">
        <v>30450</v>
      </c>
      <c r="E236" s="174">
        <v>23450</v>
      </c>
      <c r="F236" s="174">
        <v>13340</v>
      </c>
      <c r="G236" s="174">
        <v>9970</v>
      </c>
      <c r="H236" s="174">
        <v>6590</v>
      </c>
      <c r="I236" s="175">
        <v>3220</v>
      </c>
      <c r="J236" s="174">
        <v>0</v>
      </c>
      <c r="K236" s="174">
        <v>0</v>
      </c>
      <c r="L236" s="174">
        <v>0</v>
      </c>
      <c r="M236" s="174">
        <v>0</v>
      </c>
      <c r="N236" s="174">
        <v>0</v>
      </c>
      <c r="O236" s="178">
        <v>0</v>
      </c>
    </row>
    <row r="237" spans="1:15">
      <c r="A237" s="177">
        <v>2350</v>
      </c>
      <c r="B237" s="177">
        <v>2360</v>
      </c>
      <c r="C237" s="173">
        <v>2350000</v>
      </c>
      <c r="D237" s="174">
        <v>30770</v>
      </c>
      <c r="E237" s="174">
        <v>23770</v>
      </c>
      <c r="F237" s="174">
        <v>13540</v>
      </c>
      <c r="G237" s="174">
        <v>10170</v>
      </c>
      <c r="H237" s="174">
        <v>6790</v>
      </c>
      <c r="I237" s="175">
        <v>3420</v>
      </c>
      <c r="J237" s="174">
        <v>0</v>
      </c>
      <c r="K237" s="174">
        <v>0</v>
      </c>
      <c r="L237" s="174">
        <v>0</v>
      </c>
      <c r="M237" s="174">
        <v>0</v>
      </c>
      <c r="N237" s="174">
        <v>0</v>
      </c>
      <c r="O237" s="178">
        <v>0</v>
      </c>
    </row>
    <row r="238" spans="1:15">
      <c r="A238" s="177">
        <v>2360</v>
      </c>
      <c r="B238" s="177">
        <v>2370</v>
      </c>
      <c r="C238" s="173">
        <v>2360000</v>
      </c>
      <c r="D238" s="174">
        <v>31090</v>
      </c>
      <c r="E238" s="174">
        <v>24090</v>
      </c>
      <c r="F238" s="174">
        <v>13740</v>
      </c>
      <c r="G238" s="174">
        <v>10370</v>
      </c>
      <c r="H238" s="174">
        <v>6990</v>
      </c>
      <c r="I238" s="175">
        <v>3620</v>
      </c>
      <c r="J238" s="174">
        <v>0</v>
      </c>
      <c r="K238" s="174">
        <v>0</v>
      </c>
      <c r="L238" s="174">
        <v>0</v>
      </c>
      <c r="M238" s="174">
        <v>0</v>
      </c>
      <c r="N238" s="174">
        <v>0</v>
      </c>
      <c r="O238" s="178">
        <v>0</v>
      </c>
    </row>
    <row r="239" spans="1:15">
      <c r="A239" s="177">
        <v>2370</v>
      </c>
      <c r="B239" s="177">
        <v>2380</v>
      </c>
      <c r="C239" s="173">
        <v>2370000</v>
      </c>
      <c r="D239" s="174">
        <v>31410</v>
      </c>
      <c r="E239" s="174">
        <v>24410</v>
      </c>
      <c r="F239" s="174">
        <v>13940</v>
      </c>
      <c r="G239" s="174">
        <v>10560</v>
      </c>
      <c r="H239" s="174">
        <v>7190</v>
      </c>
      <c r="I239" s="175">
        <v>3810</v>
      </c>
      <c r="J239" s="174">
        <v>0</v>
      </c>
      <c r="K239" s="174">
        <v>0</v>
      </c>
      <c r="L239" s="174">
        <v>0</v>
      </c>
      <c r="M239" s="174">
        <v>0</v>
      </c>
      <c r="N239" s="174">
        <v>0</v>
      </c>
      <c r="O239" s="178">
        <v>0</v>
      </c>
    </row>
    <row r="240" spans="1:15">
      <c r="A240" s="177">
        <v>2380</v>
      </c>
      <c r="B240" s="177">
        <v>2390</v>
      </c>
      <c r="C240" s="173">
        <v>2380000</v>
      </c>
      <c r="D240" s="174">
        <v>31730</v>
      </c>
      <c r="E240" s="174">
        <v>24730</v>
      </c>
      <c r="F240" s="174">
        <v>14140</v>
      </c>
      <c r="G240" s="174">
        <v>10760</v>
      </c>
      <c r="H240" s="174">
        <v>7390</v>
      </c>
      <c r="I240" s="175">
        <v>4010</v>
      </c>
      <c r="J240" s="174">
        <v>0</v>
      </c>
      <c r="K240" s="174">
        <v>0</v>
      </c>
      <c r="L240" s="174">
        <v>0</v>
      </c>
      <c r="M240" s="174">
        <v>0</v>
      </c>
      <c r="N240" s="174">
        <v>0</v>
      </c>
      <c r="O240" s="178">
        <v>0</v>
      </c>
    </row>
    <row r="241" spans="1:15">
      <c r="A241" s="177">
        <v>2390</v>
      </c>
      <c r="B241" s="177">
        <v>2400</v>
      </c>
      <c r="C241" s="173">
        <v>2390000</v>
      </c>
      <c r="D241" s="174">
        <v>32050</v>
      </c>
      <c r="E241" s="174">
        <v>25050</v>
      </c>
      <c r="F241" s="174">
        <v>14340</v>
      </c>
      <c r="G241" s="174">
        <v>10960</v>
      </c>
      <c r="H241" s="174">
        <v>7590</v>
      </c>
      <c r="I241" s="175">
        <v>4210</v>
      </c>
      <c r="J241" s="174">
        <v>0</v>
      </c>
      <c r="K241" s="174">
        <v>0</v>
      </c>
      <c r="L241" s="174">
        <v>0</v>
      </c>
      <c r="M241" s="174">
        <v>0</v>
      </c>
      <c r="N241" s="174">
        <v>0</v>
      </c>
      <c r="O241" s="178">
        <v>0</v>
      </c>
    </row>
    <row r="242" spans="1:15">
      <c r="A242" s="177">
        <v>2400</v>
      </c>
      <c r="B242" s="177">
        <v>2410</v>
      </c>
      <c r="C242" s="173">
        <v>2400000</v>
      </c>
      <c r="D242" s="174">
        <v>32380</v>
      </c>
      <c r="E242" s="174">
        <v>25380</v>
      </c>
      <c r="F242" s="174">
        <v>14530</v>
      </c>
      <c r="G242" s="174">
        <v>11160</v>
      </c>
      <c r="H242" s="174">
        <v>7780</v>
      </c>
      <c r="I242" s="175">
        <v>4410</v>
      </c>
      <c r="J242" s="174">
        <v>1030</v>
      </c>
      <c r="K242" s="174">
        <v>0</v>
      </c>
      <c r="L242" s="174">
        <v>0</v>
      </c>
      <c r="M242" s="174">
        <v>0</v>
      </c>
      <c r="N242" s="174">
        <v>0</v>
      </c>
      <c r="O242" s="178">
        <v>0</v>
      </c>
    </row>
    <row r="243" spans="1:15">
      <c r="A243" s="177">
        <v>2410</v>
      </c>
      <c r="B243" s="177">
        <v>2420</v>
      </c>
      <c r="C243" s="173">
        <v>2410000</v>
      </c>
      <c r="D243" s="174">
        <v>32700</v>
      </c>
      <c r="E243" s="174">
        <v>25700</v>
      </c>
      <c r="F243" s="174">
        <v>14730</v>
      </c>
      <c r="G243" s="174">
        <v>11360</v>
      </c>
      <c r="H243" s="174">
        <v>7980</v>
      </c>
      <c r="I243" s="175">
        <v>4610</v>
      </c>
      <c r="J243" s="174">
        <v>1230</v>
      </c>
      <c r="K243" s="174">
        <v>0</v>
      </c>
      <c r="L243" s="174">
        <v>0</v>
      </c>
      <c r="M243" s="174">
        <v>0</v>
      </c>
      <c r="N243" s="174">
        <v>0</v>
      </c>
      <c r="O243" s="178">
        <v>0</v>
      </c>
    </row>
    <row r="244" spans="1:15">
      <c r="A244" s="177">
        <v>2420</v>
      </c>
      <c r="B244" s="177">
        <v>2430</v>
      </c>
      <c r="C244" s="173">
        <v>2420000</v>
      </c>
      <c r="D244" s="174">
        <v>33020</v>
      </c>
      <c r="E244" s="174">
        <v>26020</v>
      </c>
      <c r="F244" s="174">
        <v>14930</v>
      </c>
      <c r="G244" s="174">
        <v>11560</v>
      </c>
      <c r="H244" s="174">
        <v>8180</v>
      </c>
      <c r="I244" s="175">
        <v>4810</v>
      </c>
      <c r="J244" s="174">
        <v>1430</v>
      </c>
      <c r="K244" s="174">
        <v>0</v>
      </c>
      <c r="L244" s="174">
        <v>0</v>
      </c>
      <c r="M244" s="174">
        <v>0</v>
      </c>
      <c r="N244" s="174">
        <v>0</v>
      </c>
      <c r="O244" s="178">
        <v>0</v>
      </c>
    </row>
    <row r="245" spans="1:15">
      <c r="A245" s="177">
        <v>2430</v>
      </c>
      <c r="B245" s="177">
        <v>2440</v>
      </c>
      <c r="C245" s="173">
        <v>2430000</v>
      </c>
      <c r="D245" s="174">
        <v>33340</v>
      </c>
      <c r="E245" s="174">
        <v>26340</v>
      </c>
      <c r="F245" s="174">
        <v>15130</v>
      </c>
      <c r="G245" s="174">
        <v>11760</v>
      </c>
      <c r="H245" s="174">
        <v>8380</v>
      </c>
      <c r="I245" s="175">
        <v>5010</v>
      </c>
      <c r="J245" s="174">
        <v>1630</v>
      </c>
      <c r="K245" s="174">
        <v>0</v>
      </c>
      <c r="L245" s="174">
        <v>0</v>
      </c>
      <c r="M245" s="174">
        <v>0</v>
      </c>
      <c r="N245" s="174">
        <v>0</v>
      </c>
      <c r="O245" s="178">
        <v>0</v>
      </c>
    </row>
    <row r="246" spans="1:15">
      <c r="A246" s="177">
        <v>2440</v>
      </c>
      <c r="B246" s="177">
        <v>2450</v>
      </c>
      <c r="C246" s="173">
        <v>2440000</v>
      </c>
      <c r="D246" s="174">
        <v>33660</v>
      </c>
      <c r="E246" s="174">
        <v>26660</v>
      </c>
      <c r="F246" s="174">
        <v>15330</v>
      </c>
      <c r="G246" s="174">
        <v>11950</v>
      </c>
      <c r="H246" s="174">
        <v>8580</v>
      </c>
      <c r="I246" s="175">
        <v>5200</v>
      </c>
      <c r="J246" s="174">
        <v>1830</v>
      </c>
      <c r="K246" s="174">
        <v>0</v>
      </c>
      <c r="L246" s="174">
        <v>0</v>
      </c>
      <c r="M246" s="174">
        <v>0</v>
      </c>
      <c r="N246" s="174">
        <v>0</v>
      </c>
      <c r="O246" s="178">
        <v>0</v>
      </c>
    </row>
    <row r="247" spans="1:15">
      <c r="A247" s="177">
        <v>2450</v>
      </c>
      <c r="B247" s="177">
        <v>2460</v>
      </c>
      <c r="C247" s="173">
        <v>2450000</v>
      </c>
      <c r="D247" s="174">
        <v>33980</v>
      </c>
      <c r="E247" s="174">
        <v>26980</v>
      </c>
      <c r="F247" s="174">
        <v>15530</v>
      </c>
      <c r="G247" s="174">
        <v>12150</v>
      </c>
      <c r="H247" s="174">
        <v>8780</v>
      </c>
      <c r="I247" s="175">
        <v>5400</v>
      </c>
      <c r="J247" s="174">
        <v>2030</v>
      </c>
      <c r="K247" s="174">
        <v>0</v>
      </c>
      <c r="L247" s="174">
        <v>0</v>
      </c>
      <c r="M247" s="174">
        <v>0</v>
      </c>
      <c r="N247" s="174">
        <v>0</v>
      </c>
      <c r="O247" s="178">
        <v>0</v>
      </c>
    </row>
    <row r="248" spans="1:15">
      <c r="A248" s="177">
        <v>2460</v>
      </c>
      <c r="B248" s="177">
        <v>2470</v>
      </c>
      <c r="C248" s="173">
        <v>2460000</v>
      </c>
      <c r="D248" s="174">
        <v>34300</v>
      </c>
      <c r="E248" s="174">
        <v>27300</v>
      </c>
      <c r="F248" s="174">
        <v>15730</v>
      </c>
      <c r="G248" s="174">
        <v>12350</v>
      </c>
      <c r="H248" s="174">
        <v>8980</v>
      </c>
      <c r="I248" s="175">
        <v>5600</v>
      </c>
      <c r="J248" s="174">
        <v>2230</v>
      </c>
      <c r="K248" s="174">
        <v>0</v>
      </c>
      <c r="L248" s="174">
        <v>0</v>
      </c>
      <c r="M248" s="174">
        <v>0</v>
      </c>
      <c r="N248" s="174">
        <v>0</v>
      </c>
      <c r="O248" s="178">
        <v>0</v>
      </c>
    </row>
    <row r="249" spans="1:15">
      <c r="A249" s="177">
        <v>2470</v>
      </c>
      <c r="B249" s="177">
        <v>2480</v>
      </c>
      <c r="C249" s="173">
        <v>2470000</v>
      </c>
      <c r="D249" s="174">
        <v>34630</v>
      </c>
      <c r="E249" s="174">
        <v>27630</v>
      </c>
      <c r="F249" s="174">
        <v>15920</v>
      </c>
      <c r="G249" s="174">
        <v>12550</v>
      </c>
      <c r="H249" s="174">
        <v>9170</v>
      </c>
      <c r="I249" s="175">
        <v>5800</v>
      </c>
      <c r="J249" s="174">
        <v>2420</v>
      </c>
      <c r="K249" s="174">
        <v>0</v>
      </c>
      <c r="L249" s="174">
        <v>0</v>
      </c>
      <c r="M249" s="174">
        <v>0</v>
      </c>
      <c r="N249" s="174">
        <v>0</v>
      </c>
      <c r="O249" s="178">
        <v>0</v>
      </c>
    </row>
    <row r="250" spans="1:15">
      <c r="A250" s="177">
        <v>2480</v>
      </c>
      <c r="B250" s="177">
        <v>2490</v>
      </c>
      <c r="C250" s="173">
        <v>2480000</v>
      </c>
      <c r="D250" s="174">
        <v>34950</v>
      </c>
      <c r="E250" s="174">
        <v>27950</v>
      </c>
      <c r="F250" s="174">
        <v>16120</v>
      </c>
      <c r="G250" s="174">
        <v>12750</v>
      </c>
      <c r="H250" s="174">
        <v>9370</v>
      </c>
      <c r="I250" s="175">
        <v>6000</v>
      </c>
      <c r="J250" s="174">
        <v>2620</v>
      </c>
      <c r="K250" s="174">
        <v>0</v>
      </c>
      <c r="L250" s="174">
        <v>0</v>
      </c>
      <c r="M250" s="174">
        <v>0</v>
      </c>
      <c r="N250" s="174">
        <v>0</v>
      </c>
      <c r="O250" s="178">
        <v>0</v>
      </c>
    </row>
    <row r="251" spans="1:15">
      <c r="A251" s="177">
        <v>2490</v>
      </c>
      <c r="B251" s="177">
        <v>2500</v>
      </c>
      <c r="C251" s="173">
        <v>2490000</v>
      </c>
      <c r="D251" s="174">
        <v>35270</v>
      </c>
      <c r="E251" s="174">
        <v>28270</v>
      </c>
      <c r="F251" s="174">
        <v>16320</v>
      </c>
      <c r="G251" s="174">
        <v>12950</v>
      </c>
      <c r="H251" s="174">
        <v>9570</v>
      </c>
      <c r="I251" s="175">
        <v>6200</v>
      </c>
      <c r="J251" s="174">
        <v>2820</v>
      </c>
      <c r="K251" s="174">
        <v>0</v>
      </c>
      <c r="L251" s="174">
        <v>0</v>
      </c>
      <c r="M251" s="174">
        <v>0</v>
      </c>
      <c r="N251" s="174">
        <v>0</v>
      </c>
      <c r="O251" s="178">
        <v>0</v>
      </c>
    </row>
    <row r="252" spans="1:15">
      <c r="A252" s="177">
        <v>2500</v>
      </c>
      <c r="B252" s="177">
        <v>2510</v>
      </c>
      <c r="C252" s="173">
        <v>2500000</v>
      </c>
      <c r="D252" s="174">
        <v>35600</v>
      </c>
      <c r="E252" s="174">
        <v>28600</v>
      </c>
      <c r="F252" s="174">
        <v>16530</v>
      </c>
      <c r="G252" s="174">
        <v>13150</v>
      </c>
      <c r="H252" s="174">
        <v>9780</v>
      </c>
      <c r="I252" s="175">
        <v>6400</v>
      </c>
      <c r="J252" s="174">
        <v>3030</v>
      </c>
      <c r="K252" s="174">
        <v>0</v>
      </c>
      <c r="L252" s="174">
        <v>0</v>
      </c>
      <c r="M252" s="174">
        <v>0</v>
      </c>
      <c r="N252" s="174">
        <v>0</v>
      </c>
      <c r="O252" s="178">
        <v>0</v>
      </c>
    </row>
    <row r="253" spans="1:15">
      <c r="A253" s="177">
        <v>2510</v>
      </c>
      <c r="B253" s="177">
        <v>2520</v>
      </c>
      <c r="C253" s="173">
        <v>2510000</v>
      </c>
      <c r="D253" s="174">
        <v>35940</v>
      </c>
      <c r="E253" s="174">
        <v>28940</v>
      </c>
      <c r="F253" s="174">
        <v>16740</v>
      </c>
      <c r="G253" s="174">
        <v>13360</v>
      </c>
      <c r="H253" s="174">
        <v>9990</v>
      </c>
      <c r="I253" s="175">
        <v>6610</v>
      </c>
      <c r="J253" s="174">
        <v>3240</v>
      </c>
      <c r="K253" s="174">
        <v>0</v>
      </c>
      <c r="L253" s="174">
        <v>0</v>
      </c>
      <c r="M253" s="174">
        <v>0</v>
      </c>
      <c r="N253" s="174">
        <v>0</v>
      </c>
      <c r="O253" s="178">
        <v>0</v>
      </c>
    </row>
    <row r="254" spans="1:15">
      <c r="A254" s="177">
        <v>2520</v>
      </c>
      <c r="B254" s="177">
        <v>2530</v>
      </c>
      <c r="C254" s="173">
        <v>2520000</v>
      </c>
      <c r="D254" s="174">
        <v>36280</v>
      </c>
      <c r="E254" s="174">
        <v>29280</v>
      </c>
      <c r="F254" s="174">
        <v>16950</v>
      </c>
      <c r="G254" s="174">
        <v>13580</v>
      </c>
      <c r="H254" s="174">
        <v>10200</v>
      </c>
      <c r="I254" s="175">
        <v>6830</v>
      </c>
      <c r="J254" s="174">
        <v>3450</v>
      </c>
      <c r="K254" s="174">
        <v>0</v>
      </c>
      <c r="L254" s="174">
        <v>0</v>
      </c>
      <c r="M254" s="174">
        <v>0</v>
      </c>
      <c r="N254" s="174">
        <v>0</v>
      </c>
      <c r="O254" s="178">
        <v>0</v>
      </c>
    </row>
    <row r="255" spans="1:15">
      <c r="A255" s="177">
        <v>2530</v>
      </c>
      <c r="B255" s="177">
        <v>2540</v>
      </c>
      <c r="C255" s="173">
        <v>2530000</v>
      </c>
      <c r="D255" s="174">
        <v>36630</v>
      </c>
      <c r="E255" s="174">
        <v>29630</v>
      </c>
      <c r="F255" s="174">
        <v>17160</v>
      </c>
      <c r="G255" s="174">
        <v>13790</v>
      </c>
      <c r="H255" s="174">
        <v>10410</v>
      </c>
      <c r="I255" s="175">
        <v>7040</v>
      </c>
      <c r="J255" s="174">
        <v>3660</v>
      </c>
      <c r="K255" s="174">
        <v>0</v>
      </c>
      <c r="L255" s="174">
        <v>0</v>
      </c>
      <c r="M255" s="174">
        <v>0</v>
      </c>
      <c r="N255" s="174">
        <v>0</v>
      </c>
      <c r="O255" s="178">
        <v>0</v>
      </c>
    </row>
    <row r="256" spans="1:15">
      <c r="A256" s="177">
        <v>2540</v>
      </c>
      <c r="B256" s="177">
        <v>2550</v>
      </c>
      <c r="C256" s="173">
        <v>2540000</v>
      </c>
      <c r="D256" s="174">
        <v>36970</v>
      </c>
      <c r="E256" s="174">
        <v>29970</v>
      </c>
      <c r="F256" s="174">
        <v>17370</v>
      </c>
      <c r="G256" s="174">
        <v>14000</v>
      </c>
      <c r="H256" s="174">
        <v>10620</v>
      </c>
      <c r="I256" s="175">
        <v>7250</v>
      </c>
      <c r="J256" s="174">
        <v>3870</v>
      </c>
      <c r="K256" s="174">
        <v>0</v>
      </c>
      <c r="L256" s="174">
        <v>0</v>
      </c>
      <c r="M256" s="174">
        <v>0</v>
      </c>
      <c r="N256" s="174">
        <v>0</v>
      </c>
      <c r="O256" s="178">
        <v>0</v>
      </c>
    </row>
    <row r="257" spans="1:15">
      <c r="A257" s="177">
        <v>2550</v>
      </c>
      <c r="B257" s="177">
        <v>2560</v>
      </c>
      <c r="C257" s="173">
        <v>2550000</v>
      </c>
      <c r="D257" s="174">
        <v>37310</v>
      </c>
      <c r="E257" s="174">
        <v>30310</v>
      </c>
      <c r="F257" s="174">
        <v>17590</v>
      </c>
      <c r="G257" s="174">
        <v>14210</v>
      </c>
      <c r="H257" s="174">
        <v>10840</v>
      </c>
      <c r="I257" s="175">
        <v>7460</v>
      </c>
      <c r="J257" s="174">
        <v>4090</v>
      </c>
      <c r="K257" s="174">
        <v>0</v>
      </c>
      <c r="L257" s="174">
        <v>0</v>
      </c>
      <c r="M257" s="174">
        <v>0</v>
      </c>
      <c r="N257" s="174">
        <v>0</v>
      </c>
      <c r="O257" s="178">
        <v>0</v>
      </c>
    </row>
    <row r="258" spans="1:15">
      <c r="A258" s="177">
        <v>2560</v>
      </c>
      <c r="B258" s="177">
        <v>2570</v>
      </c>
      <c r="C258" s="173">
        <v>2560000</v>
      </c>
      <c r="D258" s="174">
        <v>37650</v>
      </c>
      <c r="E258" s="174">
        <v>30650</v>
      </c>
      <c r="F258" s="174">
        <v>17800</v>
      </c>
      <c r="G258" s="174">
        <v>14420</v>
      </c>
      <c r="H258" s="174">
        <v>11050</v>
      </c>
      <c r="I258" s="175">
        <v>7670</v>
      </c>
      <c r="J258" s="174">
        <v>4300</v>
      </c>
      <c r="K258" s="174">
        <v>0</v>
      </c>
      <c r="L258" s="174">
        <v>0</v>
      </c>
      <c r="M258" s="174">
        <v>0</v>
      </c>
      <c r="N258" s="174">
        <v>0</v>
      </c>
      <c r="O258" s="178">
        <v>0</v>
      </c>
    </row>
    <row r="259" spans="1:15">
      <c r="A259" s="177">
        <v>2570</v>
      </c>
      <c r="B259" s="177">
        <v>2580</v>
      </c>
      <c r="C259" s="173">
        <v>2570000</v>
      </c>
      <c r="D259" s="174">
        <v>38000</v>
      </c>
      <c r="E259" s="174">
        <v>31000</v>
      </c>
      <c r="F259" s="174">
        <v>18010</v>
      </c>
      <c r="G259" s="174">
        <v>14630</v>
      </c>
      <c r="H259" s="174">
        <v>11260</v>
      </c>
      <c r="I259" s="175">
        <v>7880</v>
      </c>
      <c r="J259" s="174">
        <v>4510</v>
      </c>
      <c r="K259" s="174">
        <v>1130</v>
      </c>
      <c r="L259" s="174">
        <v>0</v>
      </c>
      <c r="M259" s="174">
        <v>0</v>
      </c>
      <c r="N259" s="174">
        <v>0</v>
      </c>
      <c r="O259" s="178">
        <v>0</v>
      </c>
    </row>
    <row r="260" spans="1:15">
      <c r="A260" s="177">
        <v>2580</v>
      </c>
      <c r="B260" s="177">
        <v>2590</v>
      </c>
      <c r="C260" s="173">
        <v>2580000</v>
      </c>
      <c r="D260" s="174">
        <v>38340</v>
      </c>
      <c r="E260" s="174">
        <v>31340</v>
      </c>
      <c r="F260" s="174">
        <v>18220</v>
      </c>
      <c r="G260" s="174">
        <v>14850</v>
      </c>
      <c r="H260" s="174">
        <v>11470</v>
      </c>
      <c r="I260" s="175">
        <v>8100</v>
      </c>
      <c r="J260" s="174">
        <v>4720</v>
      </c>
      <c r="K260" s="174">
        <v>1350</v>
      </c>
      <c r="L260" s="174">
        <v>0</v>
      </c>
      <c r="M260" s="174">
        <v>0</v>
      </c>
      <c r="N260" s="174">
        <v>0</v>
      </c>
      <c r="O260" s="178">
        <v>0</v>
      </c>
    </row>
    <row r="261" spans="1:15">
      <c r="A261" s="177">
        <v>2590</v>
      </c>
      <c r="B261" s="177">
        <v>2600</v>
      </c>
      <c r="C261" s="173">
        <v>2590000</v>
      </c>
      <c r="D261" s="174">
        <v>38830</v>
      </c>
      <c r="E261" s="174">
        <v>31680</v>
      </c>
      <c r="F261" s="174">
        <v>18430</v>
      </c>
      <c r="G261" s="174">
        <v>15060</v>
      </c>
      <c r="H261" s="174">
        <v>11680</v>
      </c>
      <c r="I261" s="175">
        <v>8310</v>
      </c>
      <c r="J261" s="174">
        <v>4930</v>
      </c>
      <c r="K261" s="174">
        <v>1560</v>
      </c>
      <c r="L261" s="174">
        <v>0</v>
      </c>
      <c r="M261" s="174">
        <v>0</v>
      </c>
      <c r="N261" s="174">
        <v>0</v>
      </c>
      <c r="O261" s="178">
        <v>0</v>
      </c>
    </row>
    <row r="262" spans="1:15">
      <c r="A262" s="177">
        <v>2600</v>
      </c>
      <c r="B262" s="177">
        <v>2610</v>
      </c>
      <c r="C262" s="173">
        <v>2600000</v>
      </c>
      <c r="D262" s="174">
        <v>39690</v>
      </c>
      <c r="E262" s="174">
        <v>32020</v>
      </c>
      <c r="F262" s="174">
        <v>18650</v>
      </c>
      <c r="G262" s="174">
        <v>15270</v>
      </c>
      <c r="H262" s="174">
        <v>11900</v>
      </c>
      <c r="I262" s="175">
        <v>8520</v>
      </c>
      <c r="J262" s="174">
        <v>5150</v>
      </c>
      <c r="K262" s="174">
        <v>1770</v>
      </c>
      <c r="L262" s="174">
        <v>0</v>
      </c>
      <c r="M262" s="174">
        <v>0</v>
      </c>
      <c r="N262" s="174">
        <v>0</v>
      </c>
      <c r="O262" s="178">
        <v>0</v>
      </c>
    </row>
    <row r="263" spans="1:15">
      <c r="A263" s="177">
        <v>2610</v>
      </c>
      <c r="B263" s="177">
        <v>2620</v>
      </c>
      <c r="C263" s="173">
        <v>2610000</v>
      </c>
      <c r="D263" s="174">
        <v>40540</v>
      </c>
      <c r="E263" s="174">
        <v>32360</v>
      </c>
      <c r="F263" s="174">
        <v>18920</v>
      </c>
      <c r="G263" s="174">
        <v>15480</v>
      </c>
      <c r="H263" s="174">
        <v>12110</v>
      </c>
      <c r="I263" s="175">
        <v>8730</v>
      </c>
      <c r="J263" s="174">
        <v>5360</v>
      </c>
      <c r="K263" s="174">
        <v>1980</v>
      </c>
      <c r="L263" s="174">
        <v>0</v>
      </c>
      <c r="M263" s="174">
        <v>0</v>
      </c>
      <c r="N263" s="174">
        <v>0</v>
      </c>
      <c r="O263" s="178">
        <v>0</v>
      </c>
    </row>
    <row r="264" spans="1:15">
      <c r="A264" s="177">
        <v>2620</v>
      </c>
      <c r="B264" s="177">
        <v>2630</v>
      </c>
      <c r="C264" s="173">
        <v>2620000</v>
      </c>
      <c r="D264" s="174">
        <v>41400</v>
      </c>
      <c r="E264" s="174">
        <v>32710</v>
      </c>
      <c r="F264" s="174">
        <v>19250</v>
      </c>
      <c r="G264" s="174">
        <v>15690</v>
      </c>
      <c r="H264" s="174">
        <v>12320</v>
      </c>
      <c r="I264" s="175">
        <v>8940</v>
      </c>
      <c r="J264" s="174">
        <v>5570</v>
      </c>
      <c r="K264" s="174">
        <v>2190</v>
      </c>
      <c r="L264" s="174">
        <v>0</v>
      </c>
      <c r="M264" s="174">
        <v>0</v>
      </c>
      <c r="N264" s="174">
        <v>0</v>
      </c>
      <c r="O264" s="178">
        <v>0</v>
      </c>
    </row>
    <row r="265" spans="1:15">
      <c r="A265" s="177">
        <v>2630</v>
      </c>
      <c r="B265" s="177">
        <v>2640</v>
      </c>
      <c r="C265" s="173">
        <v>2630000</v>
      </c>
      <c r="D265" s="174">
        <v>42260</v>
      </c>
      <c r="E265" s="174">
        <v>33050</v>
      </c>
      <c r="F265" s="174">
        <v>19580</v>
      </c>
      <c r="G265" s="174">
        <v>15910</v>
      </c>
      <c r="H265" s="174">
        <v>12530</v>
      </c>
      <c r="I265" s="175">
        <v>9160</v>
      </c>
      <c r="J265" s="174">
        <v>5780</v>
      </c>
      <c r="K265" s="174">
        <v>2410</v>
      </c>
      <c r="L265" s="174">
        <v>0</v>
      </c>
      <c r="M265" s="174">
        <v>0</v>
      </c>
      <c r="N265" s="174">
        <v>0</v>
      </c>
      <c r="O265" s="178">
        <v>0</v>
      </c>
    </row>
    <row r="266" spans="1:15">
      <c r="A266" s="177">
        <v>2640</v>
      </c>
      <c r="B266" s="177">
        <v>2650</v>
      </c>
      <c r="C266" s="173">
        <v>2640000</v>
      </c>
      <c r="D266" s="174">
        <v>43110</v>
      </c>
      <c r="E266" s="174">
        <v>33390</v>
      </c>
      <c r="F266" s="174">
        <v>19910</v>
      </c>
      <c r="G266" s="174">
        <v>16120</v>
      </c>
      <c r="H266" s="174">
        <v>12740</v>
      </c>
      <c r="I266" s="175">
        <v>9370</v>
      </c>
      <c r="J266" s="174">
        <v>5990</v>
      </c>
      <c r="K266" s="174">
        <v>2620</v>
      </c>
      <c r="L266" s="174">
        <v>0</v>
      </c>
      <c r="M266" s="174">
        <v>0</v>
      </c>
      <c r="N266" s="174">
        <v>0</v>
      </c>
      <c r="O266" s="178">
        <v>0</v>
      </c>
    </row>
    <row r="267" spans="1:15">
      <c r="A267" s="177">
        <v>2650</v>
      </c>
      <c r="B267" s="177">
        <v>2660</v>
      </c>
      <c r="C267" s="173">
        <v>2650000</v>
      </c>
      <c r="D267" s="174">
        <v>43970</v>
      </c>
      <c r="E267" s="174">
        <v>33730</v>
      </c>
      <c r="F267" s="174">
        <v>20240</v>
      </c>
      <c r="G267" s="174">
        <v>16330</v>
      </c>
      <c r="H267" s="174">
        <v>12960</v>
      </c>
      <c r="I267" s="175">
        <v>9580</v>
      </c>
      <c r="J267" s="174">
        <v>6210</v>
      </c>
      <c r="K267" s="174">
        <v>2830</v>
      </c>
      <c r="L267" s="174">
        <v>0</v>
      </c>
      <c r="M267" s="174">
        <v>0</v>
      </c>
      <c r="N267" s="174">
        <v>0</v>
      </c>
      <c r="O267" s="178">
        <v>0</v>
      </c>
    </row>
    <row r="268" spans="1:15">
      <c r="A268" s="177">
        <v>2660</v>
      </c>
      <c r="B268" s="177">
        <v>2670</v>
      </c>
      <c r="C268" s="173">
        <v>2660000</v>
      </c>
      <c r="D268" s="174">
        <v>44820</v>
      </c>
      <c r="E268" s="174">
        <v>34080</v>
      </c>
      <c r="F268" s="174">
        <v>20570</v>
      </c>
      <c r="G268" s="174">
        <v>16540</v>
      </c>
      <c r="H268" s="174">
        <v>13170</v>
      </c>
      <c r="I268" s="175">
        <v>9790</v>
      </c>
      <c r="J268" s="174">
        <v>6420</v>
      </c>
      <c r="K268" s="174">
        <v>3040</v>
      </c>
      <c r="L268" s="174">
        <v>0</v>
      </c>
      <c r="M268" s="174">
        <v>0</v>
      </c>
      <c r="N268" s="174">
        <v>0</v>
      </c>
      <c r="O268" s="178">
        <v>0</v>
      </c>
    </row>
    <row r="269" spans="1:15">
      <c r="A269" s="177">
        <v>2670</v>
      </c>
      <c r="B269" s="177">
        <v>2680</v>
      </c>
      <c r="C269" s="173">
        <v>2670000</v>
      </c>
      <c r="D269" s="174">
        <v>45680</v>
      </c>
      <c r="E269" s="174">
        <v>34420</v>
      </c>
      <c r="F269" s="174">
        <v>20900</v>
      </c>
      <c r="G269" s="174">
        <v>16750</v>
      </c>
      <c r="H269" s="174">
        <v>13380</v>
      </c>
      <c r="I269" s="175">
        <v>10000</v>
      </c>
      <c r="J269" s="174">
        <v>6630</v>
      </c>
      <c r="K269" s="174">
        <v>3250</v>
      </c>
      <c r="L269" s="174">
        <v>0</v>
      </c>
      <c r="M269" s="174">
        <v>0</v>
      </c>
      <c r="N269" s="174">
        <v>0</v>
      </c>
      <c r="O269" s="178">
        <v>0</v>
      </c>
    </row>
    <row r="270" spans="1:15">
      <c r="A270" s="177">
        <v>2680</v>
      </c>
      <c r="B270" s="177">
        <v>2690</v>
      </c>
      <c r="C270" s="173">
        <v>2680000</v>
      </c>
      <c r="D270" s="174">
        <v>46540</v>
      </c>
      <c r="E270" s="174">
        <v>34760</v>
      </c>
      <c r="F270" s="174">
        <v>21230</v>
      </c>
      <c r="G270" s="174">
        <v>16970</v>
      </c>
      <c r="H270" s="174">
        <v>13590</v>
      </c>
      <c r="I270" s="175">
        <v>10220</v>
      </c>
      <c r="J270" s="174">
        <v>6840</v>
      </c>
      <c r="K270" s="174">
        <v>3470</v>
      </c>
      <c r="L270" s="174">
        <v>0</v>
      </c>
      <c r="M270" s="174">
        <v>0</v>
      </c>
      <c r="N270" s="174">
        <v>0</v>
      </c>
      <c r="O270" s="178">
        <v>0</v>
      </c>
    </row>
    <row r="271" spans="1:15">
      <c r="A271" s="177">
        <v>2690</v>
      </c>
      <c r="B271" s="177">
        <v>2700</v>
      </c>
      <c r="C271" s="173">
        <v>2690000</v>
      </c>
      <c r="D271" s="174">
        <v>47390</v>
      </c>
      <c r="E271" s="174">
        <v>35100</v>
      </c>
      <c r="F271" s="174">
        <v>21560</v>
      </c>
      <c r="G271" s="174">
        <v>17180</v>
      </c>
      <c r="H271" s="174">
        <v>13800</v>
      </c>
      <c r="I271" s="175">
        <v>10430</v>
      </c>
      <c r="J271" s="174">
        <v>7050</v>
      </c>
      <c r="K271" s="174">
        <v>3680</v>
      </c>
      <c r="L271" s="174">
        <v>0</v>
      </c>
      <c r="M271" s="174">
        <v>0</v>
      </c>
      <c r="N271" s="174">
        <v>0</v>
      </c>
      <c r="O271" s="178">
        <v>0</v>
      </c>
    </row>
    <row r="272" spans="1:15">
      <c r="A272" s="177">
        <v>2700</v>
      </c>
      <c r="B272" s="177">
        <v>2710</v>
      </c>
      <c r="C272" s="173">
        <v>2700000</v>
      </c>
      <c r="D272" s="174">
        <v>48250</v>
      </c>
      <c r="E272" s="174">
        <v>35450</v>
      </c>
      <c r="F272" s="174">
        <v>21890</v>
      </c>
      <c r="G272" s="174">
        <v>17390</v>
      </c>
      <c r="H272" s="174">
        <v>14020</v>
      </c>
      <c r="I272" s="175">
        <v>10640</v>
      </c>
      <c r="J272" s="174">
        <v>7270</v>
      </c>
      <c r="K272" s="174">
        <v>3890</v>
      </c>
      <c r="L272" s="174">
        <v>0</v>
      </c>
      <c r="M272" s="174">
        <v>0</v>
      </c>
      <c r="N272" s="174">
        <v>0</v>
      </c>
      <c r="O272" s="178">
        <v>0</v>
      </c>
    </row>
    <row r="273" spans="1:15">
      <c r="A273" s="177">
        <v>2710</v>
      </c>
      <c r="B273" s="177">
        <v>2720</v>
      </c>
      <c r="C273" s="173">
        <v>2710000</v>
      </c>
      <c r="D273" s="174">
        <v>49100</v>
      </c>
      <c r="E273" s="174">
        <v>35790</v>
      </c>
      <c r="F273" s="174">
        <v>22220</v>
      </c>
      <c r="G273" s="174">
        <v>17600</v>
      </c>
      <c r="H273" s="174">
        <v>14230</v>
      </c>
      <c r="I273" s="175">
        <v>10850</v>
      </c>
      <c r="J273" s="174">
        <v>7480</v>
      </c>
      <c r="K273" s="174">
        <v>4100</v>
      </c>
      <c r="L273" s="174">
        <v>0</v>
      </c>
      <c r="M273" s="174">
        <v>0</v>
      </c>
      <c r="N273" s="174">
        <v>0</v>
      </c>
      <c r="O273" s="178">
        <v>0</v>
      </c>
    </row>
    <row r="274" spans="1:15">
      <c r="A274" s="177">
        <v>2720</v>
      </c>
      <c r="B274" s="177">
        <v>2730</v>
      </c>
      <c r="C274" s="173">
        <v>2720000</v>
      </c>
      <c r="D274" s="174">
        <v>49960</v>
      </c>
      <c r="E274" s="174">
        <v>36130</v>
      </c>
      <c r="F274" s="174">
        <v>22550</v>
      </c>
      <c r="G274" s="174">
        <v>17810</v>
      </c>
      <c r="H274" s="174">
        <v>14440</v>
      </c>
      <c r="I274" s="175">
        <v>11060</v>
      </c>
      <c r="J274" s="174">
        <v>7690</v>
      </c>
      <c r="K274" s="174">
        <v>4310</v>
      </c>
      <c r="L274" s="174">
        <v>0</v>
      </c>
      <c r="M274" s="174">
        <v>0</v>
      </c>
      <c r="N274" s="174">
        <v>0</v>
      </c>
      <c r="O274" s="178">
        <v>0</v>
      </c>
    </row>
    <row r="275" spans="1:15">
      <c r="A275" s="177">
        <v>2730</v>
      </c>
      <c r="B275" s="177">
        <v>2740</v>
      </c>
      <c r="C275" s="173">
        <v>2730000</v>
      </c>
      <c r="D275" s="174">
        <v>50810</v>
      </c>
      <c r="E275" s="174">
        <v>36470</v>
      </c>
      <c r="F275" s="174">
        <v>22880</v>
      </c>
      <c r="G275" s="174">
        <v>18030</v>
      </c>
      <c r="H275" s="174">
        <v>14650</v>
      </c>
      <c r="I275" s="175">
        <v>11280</v>
      </c>
      <c r="J275" s="174">
        <v>7900</v>
      </c>
      <c r="K275" s="174">
        <v>4530</v>
      </c>
      <c r="L275" s="174">
        <v>1150</v>
      </c>
      <c r="M275" s="174">
        <v>0</v>
      </c>
      <c r="N275" s="174">
        <v>0</v>
      </c>
      <c r="O275" s="178">
        <v>0</v>
      </c>
    </row>
    <row r="276" spans="1:15">
      <c r="A276" s="177">
        <v>2740</v>
      </c>
      <c r="B276" s="177">
        <v>2750</v>
      </c>
      <c r="C276" s="173">
        <v>2740000</v>
      </c>
      <c r="D276" s="174">
        <v>51670</v>
      </c>
      <c r="E276" s="174">
        <v>36810</v>
      </c>
      <c r="F276" s="174">
        <v>23210</v>
      </c>
      <c r="G276" s="174">
        <v>18240</v>
      </c>
      <c r="H276" s="174">
        <v>14860</v>
      </c>
      <c r="I276" s="175">
        <v>11490</v>
      </c>
      <c r="J276" s="174">
        <v>8110</v>
      </c>
      <c r="K276" s="174">
        <v>4740</v>
      </c>
      <c r="L276" s="174">
        <v>1360</v>
      </c>
      <c r="M276" s="174">
        <v>0</v>
      </c>
      <c r="N276" s="174">
        <v>0</v>
      </c>
      <c r="O276" s="178">
        <v>0</v>
      </c>
    </row>
    <row r="277" spans="1:15">
      <c r="A277" s="177">
        <v>2750</v>
      </c>
      <c r="B277" s="177">
        <v>2760</v>
      </c>
      <c r="C277" s="173">
        <v>2750000</v>
      </c>
      <c r="D277" s="174">
        <v>52530</v>
      </c>
      <c r="E277" s="174">
        <v>37160</v>
      </c>
      <c r="F277" s="174">
        <v>23540</v>
      </c>
      <c r="G277" s="174">
        <v>18450</v>
      </c>
      <c r="H277" s="174">
        <v>15070</v>
      </c>
      <c r="I277" s="175">
        <v>11700</v>
      </c>
      <c r="J277" s="174">
        <v>8320</v>
      </c>
      <c r="K277" s="174">
        <v>4950</v>
      </c>
      <c r="L277" s="174">
        <v>1570</v>
      </c>
      <c r="M277" s="174">
        <v>0</v>
      </c>
      <c r="N277" s="174">
        <v>0</v>
      </c>
      <c r="O277" s="178">
        <v>0</v>
      </c>
    </row>
    <row r="278" spans="1:15">
      <c r="A278" s="177">
        <v>2760</v>
      </c>
      <c r="B278" s="177">
        <v>2770</v>
      </c>
      <c r="C278" s="173">
        <v>2760000</v>
      </c>
      <c r="D278" s="174">
        <v>53380</v>
      </c>
      <c r="E278" s="174">
        <v>37500</v>
      </c>
      <c r="F278" s="174">
        <v>23870</v>
      </c>
      <c r="G278" s="174">
        <v>18660</v>
      </c>
      <c r="H278" s="174">
        <v>15290</v>
      </c>
      <c r="I278" s="175">
        <v>11910</v>
      </c>
      <c r="J278" s="174">
        <v>8540</v>
      </c>
      <c r="K278" s="174">
        <v>5160</v>
      </c>
      <c r="L278" s="174">
        <v>1790</v>
      </c>
      <c r="M278" s="174">
        <v>0</v>
      </c>
      <c r="N278" s="174">
        <v>0</v>
      </c>
      <c r="O278" s="178">
        <v>0</v>
      </c>
    </row>
    <row r="279" spans="1:15">
      <c r="A279" s="177">
        <v>2770</v>
      </c>
      <c r="B279" s="177">
        <v>2780</v>
      </c>
      <c r="C279" s="173">
        <v>2770000</v>
      </c>
      <c r="D279" s="174">
        <v>54240</v>
      </c>
      <c r="E279" s="174">
        <v>37840</v>
      </c>
      <c r="F279" s="174">
        <v>24200</v>
      </c>
      <c r="G279" s="174">
        <v>18950</v>
      </c>
      <c r="H279" s="174">
        <v>15500</v>
      </c>
      <c r="I279" s="175">
        <v>12120</v>
      </c>
      <c r="J279" s="174">
        <v>8750</v>
      </c>
      <c r="K279" s="174">
        <v>5370</v>
      </c>
      <c r="L279" s="174">
        <v>2000</v>
      </c>
      <c r="M279" s="174">
        <v>0</v>
      </c>
      <c r="N279" s="174">
        <v>0</v>
      </c>
      <c r="O279" s="178">
        <v>0</v>
      </c>
    </row>
    <row r="280" spans="1:15">
      <c r="A280" s="177">
        <v>2780</v>
      </c>
      <c r="B280" s="177">
        <v>2790</v>
      </c>
      <c r="C280" s="173">
        <v>2780000</v>
      </c>
      <c r="D280" s="174">
        <v>55090</v>
      </c>
      <c r="E280" s="174">
        <v>38180</v>
      </c>
      <c r="F280" s="174">
        <v>24520</v>
      </c>
      <c r="G280" s="174">
        <v>19270</v>
      </c>
      <c r="H280" s="174">
        <v>15710</v>
      </c>
      <c r="I280" s="175">
        <v>12340</v>
      </c>
      <c r="J280" s="174">
        <v>8960</v>
      </c>
      <c r="K280" s="174">
        <v>5590</v>
      </c>
      <c r="L280" s="174">
        <v>2210</v>
      </c>
      <c r="M280" s="174">
        <v>0</v>
      </c>
      <c r="N280" s="174">
        <v>0</v>
      </c>
      <c r="O280" s="178">
        <v>0</v>
      </c>
    </row>
    <row r="281" spans="1:15">
      <c r="A281" s="177">
        <v>2790</v>
      </c>
      <c r="B281" s="177">
        <v>2800</v>
      </c>
      <c r="C281" s="173">
        <v>2790000</v>
      </c>
      <c r="D281" s="174">
        <v>55950</v>
      </c>
      <c r="E281" s="174">
        <v>38530</v>
      </c>
      <c r="F281" s="174">
        <v>24850</v>
      </c>
      <c r="G281" s="174">
        <v>19600</v>
      </c>
      <c r="H281" s="174">
        <v>15920</v>
      </c>
      <c r="I281" s="175">
        <v>12550</v>
      </c>
      <c r="J281" s="174">
        <v>9170</v>
      </c>
      <c r="K281" s="174">
        <v>5800</v>
      </c>
      <c r="L281" s="174">
        <v>2420</v>
      </c>
      <c r="M281" s="174">
        <v>0</v>
      </c>
      <c r="N281" s="174">
        <v>0</v>
      </c>
      <c r="O281" s="178">
        <v>0</v>
      </c>
    </row>
    <row r="282" spans="1:15">
      <c r="A282" s="177">
        <v>2800</v>
      </c>
      <c r="B282" s="177">
        <v>2810</v>
      </c>
      <c r="C282" s="173">
        <v>2800000</v>
      </c>
      <c r="D282" s="174">
        <v>56800</v>
      </c>
      <c r="E282" s="174">
        <v>39300</v>
      </c>
      <c r="F282" s="174">
        <v>25180</v>
      </c>
      <c r="G282" s="174">
        <v>19930</v>
      </c>
      <c r="H282" s="174">
        <v>16130</v>
      </c>
      <c r="I282" s="175">
        <v>12760</v>
      </c>
      <c r="J282" s="174">
        <v>9380</v>
      </c>
      <c r="K282" s="174">
        <v>6010</v>
      </c>
      <c r="L282" s="174">
        <v>2630</v>
      </c>
      <c r="M282" s="174">
        <v>0</v>
      </c>
      <c r="N282" s="174">
        <v>0</v>
      </c>
      <c r="O282" s="178">
        <v>0</v>
      </c>
    </row>
    <row r="283" spans="1:15">
      <c r="A283" s="177">
        <v>2810</v>
      </c>
      <c r="B283" s="177">
        <v>2820</v>
      </c>
      <c r="C283" s="173">
        <v>2810000</v>
      </c>
      <c r="D283" s="174">
        <v>57660</v>
      </c>
      <c r="E283" s="174">
        <v>40160</v>
      </c>
      <c r="F283" s="174">
        <v>25510</v>
      </c>
      <c r="G283" s="174">
        <v>20260</v>
      </c>
      <c r="H283" s="174">
        <v>16350</v>
      </c>
      <c r="I283" s="175">
        <v>12970</v>
      </c>
      <c r="J283" s="174">
        <v>9600</v>
      </c>
      <c r="K283" s="174">
        <v>6220</v>
      </c>
      <c r="L283" s="174">
        <v>2850</v>
      </c>
      <c r="M283" s="174">
        <v>0</v>
      </c>
      <c r="N283" s="174">
        <v>0</v>
      </c>
      <c r="O283" s="178">
        <v>0</v>
      </c>
    </row>
    <row r="284" spans="1:15">
      <c r="A284" s="177">
        <v>2820</v>
      </c>
      <c r="B284" s="177">
        <v>2830</v>
      </c>
      <c r="C284" s="173">
        <v>2820000</v>
      </c>
      <c r="D284" s="174">
        <v>58520</v>
      </c>
      <c r="E284" s="174">
        <v>41020</v>
      </c>
      <c r="F284" s="174">
        <v>25840</v>
      </c>
      <c r="G284" s="174">
        <v>20590</v>
      </c>
      <c r="H284" s="174">
        <v>16560</v>
      </c>
      <c r="I284" s="175">
        <v>13180</v>
      </c>
      <c r="J284" s="174">
        <v>9810</v>
      </c>
      <c r="K284" s="174">
        <v>6430</v>
      </c>
      <c r="L284" s="174">
        <v>3060</v>
      </c>
      <c r="M284" s="174">
        <v>0</v>
      </c>
      <c r="N284" s="174">
        <v>0</v>
      </c>
      <c r="O284" s="178">
        <v>0</v>
      </c>
    </row>
    <row r="285" spans="1:15">
      <c r="A285" s="177">
        <v>2830</v>
      </c>
      <c r="B285" s="177">
        <v>2840</v>
      </c>
      <c r="C285" s="173">
        <v>2830000</v>
      </c>
      <c r="D285" s="174">
        <v>59370</v>
      </c>
      <c r="E285" s="174">
        <v>41870</v>
      </c>
      <c r="F285" s="174">
        <v>26170</v>
      </c>
      <c r="G285" s="174">
        <v>20920</v>
      </c>
      <c r="H285" s="174">
        <v>16770</v>
      </c>
      <c r="I285" s="175">
        <v>13400</v>
      </c>
      <c r="J285" s="174">
        <v>10020</v>
      </c>
      <c r="K285" s="174">
        <v>6650</v>
      </c>
      <c r="L285" s="174">
        <v>3270</v>
      </c>
      <c r="M285" s="174">
        <v>0</v>
      </c>
      <c r="N285" s="174">
        <v>0</v>
      </c>
      <c r="O285" s="178">
        <v>0</v>
      </c>
    </row>
    <row r="286" spans="1:15">
      <c r="A286" s="177">
        <v>2840</v>
      </c>
      <c r="B286" s="177">
        <v>2850</v>
      </c>
      <c r="C286" s="173">
        <v>2840000</v>
      </c>
      <c r="D286" s="174">
        <v>60230</v>
      </c>
      <c r="E286" s="174">
        <v>42730</v>
      </c>
      <c r="F286" s="174">
        <v>26500</v>
      </c>
      <c r="G286" s="174">
        <v>21250</v>
      </c>
      <c r="H286" s="174">
        <v>16980</v>
      </c>
      <c r="I286" s="175">
        <v>13610</v>
      </c>
      <c r="J286" s="174">
        <v>10230</v>
      </c>
      <c r="K286" s="174">
        <v>6860</v>
      </c>
      <c r="L286" s="174">
        <v>3480</v>
      </c>
      <c r="M286" s="174">
        <v>0</v>
      </c>
      <c r="N286" s="174">
        <v>0</v>
      </c>
      <c r="O286" s="178">
        <v>0</v>
      </c>
    </row>
    <row r="287" spans="1:15">
      <c r="A287" s="177">
        <v>2850</v>
      </c>
      <c r="B287" s="177">
        <v>2860</v>
      </c>
      <c r="C287" s="173">
        <v>2850000</v>
      </c>
      <c r="D287" s="174">
        <v>61080</v>
      </c>
      <c r="E287" s="174">
        <v>43580</v>
      </c>
      <c r="F287" s="174">
        <v>26830</v>
      </c>
      <c r="G287" s="174">
        <v>21580</v>
      </c>
      <c r="H287" s="174">
        <v>17190</v>
      </c>
      <c r="I287" s="175">
        <v>13820</v>
      </c>
      <c r="J287" s="174">
        <v>10440</v>
      </c>
      <c r="K287" s="174">
        <v>7070</v>
      </c>
      <c r="L287" s="174">
        <v>3690</v>
      </c>
      <c r="M287" s="174">
        <v>0</v>
      </c>
      <c r="N287" s="174">
        <v>0</v>
      </c>
      <c r="O287" s="178">
        <v>0</v>
      </c>
    </row>
    <row r="288" spans="1:15">
      <c r="A288" s="177">
        <v>2860</v>
      </c>
      <c r="B288" s="177">
        <v>2870</v>
      </c>
      <c r="C288" s="173">
        <v>2860000</v>
      </c>
      <c r="D288" s="174">
        <v>61940</v>
      </c>
      <c r="E288" s="174">
        <v>44440</v>
      </c>
      <c r="F288" s="174">
        <v>27160</v>
      </c>
      <c r="G288" s="174">
        <v>21910</v>
      </c>
      <c r="H288" s="174">
        <v>17410</v>
      </c>
      <c r="I288" s="175">
        <v>14030</v>
      </c>
      <c r="J288" s="174">
        <v>10660</v>
      </c>
      <c r="K288" s="174">
        <v>7280</v>
      </c>
      <c r="L288" s="174">
        <v>3910</v>
      </c>
      <c r="M288" s="174">
        <v>0</v>
      </c>
      <c r="N288" s="174">
        <v>0</v>
      </c>
      <c r="O288" s="178">
        <v>0</v>
      </c>
    </row>
    <row r="289" spans="1:15">
      <c r="A289" s="177">
        <v>2870</v>
      </c>
      <c r="B289" s="177">
        <v>2880</v>
      </c>
      <c r="C289" s="173">
        <v>2870000</v>
      </c>
      <c r="D289" s="174">
        <v>62790</v>
      </c>
      <c r="E289" s="174">
        <v>45290</v>
      </c>
      <c r="F289" s="174">
        <v>27490</v>
      </c>
      <c r="G289" s="174">
        <v>22240</v>
      </c>
      <c r="H289" s="174">
        <v>17620</v>
      </c>
      <c r="I289" s="175">
        <v>14240</v>
      </c>
      <c r="J289" s="174">
        <v>10870</v>
      </c>
      <c r="K289" s="174">
        <v>7490</v>
      </c>
      <c r="L289" s="174">
        <v>4120</v>
      </c>
      <c r="M289" s="174">
        <v>0</v>
      </c>
      <c r="N289" s="174">
        <v>0</v>
      </c>
      <c r="O289" s="178">
        <v>0</v>
      </c>
    </row>
    <row r="290" spans="1:15">
      <c r="A290" s="177">
        <v>2880</v>
      </c>
      <c r="B290" s="177">
        <v>2890</v>
      </c>
      <c r="C290" s="173">
        <v>2880000</v>
      </c>
      <c r="D290" s="174">
        <v>63650</v>
      </c>
      <c r="E290" s="174">
        <v>46150</v>
      </c>
      <c r="F290" s="174">
        <v>27820</v>
      </c>
      <c r="G290" s="174">
        <v>22570</v>
      </c>
      <c r="H290" s="174">
        <v>17830</v>
      </c>
      <c r="I290" s="175">
        <v>14460</v>
      </c>
      <c r="J290" s="174">
        <v>11080</v>
      </c>
      <c r="K290" s="174">
        <v>7710</v>
      </c>
      <c r="L290" s="174">
        <v>4330</v>
      </c>
      <c r="M290" s="174">
        <v>0</v>
      </c>
      <c r="N290" s="174">
        <v>0</v>
      </c>
      <c r="O290" s="178">
        <v>0</v>
      </c>
    </row>
    <row r="291" spans="1:15">
      <c r="A291" s="177">
        <v>2890</v>
      </c>
      <c r="B291" s="177">
        <v>2900</v>
      </c>
      <c r="C291" s="173">
        <v>2890000</v>
      </c>
      <c r="D291" s="174">
        <v>64510</v>
      </c>
      <c r="E291" s="174">
        <v>47010</v>
      </c>
      <c r="F291" s="174">
        <v>28150</v>
      </c>
      <c r="G291" s="174">
        <v>22900</v>
      </c>
      <c r="H291" s="174">
        <v>18040</v>
      </c>
      <c r="I291" s="175">
        <v>14670</v>
      </c>
      <c r="J291" s="174">
        <v>11290</v>
      </c>
      <c r="K291" s="174">
        <v>7920</v>
      </c>
      <c r="L291" s="174">
        <v>4540</v>
      </c>
      <c r="M291" s="174">
        <v>1170</v>
      </c>
      <c r="N291" s="174">
        <v>0</v>
      </c>
      <c r="O291" s="178">
        <v>0</v>
      </c>
    </row>
    <row r="292" spans="1:15">
      <c r="A292" s="177">
        <v>2900</v>
      </c>
      <c r="B292" s="177">
        <v>2910</v>
      </c>
      <c r="C292" s="173">
        <v>2900000</v>
      </c>
      <c r="D292" s="174">
        <v>65360</v>
      </c>
      <c r="E292" s="174">
        <v>47860</v>
      </c>
      <c r="F292" s="174">
        <v>28480</v>
      </c>
      <c r="G292" s="174">
        <v>23230</v>
      </c>
      <c r="H292" s="174">
        <v>18250</v>
      </c>
      <c r="I292" s="175">
        <v>14880</v>
      </c>
      <c r="J292" s="174">
        <v>11500</v>
      </c>
      <c r="K292" s="174">
        <v>8130</v>
      </c>
      <c r="L292" s="174">
        <v>4750</v>
      </c>
      <c r="M292" s="174">
        <v>1380</v>
      </c>
      <c r="N292" s="174">
        <v>0</v>
      </c>
      <c r="O292" s="178">
        <v>0</v>
      </c>
    </row>
    <row r="293" spans="1:15">
      <c r="A293" s="177">
        <v>2910</v>
      </c>
      <c r="B293" s="177">
        <v>2920</v>
      </c>
      <c r="C293" s="173">
        <v>2910000</v>
      </c>
      <c r="D293" s="174">
        <v>66220</v>
      </c>
      <c r="E293" s="174">
        <v>48720</v>
      </c>
      <c r="F293" s="174">
        <v>28810</v>
      </c>
      <c r="G293" s="174">
        <v>23560</v>
      </c>
      <c r="H293" s="174">
        <v>18470</v>
      </c>
      <c r="I293" s="175">
        <v>15090</v>
      </c>
      <c r="J293" s="174">
        <v>11720</v>
      </c>
      <c r="K293" s="174">
        <v>8340</v>
      </c>
      <c r="L293" s="174">
        <v>4970</v>
      </c>
      <c r="M293" s="174">
        <v>1590</v>
      </c>
      <c r="N293" s="174">
        <v>0</v>
      </c>
      <c r="O293" s="178">
        <v>0</v>
      </c>
    </row>
    <row r="294" spans="1:15">
      <c r="A294" s="177">
        <v>2920</v>
      </c>
      <c r="B294" s="177">
        <v>2930</v>
      </c>
      <c r="C294" s="173">
        <v>2920000</v>
      </c>
      <c r="D294" s="174">
        <v>67070</v>
      </c>
      <c r="E294" s="174">
        <v>49570</v>
      </c>
      <c r="F294" s="174">
        <v>29140</v>
      </c>
      <c r="G294" s="174">
        <v>23890</v>
      </c>
      <c r="H294" s="174">
        <v>18680</v>
      </c>
      <c r="I294" s="175">
        <v>15300</v>
      </c>
      <c r="J294" s="174">
        <v>11930</v>
      </c>
      <c r="K294" s="174">
        <v>8550</v>
      </c>
      <c r="L294" s="174">
        <v>5180</v>
      </c>
      <c r="M294" s="174">
        <v>1800</v>
      </c>
      <c r="N294" s="174">
        <v>0</v>
      </c>
      <c r="O294" s="178">
        <v>0</v>
      </c>
    </row>
    <row r="295" spans="1:15">
      <c r="A295" s="177">
        <v>2930</v>
      </c>
      <c r="B295" s="177">
        <v>2940</v>
      </c>
      <c r="C295" s="173">
        <v>2930000</v>
      </c>
      <c r="D295" s="174">
        <v>67930</v>
      </c>
      <c r="E295" s="174">
        <v>50430</v>
      </c>
      <c r="F295" s="174">
        <v>29470</v>
      </c>
      <c r="G295" s="174">
        <v>24220</v>
      </c>
      <c r="H295" s="174">
        <v>18970</v>
      </c>
      <c r="I295" s="175">
        <v>15510</v>
      </c>
      <c r="J295" s="174">
        <v>12140</v>
      </c>
      <c r="K295" s="174">
        <v>8760</v>
      </c>
      <c r="L295" s="174">
        <v>5390</v>
      </c>
      <c r="M295" s="174">
        <v>2010</v>
      </c>
      <c r="N295" s="174">
        <v>0</v>
      </c>
      <c r="O295" s="178">
        <v>0</v>
      </c>
    </row>
    <row r="296" spans="1:15">
      <c r="A296" s="177">
        <v>2940</v>
      </c>
      <c r="B296" s="177">
        <v>2950</v>
      </c>
      <c r="C296" s="173">
        <v>2940000</v>
      </c>
      <c r="D296" s="174">
        <v>68780</v>
      </c>
      <c r="E296" s="174">
        <v>51280</v>
      </c>
      <c r="F296" s="174">
        <v>29800</v>
      </c>
      <c r="G296" s="174">
        <v>24550</v>
      </c>
      <c r="H296" s="174">
        <v>19300</v>
      </c>
      <c r="I296" s="175">
        <v>15730</v>
      </c>
      <c r="J296" s="174">
        <v>12350</v>
      </c>
      <c r="K296" s="174">
        <v>8980</v>
      </c>
      <c r="L296" s="174">
        <v>5600</v>
      </c>
      <c r="M296" s="174">
        <v>2230</v>
      </c>
      <c r="N296" s="174">
        <v>0</v>
      </c>
      <c r="O296" s="178">
        <v>0</v>
      </c>
    </row>
    <row r="297" spans="1:15">
      <c r="A297" s="177">
        <v>2950</v>
      </c>
      <c r="B297" s="177">
        <v>2960</v>
      </c>
      <c r="C297" s="173">
        <v>2950000</v>
      </c>
      <c r="D297" s="174">
        <v>69640</v>
      </c>
      <c r="E297" s="174">
        <v>52140</v>
      </c>
      <c r="F297" s="174">
        <v>30130</v>
      </c>
      <c r="G297" s="174">
        <v>24880</v>
      </c>
      <c r="H297" s="174">
        <v>19630</v>
      </c>
      <c r="I297" s="175">
        <v>15940</v>
      </c>
      <c r="J297" s="174">
        <v>12560</v>
      </c>
      <c r="K297" s="174">
        <v>9190</v>
      </c>
      <c r="L297" s="174">
        <v>5810</v>
      </c>
      <c r="M297" s="174">
        <v>2440</v>
      </c>
      <c r="N297" s="174">
        <v>0</v>
      </c>
      <c r="O297" s="178">
        <v>0</v>
      </c>
    </row>
    <row r="298" spans="1:15">
      <c r="A298" s="177">
        <v>2960</v>
      </c>
      <c r="B298" s="177">
        <v>2970</v>
      </c>
      <c r="C298" s="173">
        <v>2960000</v>
      </c>
      <c r="D298" s="174">
        <v>70500</v>
      </c>
      <c r="E298" s="174">
        <v>53000</v>
      </c>
      <c r="F298" s="174">
        <v>30460</v>
      </c>
      <c r="G298" s="174">
        <v>25210</v>
      </c>
      <c r="H298" s="174">
        <v>19960</v>
      </c>
      <c r="I298" s="175">
        <v>16150</v>
      </c>
      <c r="J298" s="174">
        <v>12780</v>
      </c>
      <c r="K298" s="174">
        <v>9400</v>
      </c>
      <c r="L298" s="174">
        <v>6030</v>
      </c>
      <c r="M298" s="174">
        <v>2650</v>
      </c>
      <c r="N298" s="174">
        <v>0</v>
      </c>
      <c r="O298" s="178">
        <v>0</v>
      </c>
    </row>
    <row r="299" spans="1:15">
      <c r="A299" s="177">
        <v>2970</v>
      </c>
      <c r="B299" s="177">
        <v>2980</v>
      </c>
      <c r="C299" s="173">
        <v>2970000</v>
      </c>
      <c r="D299" s="174">
        <v>71350</v>
      </c>
      <c r="E299" s="174">
        <v>53850</v>
      </c>
      <c r="F299" s="174">
        <v>30790</v>
      </c>
      <c r="G299" s="174">
        <v>25540</v>
      </c>
      <c r="H299" s="174">
        <v>20290</v>
      </c>
      <c r="I299" s="175">
        <v>16360</v>
      </c>
      <c r="J299" s="174">
        <v>12990</v>
      </c>
      <c r="K299" s="174">
        <v>9610</v>
      </c>
      <c r="L299" s="174">
        <v>6240</v>
      </c>
      <c r="M299" s="174">
        <v>2860</v>
      </c>
      <c r="N299" s="174">
        <v>0</v>
      </c>
      <c r="O299" s="178">
        <v>0</v>
      </c>
    </row>
    <row r="300" spans="1:15">
      <c r="A300" s="177">
        <v>2980</v>
      </c>
      <c r="B300" s="177">
        <v>2990</v>
      </c>
      <c r="C300" s="173">
        <v>2980000</v>
      </c>
      <c r="D300" s="174">
        <v>72210</v>
      </c>
      <c r="E300" s="174">
        <v>54710</v>
      </c>
      <c r="F300" s="174">
        <v>31120</v>
      </c>
      <c r="G300" s="174">
        <v>25870</v>
      </c>
      <c r="H300" s="174">
        <v>20620</v>
      </c>
      <c r="I300" s="175">
        <v>16570</v>
      </c>
      <c r="J300" s="174">
        <v>13200</v>
      </c>
      <c r="K300" s="174">
        <v>9820</v>
      </c>
      <c r="L300" s="174">
        <v>6450</v>
      </c>
      <c r="M300" s="174">
        <v>3070</v>
      </c>
      <c r="N300" s="174">
        <v>0</v>
      </c>
      <c r="O300" s="178">
        <v>0</v>
      </c>
    </row>
    <row r="301" spans="1:15">
      <c r="A301" s="177">
        <v>2990</v>
      </c>
      <c r="B301" s="177">
        <v>3000</v>
      </c>
      <c r="C301" s="173">
        <v>2990000</v>
      </c>
      <c r="D301" s="174">
        <v>73060</v>
      </c>
      <c r="E301" s="174">
        <v>55560</v>
      </c>
      <c r="F301" s="174">
        <v>31450</v>
      </c>
      <c r="G301" s="174">
        <v>26200</v>
      </c>
      <c r="H301" s="174">
        <v>20950</v>
      </c>
      <c r="I301" s="175">
        <v>16790</v>
      </c>
      <c r="J301" s="174">
        <v>13410</v>
      </c>
      <c r="K301" s="174">
        <v>10040</v>
      </c>
      <c r="L301" s="174">
        <v>6660</v>
      </c>
      <c r="M301" s="174">
        <v>3290</v>
      </c>
      <c r="N301" s="174">
        <v>0</v>
      </c>
      <c r="O301" s="178">
        <v>0</v>
      </c>
    </row>
    <row r="302" spans="1:15">
      <c r="A302" s="177">
        <v>3000</v>
      </c>
      <c r="B302" s="177">
        <v>3020</v>
      </c>
      <c r="C302" s="173">
        <v>3000000</v>
      </c>
      <c r="D302" s="174">
        <v>74350</v>
      </c>
      <c r="E302" s="174">
        <v>56850</v>
      </c>
      <c r="F302" s="174">
        <v>31940</v>
      </c>
      <c r="G302" s="174">
        <v>26690</v>
      </c>
      <c r="H302" s="174">
        <v>21440</v>
      </c>
      <c r="I302" s="175">
        <v>17100</v>
      </c>
      <c r="J302" s="174">
        <v>13730</v>
      </c>
      <c r="K302" s="174">
        <v>10350</v>
      </c>
      <c r="L302" s="174">
        <v>6980</v>
      </c>
      <c r="M302" s="174">
        <v>3600</v>
      </c>
      <c r="N302" s="174">
        <v>0</v>
      </c>
      <c r="O302" s="178">
        <v>0</v>
      </c>
    </row>
    <row r="303" spans="1:15">
      <c r="A303" s="177">
        <v>3020</v>
      </c>
      <c r="B303" s="177">
        <v>3040</v>
      </c>
      <c r="C303" s="173">
        <v>3020000</v>
      </c>
      <c r="D303" s="174">
        <v>76060</v>
      </c>
      <c r="E303" s="174">
        <v>58560</v>
      </c>
      <c r="F303" s="174">
        <v>32600</v>
      </c>
      <c r="G303" s="174">
        <v>27350</v>
      </c>
      <c r="H303" s="174">
        <v>22100</v>
      </c>
      <c r="I303" s="175">
        <v>17530</v>
      </c>
      <c r="J303" s="174">
        <v>14150</v>
      </c>
      <c r="K303" s="174">
        <v>10780</v>
      </c>
      <c r="L303" s="174">
        <v>7400</v>
      </c>
      <c r="M303" s="174">
        <v>4030</v>
      </c>
      <c r="N303" s="174">
        <v>0</v>
      </c>
      <c r="O303" s="178">
        <v>0</v>
      </c>
    </row>
    <row r="304" spans="1:15">
      <c r="A304" s="177">
        <v>3040</v>
      </c>
      <c r="B304" s="177">
        <v>3060</v>
      </c>
      <c r="C304" s="173">
        <v>3040000</v>
      </c>
      <c r="D304" s="174">
        <v>77770</v>
      </c>
      <c r="E304" s="174">
        <v>60270</v>
      </c>
      <c r="F304" s="174">
        <v>33260</v>
      </c>
      <c r="G304" s="174">
        <v>28010</v>
      </c>
      <c r="H304" s="174">
        <v>22760</v>
      </c>
      <c r="I304" s="175">
        <v>17950</v>
      </c>
      <c r="J304" s="174">
        <v>14580</v>
      </c>
      <c r="K304" s="174">
        <v>11200</v>
      </c>
      <c r="L304" s="174">
        <v>7830</v>
      </c>
      <c r="M304" s="174">
        <v>4450</v>
      </c>
      <c r="N304" s="174">
        <v>1080</v>
      </c>
      <c r="O304" s="178">
        <v>0</v>
      </c>
    </row>
    <row r="305" spans="1:15">
      <c r="A305" s="177">
        <v>3060</v>
      </c>
      <c r="B305" s="177">
        <v>3080</v>
      </c>
      <c r="C305" s="173">
        <v>3060000</v>
      </c>
      <c r="D305" s="174">
        <v>79480</v>
      </c>
      <c r="E305" s="174">
        <v>61980</v>
      </c>
      <c r="F305" s="174">
        <v>33920</v>
      </c>
      <c r="G305" s="174">
        <v>28670</v>
      </c>
      <c r="H305" s="174">
        <v>23420</v>
      </c>
      <c r="I305" s="175">
        <v>18380</v>
      </c>
      <c r="J305" s="174">
        <v>15000</v>
      </c>
      <c r="K305" s="174">
        <v>11630</v>
      </c>
      <c r="L305" s="174">
        <v>8250</v>
      </c>
      <c r="M305" s="174">
        <v>4880</v>
      </c>
      <c r="N305" s="174">
        <v>1500</v>
      </c>
      <c r="O305" s="178">
        <v>0</v>
      </c>
    </row>
    <row r="306" spans="1:15">
      <c r="A306" s="177">
        <v>3080</v>
      </c>
      <c r="B306" s="177">
        <v>3100</v>
      </c>
      <c r="C306" s="173">
        <v>3080000</v>
      </c>
      <c r="D306" s="174">
        <v>81190</v>
      </c>
      <c r="E306" s="174">
        <v>63690</v>
      </c>
      <c r="F306" s="174">
        <v>34580</v>
      </c>
      <c r="G306" s="174">
        <v>29330</v>
      </c>
      <c r="H306" s="174">
        <v>24080</v>
      </c>
      <c r="I306" s="175">
        <v>18830</v>
      </c>
      <c r="J306" s="174">
        <v>15430</v>
      </c>
      <c r="K306" s="174">
        <v>12050</v>
      </c>
      <c r="L306" s="174">
        <v>8680</v>
      </c>
      <c r="M306" s="174">
        <v>5300</v>
      </c>
      <c r="N306" s="174">
        <v>1930</v>
      </c>
      <c r="O306" s="178">
        <v>0</v>
      </c>
    </row>
    <row r="307" spans="1:15">
      <c r="A307" s="177">
        <v>3100</v>
      </c>
      <c r="B307" s="177">
        <v>3120</v>
      </c>
      <c r="C307" s="173">
        <v>3100000</v>
      </c>
      <c r="D307" s="174">
        <v>82900</v>
      </c>
      <c r="E307" s="174">
        <v>65400</v>
      </c>
      <c r="F307" s="174">
        <v>35240</v>
      </c>
      <c r="G307" s="174">
        <v>29990</v>
      </c>
      <c r="H307" s="174">
        <v>24740</v>
      </c>
      <c r="I307" s="175">
        <v>19490</v>
      </c>
      <c r="J307" s="174">
        <v>15850</v>
      </c>
      <c r="K307" s="174">
        <v>12470</v>
      </c>
      <c r="L307" s="174">
        <v>9100</v>
      </c>
      <c r="M307" s="174">
        <v>5720</v>
      </c>
      <c r="N307" s="174">
        <v>2350</v>
      </c>
      <c r="O307" s="178">
        <v>0</v>
      </c>
    </row>
    <row r="308" spans="1:15">
      <c r="A308" s="177">
        <v>3120</v>
      </c>
      <c r="B308" s="177">
        <v>3140</v>
      </c>
      <c r="C308" s="173">
        <v>3120000</v>
      </c>
      <c r="D308" s="174">
        <v>84620</v>
      </c>
      <c r="E308" s="174">
        <v>67120</v>
      </c>
      <c r="F308" s="174">
        <v>35900</v>
      </c>
      <c r="G308" s="174">
        <v>30650</v>
      </c>
      <c r="H308" s="174">
        <v>25400</v>
      </c>
      <c r="I308" s="175">
        <v>20150</v>
      </c>
      <c r="J308" s="174">
        <v>16270</v>
      </c>
      <c r="K308" s="174">
        <v>12900</v>
      </c>
      <c r="L308" s="174">
        <v>9520</v>
      </c>
      <c r="M308" s="174">
        <v>6150</v>
      </c>
      <c r="N308" s="174">
        <v>2770</v>
      </c>
      <c r="O308" s="178">
        <v>0</v>
      </c>
    </row>
    <row r="309" spans="1:15">
      <c r="A309" s="177">
        <v>3140</v>
      </c>
      <c r="B309" s="177">
        <v>3160</v>
      </c>
      <c r="C309" s="173">
        <v>3140000</v>
      </c>
      <c r="D309" s="174">
        <v>86330</v>
      </c>
      <c r="E309" s="174">
        <v>68830</v>
      </c>
      <c r="F309" s="174">
        <v>36560</v>
      </c>
      <c r="G309" s="174">
        <v>31310</v>
      </c>
      <c r="H309" s="174">
        <v>26060</v>
      </c>
      <c r="I309" s="175">
        <v>20810</v>
      </c>
      <c r="J309" s="174">
        <v>16700</v>
      </c>
      <c r="K309" s="174">
        <v>13320</v>
      </c>
      <c r="L309" s="174">
        <v>9950</v>
      </c>
      <c r="M309" s="174">
        <v>6570</v>
      </c>
      <c r="N309" s="174">
        <v>3200</v>
      </c>
      <c r="O309" s="178">
        <v>0</v>
      </c>
    </row>
    <row r="310" spans="1:15">
      <c r="A310" s="177">
        <v>3160</v>
      </c>
      <c r="B310" s="177">
        <v>3180</v>
      </c>
      <c r="C310" s="173">
        <v>3160000</v>
      </c>
      <c r="D310" s="174">
        <v>88040</v>
      </c>
      <c r="E310" s="174">
        <v>70540</v>
      </c>
      <c r="F310" s="174">
        <v>37220</v>
      </c>
      <c r="G310" s="174">
        <v>31970</v>
      </c>
      <c r="H310" s="174">
        <v>26720</v>
      </c>
      <c r="I310" s="175">
        <v>21470</v>
      </c>
      <c r="J310" s="174">
        <v>17120</v>
      </c>
      <c r="K310" s="174">
        <v>13750</v>
      </c>
      <c r="L310" s="174">
        <v>10370</v>
      </c>
      <c r="M310" s="174">
        <v>7000</v>
      </c>
      <c r="N310" s="174">
        <v>3620</v>
      </c>
      <c r="O310" s="178">
        <v>1370</v>
      </c>
    </row>
    <row r="311" spans="1:15">
      <c r="A311" s="177">
        <v>3180</v>
      </c>
      <c r="B311" s="177">
        <v>3200</v>
      </c>
      <c r="C311" s="173">
        <v>3180000</v>
      </c>
      <c r="D311" s="174">
        <v>89750</v>
      </c>
      <c r="E311" s="174">
        <v>72250</v>
      </c>
      <c r="F311" s="174">
        <v>37880</v>
      </c>
      <c r="G311" s="174">
        <v>32630</v>
      </c>
      <c r="H311" s="174">
        <v>27380</v>
      </c>
      <c r="I311" s="175">
        <v>22130</v>
      </c>
      <c r="J311" s="174">
        <v>17540</v>
      </c>
      <c r="K311" s="174">
        <v>14170</v>
      </c>
      <c r="L311" s="174">
        <v>10790</v>
      </c>
      <c r="M311" s="174">
        <v>7420</v>
      </c>
      <c r="N311" s="174">
        <v>4040</v>
      </c>
      <c r="O311" s="178">
        <v>1790</v>
      </c>
    </row>
    <row r="312" spans="1:15">
      <c r="A312" s="177">
        <v>3200</v>
      </c>
      <c r="B312" s="177">
        <v>3220</v>
      </c>
      <c r="C312" s="173">
        <v>3200000</v>
      </c>
      <c r="D312" s="174">
        <v>91460</v>
      </c>
      <c r="E312" s="174">
        <v>73960</v>
      </c>
      <c r="F312" s="174">
        <v>38540</v>
      </c>
      <c r="G312" s="174">
        <v>33290</v>
      </c>
      <c r="H312" s="174">
        <v>28040</v>
      </c>
      <c r="I312" s="175">
        <v>22790</v>
      </c>
      <c r="J312" s="174">
        <v>17970</v>
      </c>
      <c r="K312" s="174">
        <v>14590</v>
      </c>
      <c r="L312" s="174">
        <v>11220</v>
      </c>
      <c r="M312" s="174">
        <v>7840</v>
      </c>
      <c r="N312" s="174">
        <v>4470</v>
      </c>
      <c r="O312" s="178">
        <v>2220</v>
      </c>
    </row>
    <row r="313" spans="1:15">
      <c r="A313" s="177">
        <v>3220</v>
      </c>
      <c r="B313" s="177">
        <v>3240</v>
      </c>
      <c r="C313" s="173">
        <v>3220000</v>
      </c>
      <c r="D313" s="174">
        <v>93170</v>
      </c>
      <c r="E313" s="174">
        <v>75670</v>
      </c>
      <c r="F313" s="174">
        <v>40120</v>
      </c>
      <c r="G313" s="174">
        <v>33950</v>
      </c>
      <c r="H313" s="174">
        <v>28700</v>
      </c>
      <c r="I313" s="175">
        <v>23450</v>
      </c>
      <c r="J313" s="174">
        <v>18390</v>
      </c>
      <c r="K313" s="174">
        <v>15020</v>
      </c>
      <c r="L313" s="174">
        <v>11640</v>
      </c>
      <c r="M313" s="174">
        <v>8270</v>
      </c>
      <c r="N313" s="174">
        <v>4890</v>
      </c>
      <c r="O313" s="178">
        <v>2640</v>
      </c>
    </row>
    <row r="314" spans="1:15">
      <c r="A314" s="177">
        <v>3240</v>
      </c>
      <c r="B314" s="177">
        <v>3260</v>
      </c>
      <c r="C314" s="173">
        <v>3240000</v>
      </c>
      <c r="D314" s="174">
        <v>95430</v>
      </c>
      <c r="E314" s="174">
        <v>77380</v>
      </c>
      <c r="F314" s="174">
        <v>41770</v>
      </c>
      <c r="G314" s="174">
        <v>34610</v>
      </c>
      <c r="H314" s="174">
        <v>29360</v>
      </c>
      <c r="I314" s="175">
        <v>24110</v>
      </c>
      <c r="J314" s="174">
        <v>18860</v>
      </c>
      <c r="K314" s="174">
        <v>15440</v>
      </c>
      <c r="L314" s="174">
        <v>12070</v>
      </c>
      <c r="M314" s="174">
        <v>8690</v>
      </c>
      <c r="N314" s="174">
        <v>5320</v>
      </c>
      <c r="O314" s="178">
        <v>3070</v>
      </c>
    </row>
    <row r="315" spans="1:15">
      <c r="A315" s="177">
        <v>3260</v>
      </c>
      <c r="B315" s="177">
        <v>3280</v>
      </c>
      <c r="C315" s="173">
        <v>3260000</v>
      </c>
      <c r="D315" s="174">
        <v>97880</v>
      </c>
      <c r="E315" s="174">
        <v>79100</v>
      </c>
      <c r="F315" s="174">
        <v>43420</v>
      </c>
      <c r="G315" s="174">
        <v>35270</v>
      </c>
      <c r="H315" s="174">
        <v>30020</v>
      </c>
      <c r="I315" s="175">
        <v>24770</v>
      </c>
      <c r="J315" s="174">
        <v>19520</v>
      </c>
      <c r="K315" s="174">
        <v>15870</v>
      </c>
      <c r="L315" s="174">
        <v>12490</v>
      </c>
      <c r="M315" s="174">
        <v>9120</v>
      </c>
      <c r="N315" s="174">
        <v>5740</v>
      </c>
      <c r="O315" s="178">
        <v>3490</v>
      </c>
    </row>
    <row r="316" spans="1:15">
      <c r="A316" s="177">
        <v>3280</v>
      </c>
      <c r="B316" s="177">
        <v>3300</v>
      </c>
      <c r="C316" s="173">
        <v>3280000</v>
      </c>
      <c r="D316" s="174">
        <v>100320</v>
      </c>
      <c r="E316" s="174">
        <v>80810</v>
      </c>
      <c r="F316" s="174">
        <v>45070</v>
      </c>
      <c r="G316" s="174">
        <v>35920</v>
      </c>
      <c r="H316" s="174">
        <v>30670</v>
      </c>
      <c r="I316" s="175">
        <v>25420</v>
      </c>
      <c r="J316" s="174">
        <v>20170</v>
      </c>
      <c r="K316" s="174">
        <v>16290</v>
      </c>
      <c r="L316" s="174">
        <v>12910</v>
      </c>
      <c r="M316" s="174">
        <v>9540</v>
      </c>
      <c r="N316" s="174">
        <v>6160</v>
      </c>
      <c r="O316" s="178">
        <v>3910</v>
      </c>
    </row>
    <row r="317" spans="1:15">
      <c r="A317" s="177">
        <v>3300</v>
      </c>
      <c r="B317" s="177">
        <v>3320</v>
      </c>
      <c r="C317" s="173">
        <v>3300000</v>
      </c>
      <c r="D317" s="174">
        <v>102770</v>
      </c>
      <c r="E317" s="174">
        <v>82520</v>
      </c>
      <c r="F317" s="174">
        <v>46720</v>
      </c>
      <c r="G317" s="174">
        <v>36580</v>
      </c>
      <c r="H317" s="174">
        <v>31330</v>
      </c>
      <c r="I317" s="175">
        <v>26080</v>
      </c>
      <c r="J317" s="174">
        <v>20830</v>
      </c>
      <c r="K317" s="174">
        <v>16710</v>
      </c>
      <c r="L317" s="174">
        <v>13340</v>
      </c>
      <c r="M317" s="174">
        <v>9960</v>
      </c>
      <c r="N317" s="174">
        <v>6590</v>
      </c>
      <c r="O317" s="178">
        <v>4340</v>
      </c>
    </row>
    <row r="318" spans="1:15">
      <c r="A318" s="177">
        <v>3320</v>
      </c>
      <c r="B318" s="177">
        <v>3340</v>
      </c>
      <c r="C318" s="173">
        <v>3320000</v>
      </c>
      <c r="D318" s="174">
        <v>105210</v>
      </c>
      <c r="E318" s="174">
        <v>84230</v>
      </c>
      <c r="F318" s="174">
        <v>48370</v>
      </c>
      <c r="G318" s="174">
        <v>37240</v>
      </c>
      <c r="H318" s="174">
        <v>31990</v>
      </c>
      <c r="I318" s="175">
        <v>26740</v>
      </c>
      <c r="J318" s="174">
        <v>21490</v>
      </c>
      <c r="K318" s="174">
        <v>17140</v>
      </c>
      <c r="L318" s="174">
        <v>13760</v>
      </c>
      <c r="M318" s="174">
        <v>10390</v>
      </c>
      <c r="N318" s="174">
        <v>7010</v>
      </c>
      <c r="O318" s="178">
        <v>4760</v>
      </c>
    </row>
    <row r="319" spans="1:15">
      <c r="A319" s="177">
        <v>3340</v>
      </c>
      <c r="B319" s="177">
        <v>3360</v>
      </c>
      <c r="C319" s="173">
        <v>3340000</v>
      </c>
      <c r="D319" s="174">
        <v>107660</v>
      </c>
      <c r="E319" s="174">
        <v>85940</v>
      </c>
      <c r="F319" s="174">
        <v>49940</v>
      </c>
      <c r="G319" s="174">
        <v>37870</v>
      </c>
      <c r="H319" s="174">
        <v>32620</v>
      </c>
      <c r="I319" s="175">
        <v>27370</v>
      </c>
      <c r="J319" s="174">
        <v>22120</v>
      </c>
      <c r="K319" s="174">
        <v>17540</v>
      </c>
      <c r="L319" s="174">
        <v>14170</v>
      </c>
      <c r="M319" s="174">
        <v>10790</v>
      </c>
      <c r="N319" s="174">
        <v>7420</v>
      </c>
      <c r="O319" s="178">
        <v>5170</v>
      </c>
    </row>
    <row r="320" spans="1:15">
      <c r="A320" s="177">
        <v>3360</v>
      </c>
      <c r="B320" s="177">
        <v>3380</v>
      </c>
      <c r="C320" s="173">
        <v>3360000</v>
      </c>
      <c r="D320" s="174">
        <v>110100</v>
      </c>
      <c r="E320" s="174">
        <v>87650</v>
      </c>
      <c r="F320" s="174">
        <v>51510</v>
      </c>
      <c r="G320" s="174">
        <v>38500</v>
      </c>
      <c r="H320" s="174">
        <v>33250</v>
      </c>
      <c r="I320" s="175">
        <v>28000</v>
      </c>
      <c r="J320" s="174">
        <v>22750</v>
      </c>
      <c r="K320" s="174">
        <v>17950</v>
      </c>
      <c r="L320" s="174">
        <v>14570</v>
      </c>
      <c r="M320" s="174">
        <v>11200</v>
      </c>
      <c r="N320" s="174">
        <v>7820</v>
      </c>
      <c r="O320" s="178">
        <v>5570</v>
      </c>
    </row>
    <row r="321" spans="1:15">
      <c r="A321" s="177">
        <v>3380</v>
      </c>
      <c r="B321" s="177">
        <v>3400</v>
      </c>
      <c r="C321" s="173">
        <v>3380000</v>
      </c>
      <c r="D321" s="174">
        <v>112550</v>
      </c>
      <c r="E321" s="174">
        <v>89370</v>
      </c>
      <c r="F321" s="174">
        <v>53070</v>
      </c>
      <c r="G321" s="174">
        <v>39950</v>
      </c>
      <c r="H321" s="174">
        <v>33880</v>
      </c>
      <c r="I321" s="175">
        <v>28630</v>
      </c>
      <c r="J321" s="174">
        <v>23380</v>
      </c>
      <c r="K321" s="174">
        <v>18350</v>
      </c>
      <c r="L321" s="174">
        <v>14970</v>
      </c>
      <c r="M321" s="174">
        <v>11600</v>
      </c>
      <c r="N321" s="174">
        <v>8220</v>
      </c>
      <c r="O321" s="178">
        <v>5970</v>
      </c>
    </row>
    <row r="322" spans="1:15">
      <c r="A322" s="177">
        <v>3400</v>
      </c>
      <c r="B322" s="177">
        <v>3420</v>
      </c>
      <c r="C322" s="173">
        <v>3400000</v>
      </c>
      <c r="D322" s="174">
        <v>114990</v>
      </c>
      <c r="E322" s="174">
        <v>91080</v>
      </c>
      <c r="F322" s="174">
        <v>54640</v>
      </c>
      <c r="G322" s="174">
        <v>41510</v>
      </c>
      <c r="H322" s="174">
        <v>34500</v>
      </c>
      <c r="I322" s="175">
        <v>29250</v>
      </c>
      <c r="J322" s="174">
        <v>24000</v>
      </c>
      <c r="K322" s="174">
        <v>18750</v>
      </c>
      <c r="L322" s="174">
        <v>15370</v>
      </c>
      <c r="M322" s="174">
        <v>12000</v>
      </c>
      <c r="N322" s="174">
        <v>8620</v>
      </c>
      <c r="O322" s="178">
        <v>6370</v>
      </c>
    </row>
    <row r="323" spans="1:15">
      <c r="A323" s="177">
        <v>3420</v>
      </c>
      <c r="B323" s="177">
        <v>3440</v>
      </c>
      <c r="C323" s="173">
        <v>3420000</v>
      </c>
      <c r="D323" s="174">
        <v>117440</v>
      </c>
      <c r="E323" s="174">
        <v>92790</v>
      </c>
      <c r="F323" s="174">
        <v>56200</v>
      </c>
      <c r="G323" s="174">
        <v>43080</v>
      </c>
      <c r="H323" s="174">
        <v>35130</v>
      </c>
      <c r="I323" s="175">
        <v>29880</v>
      </c>
      <c r="J323" s="174">
        <v>24630</v>
      </c>
      <c r="K323" s="174">
        <v>19380</v>
      </c>
      <c r="L323" s="174">
        <v>15780</v>
      </c>
      <c r="M323" s="174">
        <v>12400</v>
      </c>
      <c r="N323" s="174">
        <v>9030</v>
      </c>
      <c r="O323" s="178">
        <v>6780</v>
      </c>
    </row>
    <row r="324" spans="1:15">
      <c r="A324" s="177">
        <v>3440</v>
      </c>
      <c r="B324" s="177">
        <v>3460</v>
      </c>
      <c r="C324" s="173">
        <v>3440000</v>
      </c>
      <c r="D324" s="174">
        <v>119880</v>
      </c>
      <c r="E324" s="174">
        <v>94880</v>
      </c>
      <c r="F324" s="174">
        <v>57770</v>
      </c>
      <c r="G324" s="174">
        <v>44640</v>
      </c>
      <c r="H324" s="174">
        <v>35750</v>
      </c>
      <c r="I324" s="175">
        <v>30500</v>
      </c>
      <c r="J324" s="174">
        <v>25250</v>
      </c>
      <c r="K324" s="174">
        <v>20000</v>
      </c>
      <c r="L324" s="174">
        <v>16180</v>
      </c>
      <c r="M324" s="174">
        <v>12800</v>
      </c>
      <c r="N324" s="174">
        <v>9430</v>
      </c>
      <c r="O324" s="178">
        <v>7180</v>
      </c>
    </row>
    <row r="325" spans="1:15">
      <c r="A325" s="177">
        <v>3460</v>
      </c>
      <c r="B325" s="177">
        <v>3480</v>
      </c>
      <c r="C325" s="173">
        <v>3460000</v>
      </c>
      <c r="D325" s="174">
        <v>122330</v>
      </c>
      <c r="E325" s="174">
        <v>97330</v>
      </c>
      <c r="F325" s="174">
        <v>59330</v>
      </c>
      <c r="G325" s="174">
        <v>46210</v>
      </c>
      <c r="H325" s="174">
        <v>36380</v>
      </c>
      <c r="I325" s="175">
        <v>31130</v>
      </c>
      <c r="J325" s="174">
        <v>25880</v>
      </c>
      <c r="K325" s="174">
        <v>20630</v>
      </c>
      <c r="L325" s="174">
        <v>16580</v>
      </c>
      <c r="M325" s="174">
        <v>13210</v>
      </c>
      <c r="N325" s="174">
        <v>9830</v>
      </c>
      <c r="O325" s="178">
        <v>7580</v>
      </c>
    </row>
    <row r="326" spans="1:15">
      <c r="A326" s="177">
        <v>3480</v>
      </c>
      <c r="B326" s="177">
        <v>3500</v>
      </c>
      <c r="C326" s="173">
        <v>3480000</v>
      </c>
      <c r="D326" s="174">
        <v>124770</v>
      </c>
      <c r="E326" s="174">
        <v>99770</v>
      </c>
      <c r="F326" s="174">
        <v>60900</v>
      </c>
      <c r="G326" s="174">
        <v>47770</v>
      </c>
      <c r="H326" s="174">
        <v>37010</v>
      </c>
      <c r="I326" s="175">
        <v>31760</v>
      </c>
      <c r="J326" s="174">
        <v>26510</v>
      </c>
      <c r="K326" s="174">
        <v>21260</v>
      </c>
      <c r="L326" s="174">
        <v>16980</v>
      </c>
      <c r="M326" s="174">
        <v>13610</v>
      </c>
      <c r="N326" s="174">
        <v>10230</v>
      </c>
      <c r="O326" s="178">
        <v>7980</v>
      </c>
    </row>
    <row r="327" spans="1:15">
      <c r="A327" s="177">
        <v>3500</v>
      </c>
      <c r="B327" s="177">
        <v>3520</v>
      </c>
      <c r="C327" s="173">
        <v>3500000</v>
      </c>
      <c r="D327" s="174">
        <v>127220</v>
      </c>
      <c r="E327" s="174">
        <v>102220</v>
      </c>
      <c r="F327" s="174">
        <v>62460</v>
      </c>
      <c r="G327" s="174">
        <v>49340</v>
      </c>
      <c r="H327" s="174">
        <v>37630</v>
      </c>
      <c r="I327" s="175">
        <v>32380</v>
      </c>
      <c r="J327" s="174">
        <v>27130</v>
      </c>
      <c r="K327" s="174">
        <v>21880</v>
      </c>
      <c r="L327" s="174">
        <v>17390</v>
      </c>
      <c r="M327" s="174">
        <v>14010</v>
      </c>
      <c r="N327" s="174">
        <v>10640</v>
      </c>
      <c r="O327" s="178">
        <v>8390</v>
      </c>
    </row>
    <row r="328" spans="1:15">
      <c r="A328" s="177">
        <v>3520</v>
      </c>
      <c r="B328" s="177">
        <v>3540</v>
      </c>
      <c r="C328" s="173">
        <v>3520000</v>
      </c>
      <c r="D328" s="174">
        <v>129660</v>
      </c>
      <c r="E328" s="174">
        <v>104660</v>
      </c>
      <c r="F328" s="174">
        <v>64030</v>
      </c>
      <c r="G328" s="174">
        <v>50900</v>
      </c>
      <c r="H328" s="174">
        <v>38260</v>
      </c>
      <c r="I328" s="175">
        <v>33010</v>
      </c>
      <c r="J328" s="174">
        <v>27760</v>
      </c>
      <c r="K328" s="174">
        <v>22510</v>
      </c>
      <c r="L328" s="174">
        <v>17790</v>
      </c>
      <c r="M328" s="174">
        <v>14410</v>
      </c>
      <c r="N328" s="174">
        <v>11040</v>
      </c>
      <c r="O328" s="178">
        <v>8790</v>
      </c>
    </row>
    <row r="329" spans="1:15">
      <c r="A329" s="177">
        <v>3540</v>
      </c>
      <c r="B329" s="177">
        <v>3560</v>
      </c>
      <c r="C329" s="173">
        <v>3540000</v>
      </c>
      <c r="D329" s="174">
        <v>132110</v>
      </c>
      <c r="E329" s="174">
        <v>107110</v>
      </c>
      <c r="F329" s="174">
        <v>65590</v>
      </c>
      <c r="G329" s="174">
        <v>52460</v>
      </c>
      <c r="H329" s="174">
        <v>39340</v>
      </c>
      <c r="I329" s="175">
        <v>33630</v>
      </c>
      <c r="J329" s="174">
        <v>28380</v>
      </c>
      <c r="K329" s="174">
        <v>23130</v>
      </c>
      <c r="L329" s="174">
        <v>18190</v>
      </c>
      <c r="M329" s="174">
        <v>14820</v>
      </c>
      <c r="N329" s="174">
        <v>11440</v>
      </c>
      <c r="O329" s="178">
        <v>9190</v>
      </c>
    </row>
    <row r="330" spans="1:15">
      <c r="A330" s="177">
        <v>3560</v>
      </c>
      <c r="B330" s="177">
        <v>3580</v>
      </c>
      <c r="C330" s="173">
        <v>3560000</v>
      </c>
      <c r="D330" s="174">
        <v>134550</v>
      </c>
      <c r="E330" s="174">
        <v>109550</v>
      </c>
      <c r="F330" s="174">
        <v>67150</v>
      </c>
      <c r="G330" s="174">
        <v>54030</v>
      </c>
      <c r="H330" s="174">
        <v>40900</v>
      </c>
      <c r="I330" s="175">
        <v>34260</v>
      </c>
      <c r="J330" s="174">
        <v>29010</v>
      </c>
      <c r="K330" s="174">
        <v>23760</v>
      </c>
      <c r="L330" s="174">
        <v>18590</v>
      </c>
      <c r="M330" s="174">
        <v>15220</v>
      </c>
      <c r="N330" s="174">
        <v>11840</v>
      </c>
      <c r="O330" s="178">
        <v>9590</v>
      </c>
    </row>
    <row r="331" spans="1:15">
      <c r="A331" s="177">
        <v>3580</v>
      </c>
      <c r="B331" s="177">
        <v>3600</v>
      </c>
      <c r="C331" s="173">
        <v>3580000</v>
      </c>
      <c r="D331" s="174">
        <v>137000</v>
      </c>
      <c r="E331" s="174">
        <v>112000</v>
      </c>
      <c r="F331" s="174">
        <v>68720</v>
      </c>
      <c r="G331" s="174">
        <v>55590</v>
      </c>
      <c r="H331" s="174">
        <v>42470</v>
      </c>
      <c r="I331" s="175">
        <v>34880</v>
      </c>
      <c r="J331" s="174">
        <v>29630</v>
      </c>
      <c r="K331" s="174">
        <v>24380</v>
      </c>
      <c r="L331" s="174">
        <v>19130</v>
      </c>
      <c r="M331" s="174">
        <v>15620</v>
      </c>
      <c r="N331" s="174">
        <v>12250</v>
      </c>
      <c r="O331" s="178">
        <v>10000</v>
      </c>
    </row>
    <row r="332" spans="1:15">
      <c r="A332" s="177">
        <v>3600</v>
      </c>
      <c r="B332" s="177">
        <v>3620</v>
      </c>
      <c r="C332" s="173">
        <v>3600000</v>
      </c>
      <c r="D332" s="174">
        <v>139440</v>
      </c>
      <c r="E332" s="174">
        <v>114440</v>
      </c>
      <c r="F332" s="174">
        <v>70280</v>
      </c>
      <c r="G332" s="174">
        <v>57160</v>
      </c>
      <c r="H332" s="174">
        <v>44030</v>
      </c>
      <c r="I332" s="175">
        <v>35510</v>
      </c>
      <c r="J332" s="174">
        <v>30260</v>
      </c>
      <c r="K332" s="174">
        <v>25010</v>
      </c>
      <c r="L332" s="174">
        <v>19760</v>
      </c>
      <c r="M332" s="174">
        <v>16020</v>
      </c>
      <c r="N332" s="174">
        <v>12650</v>
      </c>
      <c r="O332" s="178">
        <v>10400</v>
      </c>
    </row>
    <row r="333" spans="1:15">
      <c r="A333" s="177">
        <v>3620</v>
      </c>
      <c r="B333" s="177">
        <v>3640</v>
      </c>
      <c r="C333" s="173">
        <v>3620000</v>
      </c>
      <c r="D333" s="174">
        <v>141890</v>
      </c>
      <c r="E333" s="174">
        <v>116890</v>
      </c>
      <c r="F333" s="174">
        <v>71850</v>
      </c>
      <c r="G333" s="174">
        <v>58720</v>
      </c>
      <c r="H333" s="174">
        <v>45600</v>
      </c>
      <c r="I333" s="175">
        <v>36140</v>
      </c>
      <c r="J333" s="174">
        <v>30890</v>
      </c>
      <c r="K333" s="174">
        <v>25640</v>
      </c>
      <c r="L333" s="174">
        <v>20390</v>
      </c>
      <c r="M333" s="174">
        <v>16420</v>
      </c>
      <c r="N333" s="174">
        <v>13050</v>
      </c>
      <c r="O333" s="178">
        <v>10800</v>
      </c>
    </row>
    <row r="334" spans="1:15">
      <c r="A334" s="177">
        <v>3640</v>
      </c>
      <c r="B334" s="177">
        <v>3660</v>
      </c>
      <c r="C334" s="173">
        <v>3640000</v>
      </c>
      <c r="D334" s="174">
        <v>144330</v>
      </c>
      <c r="E334" s="174">
        <v>119330</v>
      </c>
      <c r="F334" s="174">
        <v>73410</v>
      </c>
      <c r="G334" s="174">
        <v>60290</v>
      </c>
      <c r="H334" s="174">
        <v>47160</v>
      </c>
      <c r="I334" s="175">
        <v>36760</v>
      </c>
      <c r="J334" s="174">
        <v>31510</v>
      </c>
      <c r="K334" s="174">
        <v>26260</v>
      </c>
      <c r="L334" s="174">
        <v>21010</v>
      </c>
      <c r="M334" s="174">
        <v>16830</v>
      </c>
      <c r="N334" s="174">
        <v>13450</v>
      </c>
      <c r="O334" s="178">
        <v>11200</v>
      </c>
    </row>
    <row r="335" spans="1:15">
      <c r="A335" s="177">
        <v>3660</v>
      </c>
      <c r="B335" s="177">
        <v>3680</v>
      </c>
      <c r="C335" s="173">
        <v>3660000</v>
      </c>
      <c r="D335" s="174">
        <v>146780</v>
      </c>
      <c r="E335" s="174">
        <v>121780</v>
      </c>
      <c r="F335" s="174">
        <v>74980</v>
      </c>
      <c r="G335" s="174">
        <v>61850</v>
      </c>
      <c r="H335" s="174">
        <v>48730</v>
      </c>
      <c r="I335" s="175">
        <v>37390</v>
      </c>
      <c r="J335" s="174">
        <v>32140</v>
      </c>
      <c r="K335" s="174">
        <v>26890</v>
      </c>
      <c r="L335" s="174">
        <v>21640</v>
      </c>
      <c r="M335" s="174">
        <v>17230</v>
      </c>
      <c r="N335" s="174">
        <v>13850</v>
      </c>
      <c r="O335" s="178">
        <v>11600</v>
      </c>
    </row>
    <row r="336" spans="1:15">
      <c r="A336" s="177">
        <v>3680</v>
      </c>
      <c r="B336" s="177">
        <v>3700</v>
      </c>
      <c r="C336" s="173">
        <v>3680000</v>
      </c>
      <c r="D336" s="174">
        <v>149220</v>
      </c>
      <c r="E336" s="174">
        <v>124220</v>
      </c>
      <c r="F336" s="174">
        <v>76540</v>
      </c>
      <c r="G336" s="174">
        <v>63420</v>
      </c>
      <c r="H336" s="174">
        <v>50290</v>
      </c>
      <c r="I336" s="175">
        <v>38010</v>
      </c>
      <c r="J336" s="174">
        <v>32760</v>
      </c>
      <c r="K336" s="174">
        <v>27510</v>
      </c>
      <c r="L336" s="174">
        <v>22260</v>
      </c>
      <c r="M336" s="174">
        <v>17630</v>
      </c>
      <c r="N336" s="174">
        <v>14260</v>
      </c>
      <c r="O336" s="178">
        <v>12010</v>
      </c>
    </row>
    <row r="337" spans="1:15">
      <c r="A337" s="177">
        <v>3700</v>
      </c>
      <c r="B337" s="177">
        <v>3720</v>
      </c>
      <c r="C337" s="173">
        <v>3700000</v>
      </c>
      <c r="D337" s="174">
        <v>151670</v>
      </c>
      <c r="E337" s="174">
        <v>126670</v>
      </c>
      <c r="F337" s="174">
        <v>78110</v>
      </c>
      <c r="G337" s="174">
        <v>64980</v>
      </c>
      <c r="H337" s="174">
        <v>51860</v>
      </c>
      <c r="I337" s="175">
        <v>38730</v>
      </c>
      <c r="J337" s="174">
        <v>33390</v>
      </c>
      <c r="K337" s="174">
        <v>28140</v>
      </c>
      <c r="L337" s="174">
        <v>22890</v>
      </c>
      <c r="M337" s="174">
        <v>18030</v>
      </c>
      <c r="N337" s="174">
        <v>14660</v>
      </c>
      <c r="O337" s="178">
        <v>12410</v>
      </c>
    </row>
    <row r="338" spans="1:15">
      <c r="A338" s="177">
        <v>3720</v>
      </c>
      <c r="B338" s="177">
        <v>3740</v>
      </c>
      <c r="C338" s="173">
        <v>3720000</v>
      </c>
      <c r="D338" s="174">
        <v>154110</v>
      </c>
      <c r="E338" s="174">
        <v>129110</v>
      </c>
      <c r="F338" s="174">
        <v>79670</v>
      </c>
      <c r="G338" s="174">
        <v>66550</v>
      </c>
      <c r="H338" s="174">
        <v>53420</v>
      </c>
      <c r="I338" s="175">
        <v>40300</v>
      </c>
      <c r="J338" s="174">
        <v>34020</v>
      </c>
      <c r="K338" s="174">
        <v>28770</v>
      </c>
      <c r="L338" s="174">
        <v>23520</v>
      </c>
      <c r="M338" s="174">
        <v>18440</v>
      </c>
      <c r="N338" s="174">
        <v>15060</v>
      </c>
      <c r="O338" s="178">
        <v>12810</v>
      </c>
    </row>
    <row r="339" spans="1:15">
      <c r="A339" s="177">
        <v>3740</v>
      </c>
      <c r="B339" s="177">
        <v>3760</v>
      </c>
      <c r="C339" s="173">
        <v>3740000</v>
      </c>
      <c r="D339" s="174">
        <v>156560</v>
      </c>
      <c r="E339" s="174">
        <v>131560</v>
      </c>
      <c r="F339" s="174">
        <v>81230</v>
      </c>
      <c r="G339" s="174">
        <v>68110</v>
      </c>
      <c r="H339" s="174">
        <v>54980</v>
      </c>
      <c r="I339" s="175">
        <v>41860</v>
      </c>
      <c r="J339" s="174">
        <v>34640</v>
      </c>
      <c r="K339" s="174">
        <v>29390</v>
      </c>
      <c r="L339" s="174">
        <v>24140</v>
      </c>
      <c r="M339" s="174">
        <v>18890</v>
      </c>
      <c r="N339" s="174">
        <v>15460</v>
      </c>
      <c r="O339" s="178">
        <v>13210</v>
      </c>
    </row>
    <row r="340" spans="1:15">
      <c r="A340" s="177">
        <v>3760</v>
      </c>
      <c r="B340" s="177">
        <v>3780</v>
      </c>
      <c r="C340" s="173">
        <v>3760000</v>
      </c>
      <c r="D340" s="174">
        <v>163920</v>
      </c>
      <c r="E340" s="174">
        <v>136090</v>
      </c>
      <c r="F340" s="174">
        <v>84260</v>
      </c>
      <c r="G340" s="174">
        <v>71130</v>
      </c>
      <c r="H340" s="174">
        <v>58010</v>
      </c>
      <c r="I340" s="175">
        <v>44880</v>
      </c>
      <c r="J340" s="174">
        <v>35850</v>
      </c>
      <c r="K340" s="174">
        <v>30600</v>
      </c>
      <c r="L340" s="174">
        <v>25350</v>
      </c>
      <c r="M340" s="174">
        <v>20100</v>
      </c>
      <c r="N340" s="174">
        <v>16240</v>
      </c>
      <c r="O340" s="178">
        <v>13990</v>
      </c>
    </row>
    <row r="341" spans="1:15">
      <c r="A341" s="177">
        <v>3780</v>
      </c>
      <c r="B341" s="177">
        <v>3800</v>
      </c>
      <c r="C341" s="173">
        <v>3780000</v>
      </c>
      <c r="D341" s="174">
        <v>166590</v>
      </c>
      <c r="E341" s="174">
        <v>138740</v>
      </c>
      <c r="F341" s="174">
        <v>85970</v>
      </c>
      <c r="G341" s="174">
        <v>72850</v>
      </c>
      <c r="H341" s="174">
        <v>59720</v>
      </c>
      <c r="I341" s="175">
        <v>46600</v>
      </c>
      <c r="J341" s="174">
        <v>36540</v>
      </c>
      <c r="K341" s="174">
        <v>31290</v>
      </c>
      <c r="L341" s="174">
        <v>26040</v>
      </c>
      <c r="M341" s="174">
        <v>20790</v>
      </c>
      <c r="N341" s="174">
        <v>16680</v>
      </c>
      <c r="O341" s="178">
        <v>14430</v>
      </c>
    </row>
    <row r="342" spans="1:15">
      <c r="A342" s="177">
        <v>3800</v>
      </c>
      <c r="B342" s="177">
        <v>3820</v>
      </c>
      <c r="C342" s="173">
        <v>3800000</v>
      </c>
      <c r="D342" s="174">
        <v>169260</v>
      </c>
      <c r="E342" s="174">
        <v>141400</v>
      </c>
      <c r="F342" s="174">
        <v>87680</v>
      </c>
      <c r="G342" s="174">
        <v>74560</v>
      </c>
      <c r="H342" s="174">
        <v>61430</v>
      </c>
      <c r="I342" s="175">
        <v>48310</v>
      </c>
      <c r="J342" s="174">
        <v>37220</v>
      </c>
      <c r="K342" s="174">
        <v>31970</v>
      </c>
      <c r="L342" s="174">
        <v>26720</v>
      </c>
      <c r="M342" s="174">
        <v>21470</v>
      </c>
      <c r="N342" s="174">
        <v>17120</v>
      </c>
      <c r="O342" s="178">
        <v>14870</v>
      </c>
    </row>
    <row r="343" spans="1:15">
      <c r="A343" s="177">
        <v>3820</v>
      </c>
      <c r="B343" s="177">
        <v>3840</v>
      </c>
      <c r="C343" s="173">
        <v>3820000</v>
      </c>
      <c r="D343" s="174">
        <v>171930</v>
      </c>
      <c r="E343" s="174">
        <v>144050</v>
      </c>
      <c r="F343" s="174">
        <v>89390</v>
      </c>
      <c r="G343" s="174">
        <v>76270</v>
      </c>
      <c r="H343" s="174">
        <v>63140</v>
      </c>
      <c r="I343" s="175">
        <v>50020</v>
      </c>
      <c r="J343" s="174">
        <v>37900</v>
      </c>
      <c r="K343" s="174">
        <v>32650</v>
      </c>
      <c r="L343" s="174">
        <v>27400</v>
      </c>
      <c r="M343" s="174">
        <v>22150</v>
      </c>
      <c r="N343" s="174">
        <v>17560</v>
      </c>
      <c r="O343" s="178">
        <v>15310</v>
      </c>
    </row>
    <row r="344" spans="1:15">
      <c r="A344" s="177">
        <v>3840</v>
      </c>
      <c r="B344" s="177">
        <v>3860</v>
      </c>
      <c r="C344" s="173">
        <v>3840000</v>
      </c>
      <c r="D344" s="174">
        <v>174600</v>
      </c>
      <c r="E344" s="174">
        <v>146710</v>
      </c>
      <c r="F344" s="174">
        <v>91100</v>
      </c>
      <c r="G344" s="174">
        <v>77980</v>
      </c>
      <c r="H344" s="174">
        <v>64850</v>
      </c>
      <c r="I344" s="175">
        <v>51730</v>
      </c>
      <c r="J344" s="174">
        <v>38600</v>
      </c>
      <c r="K344" s="174">
        <v>33340</v>
      </c>
      <c r="L344" s="174">
        <v>28090</v>
      </c>
      <c r="M344" s="174">
        <v>22840</v>
      </c>
      <c r="N344" s="174">
        <v>18000</v>
      </c>
      <c r="O344" s="178">
        <v>15750</v>
      </c>
    </row>
    <row r="345" spans="1:15">
      <c r="A345" s="177">
        <v>3860</v>
      </c>
      <c r="B345" s="177">
        <v>3880</v>
      </c>
      <c r="C345" s="173">
        <v>3860000</v>
      </c>
      <c r="D345" s="174">
        <v>177270</v>
      </c>
      <c r="E345" s="174">
        <v>149360</v>
      </c>
      <c r="F345" s="174">
        <v>92820</v>
      </c>
      <c r="G345" s="174">
        <v>79690</v>
      </c>
      <c r="H345" s="174">
        <v>66570</v>
      </c>
      <c r="I345" s="175">
        <v>53440</v>
      </c>
      <c r="J345" s="174">
        <v>40320</v>
      </c>
      <c r="K345" s="174">
        <v>34020</v>
      </c>
      <c r="L345" s="174">
        <v>28770</v>
      </c>
      <c r="M345" s="174">
        <v>23520</v>
      </c>
      <c r="N345" s="174">
        <v>18440</v>
      </c>
      <c r="O345" s="178">
        <v>16190</v>
      </c>
    </row>
    <row r="346" spans="1:15">
      <c r="A346" s="177">
        <v>3880</v>
      </c>
      <c r="B346" s="177">
        <v>3900</v>
      </c>
      <c r="C346" s="173">
        <v>3880000</v>
      </c>
      <c r="D346" s="174">
        <v>179940</v>
      </c>
      <c r="E346" s="174">
        <v>152020</v>
      </c>
      <c r="F346" s="174">
        <v>94920</v>
      </c>
      <c r="G346" s="174">
        <v>81400</v>
      </c>
      <c r="H346" s="174">
        <v>68280</v>
      </c>
      <c r="I346" s="175">
        <v>55150</v>
      </c>
      <c r="J346" s="174">
        <v>42030</v>
      </c>
      <c r="K346" s="174">
        <v>34710</v>
      </c>
      <c r="L346" s="174">
        <v>29460</v>
      </c>
      <c r="M346" s="174">
        <v>24210</v>
      </c>
      <c r="N346" s="174">
        <v>18960</v>
      </c>
      <c r="O346" s="178">
        <v>16630</v>
      </c>
    </row>
    <row r="347" spans="1:15">
      <c r="A347" s="177">
        <v>3900</v>
      </c>
      <c r="B347" s="177">
        <v>3920</v>
      </c>
      <c r="C347" s="173">
        <v>3900000</v>
      </c>
      <c r="D347" s="174">
        <v>182610</v>
      </c>
      <c r="E347" s="174">
        <v>154670</v>
      </c>
      <c r="F347" s="174">
        <v>97370</v>
      </c>
      <c r="G347" s="174">
        <v>83110</v>
      </c>
      <c r="H347" s="174">
        <v>69990</v>
      </c>
      <c r="I347" s="175">
        <v>56860</v>
      </c>
      <c r="J347" s="174">
        <v>43740</v>
      </c>
      <c r="K347" s="174">
        <v>35390</v>
      </c>
      <c r="L347" s="174">
        <v>30140</v>
      </c>
      <c r="M347" s="174">
        <v>24890</v>
      </c>
      <c r="N347" s="174">
        <v>19640</v>
      </c>
      <c r="O347" s="178">
        <v>17070</v>
      </c>
    </row>
    <row r="348" spans="1:15">
      <c r="A348" s="177">
        <v>3920</v>
      </c>
      <c r="B348" s="177">
        <v>3940</v>
      </c>
      <c r="C348" s="173">
        <v>3920000</v>
      </c>
      <c r="D348" s="174">
        <v>185280</v>
      </c>
      <c r="E348" s="174">
        <v>157330</v>
      </c>
      <c r="F348" s="174">
        <v>99810</v>
      </c>
      <c r="G348" s="174">
        <v>84830</v>
      </c>
      <c r="H348" s="174">
        <v>71700</v>
      </c>
      <c r="I348" s="175">
        <v>58580</v>
      </c>
      <c r="J348" s="174">
        <v>45450</v>
      </c>
      <c r="K348" s="174">
        <v>36080</v>
      </c>
      <c r="L348" s="174">
        <v>30830</v>
      </c>
      <c r="M348" s="174">
        <v>25580</v>
      </c>
      <c r="N348" s="174">
        <v>20330</v>
      </c>
      <c r="O348" s="178">
        <v>17510</v>
      </c>
    </row>
    <row r="349" spans="1:15">
      <c r="A349" s="177">
        <v>3940</v>
      </c>
      <c r="B349" s="177">
        <v>3960</v>
      </c>
      <c r="C349" s="173">
        <v>3940000</v>
      </c>
      <c r="D349" s="174">
        <v>187950</v>
      </c>
      <c r="E349" s="174">
        <v>159980</v>
      </c>
      <c r="F349" s="174">
        <v>102260</v>
      </c>
      <c r="G349" s="174">
        <v>86540</v>
      </c>
      <c r="H349" s="174">
        <v>73410</v>
      </c>
      <c r="I349" s="175">
        <v>60290</v>
      </c>
      <c r="J349" s="174">
        <v>47160</v>
      </c>
      <c r="K349" s="174">
        <v>36760</v>
      </c>
      <c r="L349" s="174">
        <v>31510</v>
      </c>
      <c r="M349" s="174">
        <v>26260</v>
      </c>
      <c r="N349" s="174">
        <v>21010</v>
      </c>
      <c r="O349" s="178">
        <v>17950</v>
      </c>
    </row>
    <row r="350" spans="1:15">
      <c r="A350" s="177">
        <v>3960</v>
      </c>
      <c r="B350" s="177">
        <v>3980</v>
      </c>
      <c r="C350" s="173">
        <v>3960000</v>
      </c>
      <c r="D350" s="174">
        <v>190620</v>
      </c>
      <c r="E350" s="174">
        <v>162640</v>
      </c>
      <c r="F350" s="174">
        <v>104700</v>
      </c>
      <c r="G350" s="174">
        <v>88250</v>
      </c>
      <c r="H350" s="174">
        <v>75120</v>
      </c>
      <c r="I350" s="175">
        <v>62000</v>
      </c>
      <c r="J350" s="174">
        <v>48870</v>
      </c>
      <c r="K350" s="174">
        <v>37450</v>
      </c>
      <c r="L350" s="174">
        <v>32200</v>
      </c>
      <c r="M350" s="174">
        <v>26950</v>
      </c>
      <c r="N350" s="174">
        <v>21700</v>
      </c>
      <c r="O350" s="178">
        <v>18390</v>
      </c>
    </row>
    <row r="351" spans="1:15">
      <c r="A351" s="177">
        <v>3980</v>
      </c>
      <c r="B351" s="177">
        <v>4000</v>
      </c>
      <c r="C351" s="173">
        <v>3980000</v>
      </c>
      <c r="D351" s="174">
        <v>193290</v>
      </c>
      <c r="E351" s="174">
        <v>165290</v>
      </c>
      <c r="F351" s="174">
        <v>107150</v>
      </c>
      <c r="G351" s="174">
        <v>89960</v>
      </c>
      <c r="H351" s="174">
        <v>76840</v>
      </c>
      <c r="I351" s="175">
        <v>63710</v>
      </c>
      <c r="J351" s="174">
        <v>50590</v>
      </c>
      <c r="K351" s="174">
        <v>38130</v>
      </c>
      <c r="L351" s="174">
        <v>32880</v>
      </c>
      <c r="M351" s="174">
        <v>27630</v>
      </c>
      <c r="N351" s="174">
        <v>22380</v>
      </c>
      <c r="O351" s="178">
        <v>18880</v>
      </c>
    </row>
    <row r="352" spans="1:15">
      <c r="A352" s="177">
        <v>4000</v>
      </c>
      <c r="B352" s="177">
        <v>4020</v>
      </c>
      <c r="C352" s="173">
        <v>4000000</v>
      </c>
      <c r="D352" s="174">
        <v>195960</v>
      </c>
      <c r="E352" s="174">
        <v>167950</v>
      </c>
      <c r="F352" s="174">
        <v>109590</v>
      </c>
      <c r="G352" s="174">
        <v>91670</v>
      </c>
      <c r="H352" s="174">
        <v>78550</v>
      </c>
      <c r="I352" s="175">
        <v>65420</v>
      </c>
      <c r="J352" s="174">
        <v>52300</v>
      </c>
      <c r="K352" s="174">
        <v>39170</v>
      </c>
      <c r="L352" s="174">
        <v>33570</v>
      </c>
      <c r="M352" s="174">
        <v>28320</v>
      </c>
      <c r="N352" s="174">
        <v>23070</v>
      </c>
      <c r="O352" s="178">
        <v>19570</v>
      </c>
    </row>
    <row r="353" spans="1:15">
      <c r="A353" s="177">
        <v>4020</v>
      </c>
      <c r="B353" s="177">
        <v>4040</v>
      </c>
      <c r="C353" s="173">
        <v>4020000</v>
      </c>
      <c r="D353" s="174">
        <v>198630</v>
      </c>
      <c r="E353" s="174">
        <v>170600</v>
      </c>
      <c r="F353" s="174">
        <v>112040</v>
      </c>
      <c r="G353" s="174">
        <v>93380</v>
      </c>
      <c r="H353" s="174">
        <v>80260</v>
      </c>
      <c r="I353" s="175">
        <v>67130</v>
      </c>
      <c r="J353" s="174">
        <v>54010</v>
      </c>
      <c r="K353" s="174">
        <v>40880</v>
      </c>
      <c r="L353" s="174">
        <v>34250</v>
      </c>
      <c r="M353" s="174">
        <v>29000</v>
      </c>
      <c r="N353" s="174">
        <v>23750</v>
      </c>
      <c r="O353" s="178">
        <v>20250</v>
      </c>
    </row>
    <row r="354" spans="1:15">
      <c r="A354" s="177">
        <v>4040</v>
      </c>
      <c r="B354" s="177">
        <v>4060</v>
      </c>
      <c r="C354" s="173">
        <v>4040000</v>
      </c>
      <c r="D354" s="174">
        <v>201300</v>
      </c>
      <c r="E354" s="174">
        <v>173260</v>
      </c>
      <c r="F354" s="174">
        <v>114480</v>
      </c>
      <c r="G354" s="174">
        <v>95730</v>
      </c>
      <c r="H354" s="174">
        <v>81970</v>
      </c>
      <c r="I354" s="175">
        <v>68840</v>
      </c>
      <c r="J354" s="174">
        <v>55720</v>
      </c>
      <c r="K354" s="174">
        <v>42590</v>
      </c>
      <c r="L354" s="174">
        <v>34930</v>
      </c>
      <c r="M354" s="174">
        <v>29680</v>
      </c>
      <c r="N354" s="174">
        <v>24430</v>
      </c>
      <c r="O354" s="178">
        <v>20930</v>
      </c>
    </row>
    <row r="355" spans="1:15">
      <c r="A355" s="177">
        <v>4060</v>
      </c>
      <c r="B355" s="177">
        <v>4080</v>
      </c>
      <c r="C355" s="173">
        <v>4060000</v>
      </c>
      <c r="D355" s="174">
        <v>203970</v>
      </c>
      <c r="E355" s="174">
        <v>175910</v>
      </c>
      <c r="F355" s="174">
        <v>116930</v>
      </c>
      <c r="G355" s="174">
        <v>98180</v>
      </c>
      <c r="H355" s="174">
        <v>83680</v>
      </c>
      <c r="I355" s="175">
        <v>70560</v>
      </c>
      <c r="J355" s="174">
        <v>57430</v>
      </c>
      <c r="K355" s="174">
        <v>44310</v>
      </c>
      <c r="L355" s="174">
        <v>35620</v>
      </c>
      <c r="M355" s="174">
        <v>30370</v>
      </c>
      <c r="N355" s="174">
        <v>25120</v>
      </c>
      <c r="O355" s="178">
        <v>21620</v>
      </c>
    </row>
    <row r="356" spans="1:15">
      <c r="A356" s="177">
        <v>4080</v>
      </c>
      <c r="B356" s="177">
        <v>4100</v>
      </c>
      <c r="C356" s="173">
        <v>4080000</v>
      </c>
      <c r="D356" s="174">
        <v>206640</v>
      </c>
      <c r="E356" s="174">
        <v>178570</v>
      </c>
      <c r="F356" s="174">
        <v>119370</v>
      </c>
      <c r="G356" s="174">
        <v>100620</v>
      </c>
      <c r="H356" s="174">
        <v>85390</v>
      </c>
      <c r="I356" s="175">
        <v>72270</v>
      </c>
      <c r="J356" s="174">
        <v>59140</v>
      </c>
      <c r="K356" s="174">
        <v>46020</v>
      </c>
      <c r="L356" s="174">
        <v>36300</v>
      </c>
      <c r="M356" s="174">
        <v>31050</v>
      </c>
      <c r="N356" s="174">
        <v>25800</v>
      </c>
      <c r="O356" s="178">
        <v>22300</v>
      </c>
    </row>
    <row r="357" spans="1:15">
      <c r="A357" s="177">
        <v>4100</v>
      </c>
      <c r="B357" s="177">
        <v>4120</v>
      </c>
      <c r="C357" s="173">
        <v>4100000</v>
      </c>
      <c r="D357" s="174">
        <v>209310</v>
      </c>
      <c r="E357" s="174">
        <v>181220</v>
      </c>
      <c r="F357" s="174">
        <v>121820</v>
      </c>
      <c r="G357" s="174">
        <v>103070</v>
      </c>
      <c r="H357" s="174">
        <v>87100</v>
      </c>
      <c r="I357" s="175">
        <v>73980</v>
      </c>
      <c r="J357" s="174">
        <v>60850</v>
      </c>
      <c r="K357" s="174">
        <v>47730</v>
      </c>
      <c r="L357" s="174">
        <v>36990</v>
      </c>
      <c r="M357" s="174">
        <v>31740</v>
      </c>
      <c r="N357" s="174">
        <v>26490</v>
      </c>
      <c r="O357" s="178">
        <v>22990</v>
      </c>
    </row>
    <row r="358" spans="1:15">
      <c r="A358" s="177">
        <v>4120</v>
      </c>
      <c r="B358" s="177">
        <v>4140</v>
      </c>
      <c r="C358" s="173">
        <v>4120000</v>
      </c>
      <c r="D358" s="174">
        <v>211980</v>
      </c>
      <c r="E358" s="174">
        <v>183880</v>
      </c>
      <c r="F358" s="174">
        <v>124260</v>
      </c>
      <c r="G358" s="174">
        <v>105510</v>
      </c>
      <c r="H358" s="174">
        <v>88820</v>
      </c>
      <c r="I358" s="175">
        <v>75690</v>
      </c>
      <c r="J358" s="174">
        <v>62570</v>
      </c>
      <c r="K358" s="174">
        <v>49440</v>
      </c>
      <c r="L358" s="174">
        <v>37670</v>
      </c>
      <c r="M358" s="174">
        <v>32420</v>
      </c>
      <c r="N358" s="174">
        <v>27170</v>
      </c>
      <c r="O358" s="178">
        <v>23670</v>
      </c>
    </row>
    <row r="359" spans="1:15">
      <c r="A359" s="177">
        <v>4140</v>
      </c>
      <c r="B359" s="177">
        <v>4160</v>
      </c>
      <c r="C359" s="173">
        <v>4140000</v>
      </c>
      <c r="D359" s="174">
        <v>214650</v>
      </c>
      <c r="E359" s="174">
        <v>186530</v>
      </c>
      <c r="F359" s="174">
        <v>126710</v>
      </c>
      <c r="G359" s="174">
        <v>107960</v>
      </c>
      <c r="H359" s="174">
        <v>90530</v>
      </c>
      <c r="I359" s="175">
        <v>77400</v>
      </c>
      <c r="J359" s="174">
        <v>64280</v>
      </c>
      <c r="K359" s="174">
        <v>51150</v>
      </c>
      <c r="L359" s="174">
        <v>38360</v>
      </c>
      <c r="M359" s="174">
        <v>33110</v>
      </c>
      <c r="N359" s="174">
        <v>27860</v>
      </c>
      <c r="O359" s="178">
        <v>24360</v>
      </c>
    </row>
    <row r="360" spans="1:15">
      <c r="A360" s="177">
        <v>4160</v>
      </c>
      <c r="B360" s="177">
        <v>4180</v>
      </c>
      <c r="C360" s="173">
        <v>4160000</v>
      </c>
      <c r="D360" s="174">
        <v>217320</v>
      </c>
      <c r="E360" s="174">
        <v>189190</v>
      </c>
      <c r="F360" s="174">
        <v>129150</v>
      </c>
      <c r="G360" s="174">
        <v>110400</v>
      </c>
      <c r="H360" s="174">
        <v>92240</v>
      </c>
      <c r="I360" s="175">
        <v>79110</v>
      </c>
      <c r="J360" s="174">
        <v>65990</v>
      </c>
      <c r="K360" s="174">
        <v>52860</v>
      </c>
      <c r="L360" s="174">
        <v>39740</v>
      </c>
      <c r="M360" s="174">
        <v>33790</v>
      </c>
      <c r="N360" s="174">
        <v>28540</v>
      </c>
      <c r="O360" s="178">
        <v>25040</v>
      </c>
    </row>
    <row r="361" spans="1:15">
      <c r="A361" s="177">
        <v>4180</v>
      </c>
      <c r="B361" s="177">
        <v>4200</v>
      </c>
      <c r="C361" s="173">
        <v>4180000</v>
      </c>
      <c r="D361" s="174">
        <v>219990</v>
      </c>
      <c r="E361" s="174">
        <v>191840</v>
      </c>
      <c r="F361" s="174">
        <v>131600</v>
      </c>
      <c r="G361" s="174">
        <v>112850</v>
      </c>
      <c r="H361" s="174">
        <v>94100</v>
      </c>
      <c r="I361" s="175">
        <v>80830</v>
      </c>
      <c r="J361" s="174">
        <v>67700</v>
      </c>
      <c r="K361" s="174">
        <v>54580</v>
      </c>
      <c r="L361" s="174">
        <v>41450</v>
      </c>
      <c r="M361" s="174">
        <v>34480</v>
      </c>
      <c r="N361" s="174">
        <v>29230</v>
      </c>
      <c r="O361" s="178">
        <v>25730</v>
      </c>
    </row>
    <row r="362" spans="1:15">
      <c r="A362" s="177">
        <v>4200</v>
      </c>
      <c r="B362" s="177">
        <v>4220</v>
      </c>
      <c r="C362" s="173">
        <v>4200000</v>
      </c>
      <c r="D362" s="174">
        <v>222660</v>
      </c>
      <c r="E362" s="174">
        <v>194500</v>
      </c>
      <c r="F362" s="174">
        <v>134040</v>
      </c>
      <c r="G362" s="174">
        <v>115290</v>
      </c>
      <c r="H362" s="174">
        <v>96540</v>
      </c>
      <c r="I362" s="175">
        <v>82540</v>
      </c>
      <c r="J362" s="174">
        <v>69410</v>
      </c>
      <c r="K362" s="174">
        <v>56290</v>
      </c>
      <c r="L362" s="174">
        <v>43160</v>
      </c>
      <c r="M362" s="174">
        <v>35160</v>
      </c>
      <c r="N362" s="174">
        <v>29910</v>
      </c>
      <c r="O362" s="178">
        <v>26410</v>
      </c>
    </row>
    <row r="363" spans="1:15">
      <c r="A363" s="177">
        <v>4220</v>
      </c>
      <c r="B363" s="177">
        <v>4240</v>
      </c>
      <c r="C363" s="173">
        <v>4220000</v>
      </c>
      <c r="D363" s="174">
        <v>225330</v>
      </c>
      <c r="E363" s="174">
        <v>197150</v>
      </c>
      <c r="F363" s="174">
        <v>136490</v>
      </c>
      <c r="G363" s="174">
        <v>117740</v>
      </c>
      <c r="H363" s="174">
        <v>98990</v>
      </c>
      <c r="I363" s="175">
        <v>84250</v>
      </c>
      <c r="J363" s="174">
        <v>71120</v>
      </c>
      <c r="K363" s="174">
        <v>58000</v>
      </c>
      <c r="L363" s="174">
        <v>44870</v>
      </c>
      <c r="M363" s="174">
        <v>35850</v>
      </c>
      <c r="N363" s="174">
        <v>30600</v>
      </c>
      <c r="O363" s="178">
        <v>27100</v>
      </c>
    </row>
    <row r="364" spans="1:15">
      <c r="A364" s="177">
        <v>4240</v>
      </c>
      <c r="B364" s="177">
        <v>4260</v>
      </c>
      <c r="C364" s="173">
        <v>4240000</v>
      </c>
      <c r="D364" s="174">
        <v>228000</v>
      </c>
      <c r="E364" s="174">
        <v>199810</v>
      </c>
      <c r="F364" s="174">
        <v>138930</v>
      </c>
      <c r="G364" s="174">
        <v>120180</v>
      </c>
      <c r="H364" s="174">
        <v>101430</v>
      </c>
      <c r="I364" s="175">
        <v>85960</v>
      </c>
      <c r="J364" s="174">
        <v>72830</v>
      </c>
      <c r="K364" s="174">
        <v>59710</v>
      </c>
      <c r="L364" s="174">
        <v>46580</v>
      </c>
      <c r="M364" s="174">
        <v>36530</v>
      </c>
      <c r="N364" s="174">
        <v>31280</v>
      </c>
      <c r="O364" s="178">
        <v>27780</v>
      </c>
    </row>
    <row r="365" spans="1:15">
      <c r="A365" s="177">
        <v>4260</v>
      </c>
      <c r="B365" s="177">
        <v>4280</v>
      </c>
      <c r="C365" s="173">
        <v>4260000</v>
      </c>
      <c r="D365" s="174">
        <v>230670</v>
      </c>
      <c r="E365" s="174">
        <v>202460</v>
      </c>
      <c r="F365" s="174">
        <v>141380</v>
      </c>
      <c r="G365" s="174">
        <v>122630</v>
      </c>
      <c r="H365" s="174">
        <v>103880</v>
      </c>
      <c r="I365" s="175">
        <v>87670</v>
      </c>
      <c r="J365" s="174">
        <v>74550</v>
      </c>
      <c r="K365" s="174">
        <v>61420</v>
      </c>
      <c r="L365" s="174">
        <v>48300</v>
      </c>
      <c r="M365" s="174">
        <v>37220</v>
      </c>
      <c r="N365" s="174">
        <v>31970</v>
      </c>
      <c r="O365" s="178">
        <v>28470</v>
      </c>
    </row>
    <row r="366" spans="1:15">
      <c r="A366" s="177">
        <v>4280</v>
      </c>
      <c r="B366" s="177">
        <v>4300</v>
      </c>
      <c r="C366" s="173">
        <v>4280000</v>
      </c>
      <c r="D366" s="174">
        <v>233340</v>
      </c>
      <c r="E366" s="174">
        <v>205120</v>
      </c>
      <c r="F366" s="174">
        <v>143820</v>
      </c>
      <c r="G366" s="174">
        <v>125070</v>
      </c>
      <c r="H366" s="174">
        <v>106320</v>
      </c>
      <c r="I366" s="175">
        <v>89380</v>
      </c>
      <c r="J366" s="174">
        <v>76260</v>
      </c>
      <c r="K366" s="174">
        <v>63130</v>
      </c>
      <c r="L366" s="174">
        <v>50010</v>
      </c>
      <c r="M366" s="174">
        <v>37900</v>
      </c>
      <c r="N366" s="174">
        <v>32650</v>
      </c>
      <c r="O366" s="178">
        <v>29150</v>
      </c>
    </row>
    <row r="367" spans="1:15">
      <c r="A367" s="177">
        <v>4300</v>
      </c>
      <c r="B367" s="177">
        <v>4320</v>
      </c>
      <c r="C367" s="173">
        <v>4300000</v>
      </c>
      <c r="D367" s="174">
        <v>236010</v>
      </c>
      <c r="E367" s="174">
        <v>207770</v>
      </c>
      <c r="F367" s="174">
        <v>146270</v>
      </c>
      <c r="G367" s="174">
        <v>127520</v>
      </c>
      <c r="H367" s="174">
        <v>108770</v>
      </c>
      <c r="I367" s="175">
        <v>91090</v>
      </c>
      <c r="J367" s="174">
        <v>77970</v>
      </c>
      <c r="K367" s="174">
        <v>64840</v>
      </c>
      <c r="L367" s="174">
        <v>51720</v>
      </c>
      <c r="M367" s="174">
        <v>38590</v>
      </c>
      <c r="N367" s="174">
        <v>33330</v>
      </c>
      <c r="O367" s="178">
        <v>29830</v>
      </c>
    </row>
    <row r="368" spans="1:15">
      <c r="A368" s="177">
        <v>4320</v>
      </c>
      <c r="B368" s="177">
        <v>4340</v>
      </c>
      <c r="C368" s="173">
        <v>4320000</v>
      </c>
      <c r="D368" s="174">
        <v>238680</v>
      </c>
      <c r="E368" s="174">
        <v>210430</v>
      </c>
      <c r="F368" s="174">
        <v>148710</v>
      </c>
      <c r="G368" s="174">
        <v>129960</v>
      </c>
      <c r="H368" s="174">
        <v>111210</v>
      </c>
      <c r="I368" s="175">
        <v>92810</v>
      </c>
      <c r="J368" s="174">
        <v>79680</v>
      </c>
      <c r="K368" s="174">
        <v>66560</v>
      </c>
      <c r="L368" s="174">
        <v>53430</v>
      </c>
      <c r="M368" s="174">
        <v>40310</v>
      </c>
      <c r="N368" s="174">
        <v>34020</v>
      </c>
      <c r="O368" s="178">
        <v>30520</v>
      </c>
    </row>
    <row r="369" spans="1:15">
      <c r="A369" s="177">
        <v>4340</v>
      </c>
      <c r="B369" s="177">
        <v>4360</v>
      </c>
      <c r="C369" s="173">
        <v>4340000</v>
      </c>
      <c r="D369" s="174">
        <v>241350</v>
      </c>
      <c r="E369" s="174">
        <v>213080</v>
      </c>
      <c r="F369" s="174">
        <v>151160</v>
      </c>
      <c r="G369" s="174">
        <v>132410</v>
      </c>
      <c r="H369" s="174">
        <v>113660</v>
      </c>
      <c r="I369" s="175">
        <v>94910</v>
      </c>
      <c r="J369" s="174">
        <v>81390</v>
      </c>
      <c r="K369" s="174">
        <v>68270</v>
      </c>
      <c r="L369" s="174">
        <v>55140</v>
      </c>
      <c r="M369" s="174">
        <v>42020</v>
      </c>
      <c r="N369" s="174">
        <v>34700</v>
      </c>
      <c r="O369" s="178">
        <v>31200</v>
      </c>
    </row>
    <row r="370" spans="1:15">
      <c r="A370" s="177">
        <v>4360</v>
      </c>
      <c r="B370" s="177">
        <v>4380</v>
      </c>
      <c r="C370" s="173">
        <v>4360000</v>
      </c>
      <c r="D370" s="174">
        <v>244020</v>
      </c>
      <c r="E370" s="174">
        <v>215740</v>
      </c>
      <c r="F370" s="174">
        <v>153600</v>
      </c>
      <c r="G370" s="174">
        <v>134850</v>
      </c>
      <c r="H370" s="174">
        <v>116100</v>
      </c>
      <c r="I370" s="175">
        <v>97350</v>
      </c>
      <c r="J370" s="174">
        <v>83100</v>
      </c>
      <c r="K370" s="174">
        <v>69980</v>
      </c>
      <c r="L370" s="174">
        <v>56850</v>
      </c>
      <c r="M370" s="174">
        <v>43730</v>
      </c>
      <c r="N370" s="174">
        <v>35390</v>
      </c>
      <c r="O370" s="178">
        <v>31890</v>
      </c>
    </row>
    <row r="371" spans="1:15">
      <c r="A371" s="177">
        <v>4380</v>
      </c>
      <c r="B371" s="177">
        <v>4400</v>
      </c>
      <c r="C371" s="173">
        <v>4380000</v>
      </c>
      <c r="D371" s="174">
        <v>246690</v>
      </c>
      <c r="E371" s="174">
        <v>218390</v>
      </c>
      <c r="F371" s="174">
        <v>156050</v>
      </c>
      <c r="G371" s="174">
        <v>137300</v>
      </c>
      <c r="H371" s="174">
        <v>118550</v>
      </c>
      <c r="I371" s="175">
        <v>99800</v>
      </c>
      <c r="J371" s="174">
        <v>84820</v>
      </c>
      <c r="K371" s="174">
        <v>71690</v>
      </c>
      <c r="L371" s="174">
        <v>58570</v>
      </c>
      <c r="M371" s="174">
        <v>45440</v>
      </c>
      <c r="N371" s="174">
        <v>36070</v>
      </c>
      <c r="O371" s="178">
        <v>32570</v>
      </c>
    </row>
    <row r="372" spans="1:15">
      <c r="A372" s="177">
        <v>4400</v>
      </c>
      <c r="B372" s="177">
        <v>4420</v>
      </c>
      <c r="C372" s="173">
        <v>4400000</v>
      </c>
      <c r="D372" s="174">
        <v>249360</v>
      </c>
      <c r="E372" s="174">
        <v>221050</v>
      </c>
      <c r="F372" s="174">
        <v>158490</v>
      </c>
      <c r="G372" s="174">
        <v>139740</v>
      </c>
      <c r="H372" s="174">
        <v>120990</v>
      </c>
      <c r="I372" s="175">
        <v>102240</v>
      </c>
      <c r="J372" s="174">
        <v>86530</v>
      </c>
      <c r="K372" s="174">
        <v>73400</v>
      </c>
      <c r="L372" s="174">
        <v>60280</v>
      </c>
      <c r="M372" s="174">
        <v>47150</v>
      </c>
      <c r="N372" s="174">
        <v>36760</v>
      </c>
      <c r="O372" s="178">
        <v>33260</v>
      </c>
    </row>
    <row r="373" spans="1:15">
      <c r="A373" s="177">
        <v>4420</v>
      </c>
      <c r="B373" s="177">
        <v>4440</v>
      </c>
      <c r="C373" s="173">
        <v>4420000</v>
      </c>
      <c r="D373" s="174">
        <v>252030</v>
      </c>
      <c r="E373" s="174">
        <v>223700</v>
      </c>
      <c r="F373" s="174">
        <v>160940</v>
      </c>
      <c r="G373" s="174">
        <v>142190</v>
      </c>
      <c r="H373" s="174">
        <v>123440</v>
      </c>
      <c r="I373" s="175">
        <v>104690</v>
      </c>
      <c r="J373" s="174">
        <v>88240</v>
      </c>
      <c r="K373" s="174">
        <v>75110</v>
      </c>
      <c r="L373" s="174">
        <v>61990</v>
      </c>
      <c r="M373" s="174">
        <v>48860</v>
      </c>
      <c r="N373" s="174">
        <v>37440</v>
      </c>
      <c r="O373" s="178">
        <v>33940</v>
      </c>
    </row>
    <row r="374" spans="1:15">
      <c r="A374" s="177">
        <v>4440</v>
      </c>
      <c r="B374" s="177">
        <v>4460</v>
      </c>
      <c r="C374" s="173">
        <v>4440000</v>
      </c>
      <c r="D374" s="174">
        <v>254700</v>
      </c>
      <c r="E374" s="174">
        <v>226360</v>
      </c>
      <c r="F374" s="174">
        <v>163380</v>
      </c>
      <c r="G374" s="174">
        <v>144630</v>
      </c>
      <c r="H374" s="174">
        <v>125880</v>
      </c>
      <c r="I374" s="175">
        <v>107130</v>
      </c>
      <c r="J374" s="174">
        <v>89950</v>
      </c>
      <c r="K374" s="174">
        <v>76820</v>
      </c>
      <c r="L374" s="174">
        <v>63700</v>
      </c>
      <c r="M374" s="174">
        <v>50570</v>
      </c>
      <c r="N374" s="174">
        <v>38130</v>
      </c>
      <c r="O374" s="178">
        <v>34630</v>
      </c>
    </row>
    <row r="375" spans="1:15">
      <c r="A375" s="177">
        <v>4460</v>
      </c>
      <c r="B375" s="177">
        <v>4480</v>
      </c>
      <c r="C375" s="173">
        <v>4460000</v>
      </c>
      <c r="D375" s="174">
        <v>257370</v>
      </c>
      <c r="E375" s="174">
        <v>229010</v>
      </c>
      <c r="F375" s="174">
        <v>165830</v>
      </c>
      <c r="G375" s="174">
        <v>147080</v>
      </c>
      <c r="H375" s="174">
        <v>128330</v>
      </c>
      <c r="I375" s="175">
        <v>109580</v>
      </c>
      <c r="J375" s="174">
        <v>91660</v>
      </c>
      <c r="K375" s="174">
        <v>78540</v>
      </c>
      <c r="L375" s="174">
        <v>65410</v>
      </c>
      <c r="M375" s="174">
        <v>52290</v>
      </c>
      <c r="N375" s="174">
        <v>39160</v>
      </c>
      <c r="O375" s="178">
        <v>35310</v>
      </c>
    </row>
    <row r="376" spans="1:15">
      <c r="A376" s="177">
        <v>4480</v>
      </c>
      <c r="B376" s="177">
        <v>4500</v>
      </c>
      <c r="C376" s="173">
        <v>4480000</v>
      </c>
      <c r="D376" s="174">
        <v>260040</v>
      </c>
      <c r="E376" s="174">
        <v>231670</v>
      </c>
      <c r="F376" s="174">
        <v>168270</v>
      </c>
      <c r="G376" s="174">
        <v>149520</v>
      </c>
      <c r="H376" s="174">
        <v>130770</v>
      </c>
      <c r="I376" s="175">
        <v>112020</v>
      </c>
      <c r="J376" s="174">
        <v>93370</v>
      </c>
      <c r="K376" s="174">
        <v>80250</v>
      </c>
      <c r="L376" s="174">
        <v>67120</v>
      </c>
      <c r="M376" s="174">
        <v>54000</v>
      </c>
      <c r="N376" s="174">
        <v>40870</v>
      </c>
      <c r="O376" s="178">
        <v>36000</v>
      </c>
    </row>
    <row r="377" spans="1:15">
      <c r="A377" s="177">
        <v>4500</v>
      </c>
      <c r="B377" s="177">
        <v>4520</v>
      </c>
      <c r="C377" s="173">
        <v>4500000</v>
      </c>
      <c r="D377" s="174">
        <v>262840</v>
      </c>
      <c r="E377" s="174">
        <v>234460</v>
      </c>
      <c r="F377" s="174">
        <v>170850</v>
      </c>
      <c r="G377" s="174">
        <v>152100</v>
      </c>
      <c r="H377" s="174">
        <v>133350</v>
      </c>
      <c r="I377" s="175">
        <v>114600</v>
      </c>
      <c r="J377" s="174">
        <v>95850</v>
      </c>
      <c r="K377" s="174">
        <v>82050</v>
      </c>
      <c r="L377" s="174">
        <v>68930</v>
      </c>
      <c r="M377" s="174">
        <v>55800</v>
      </c>
      <c r="N377" s="174">
        <v>42680</v>
      </c>
      <c r="O377" s="178">
        <v>36720</v>
      </c>
    </row>
    <row r="378" spans="1:15">
      <c r="A378" s="177">
        <v>4520</v>
      </c>
      <c r="B378" s="177">
        <v>4540</v>
      </c>
      <c r="C378" s="173">
        <v>4520000</v>
      </c>
      <c r="D378" s="174">
        <v>265650</v>
      </c>
      <c r="E378" s="174">
        <v>237250</v>
      </c>
      <c r="F378" s="174">
        <v>173430</v>
      </c>
      <c r="G378" s="174">
        <v>154680</v>
      </c>
      <c r="H378" s="174">
        <v>135930</v>
      </c>
      <c r="I378" s="175">
        <v>117180</v>
      </c>
      <c r="J378" s="174">
        <v>98430</v>
      </c>
      <c r="K378" s="174">
        <v>83860</v>
      </c>
      <c r="L378" s="174">
        <v>70730</v>
      </c>
      <c r="M378" s="174">
        <v>57610</v>
      </c>
      <c r="N378" s="174">
        <v>44480</v>
      </c>
      <c r="O378" s="178">
        <v>37440</v>
      </c>
    </row>
    <row r="379" spans="1:15">
      <c r="A379" s="177">
        <v>4540</v>
      </c>
      <c r="B379" s="177">
        <v>4560</v>
      </c>
      <c r="C379" s="173">
        <v>4540000</v>
      </c>
      <c r="D379" s="174">
        <v>268450</v>
      </c>
      <c r="E379" s="174">
        <v>240040</v>
      </c>
      <c r="F379" s="174">
        <v>176010</v>
      </c>
      <c r="G379" s="174">
        <v>157260</v>
      </c>
      <c r="H379" s="174">
        <v>138510</v>
      </c>
      <c r="I379" s="175">
        <v>119760</v>
      </c>
      <c r="J379" s="174">
        <v>101010</v>
      </c>
      <c r="K379" s="174">
        <v>85670</v>
      </c>
      <c r="L379" s="174">
        <v>72540</v>
      </c>
      <c r="M379" s="174">
        <v>59420</v>
      </c>
      <c r="N379" s="174">
        <v>46290</v>
      </c>
      <c r="O379" s="178">
        <v>38160</v>
      </c>
    </row>
    <row r="380" spans="1:15">
      <c r="A380" s="177">
        <v>4560</v>
      </c>
      <c r="B380" s="177">
        <v>4580</v>
      </c>
      <c r="C380" s="173">
        <v>4560000</v>
      </c>
      <c r="D380" s="174">
        <v>271260</v>
      </c>
      <c r="E380" s="174">
        <v>242830</v>
      </c>
      <c r="F380" s="174">
        <v>178590</v>
      </c>
      <c r="G380" s="174">
        <v>159840</v>
      </c>
      <c r="H380" s="174">
        <v>141090</v>
      </c>
      <c r="I380" s="175">
        <v>122340</v>
      </c>
      <c r="J380" s="174">
        <v>103590</v>
      </c>
      <c r="K380" s="174">
        <v>87470</v>
      </c>
      <c r="L380" s="174">
        <v>74350</v>
      </c>
      <c r="M380" s="174">
        <v>61220</v>
      </c>
      <c r="N380" s="174">
        <v>48100</v>
      </c>
      <c r="O380" s="178">
        <v>39350</v>
      </c>
    </row>
    <row r="381" spans="1:15">
      <c r="A381" s="177">
        <v>4580</v>
      </c>
      <c r="B381" s="177">
        <v>4600</v>
      </c>
      <c r="C381" s="173">
        <v>4580000</v>
      </c>
      <c r="D381" s="174">
        <v>276560</v>
      </c>
      <c r="E381" s="174">
        <v>248120</v>
      </c>
      <c r="F381" s="174">
        <v>183670</v>
      </c>
      <c r="G381" s="174">
        <v>164920</v>
      </c>
      <c r="H381" s="174">
        <v>146170</v>
      </c>
      <c r="I381" s="175">
        <v>127420</v>
      </c>
      <c r="J381" s="174">
        <v>108670</v>
      </c>
      <c r="K381" s="174">
        <v>89920</v>
      </c>
      <c r="L381" s="174">
        <v>76150</v>
      </c>
      <c r="M381" s="174">
        <v>63030</v>
      </c>
      <c r="N381" s="174">
        <v>49900</v>
      </c>
      <c r="O381" s="178">
        <v>41150</v>
      </c>
    </row>
    <row r="382" spans="1:15">
      <c r="A382" s="177">
        <v>4600</v>
      </c>
      <c r="B382" s="177">
        <v>4620</v>
      </c>
      <c r="C382" s="173">
        <v>4600000</v>
      </c>
      <c r="D382" s="174">
        <v>279370</v>
      </c>
      <c r="E382" s="174">
        <v>250910</v>
      </c>
      <c r="F382" s="174">
        <v>186250</v>
      </c>
      <c r="G382" s="174">
        <v>167500</v>
      </c>
      <c r="H382" s="174">
        <v>148750</v>
      </c>
      <c r="I382" s="175">
        <v>130000</v>
      </c>
      <c r="J382" s="174">
        <v>111250</v>
      </c>
      <c r="K382" s="174">
        <v>92500</v>
      </c>
      <c r="L382" s="174">
        <v>77960</v>
      </c>
      <c r="M382" s="174">
        <v>64830</v>
      </c>
      <c r="N382" s="174">
        <v>51710</v>
      </c>
      <c r="O382" s="178">
        <v>42960</v>
      </c>
    </row>
    <row r="383" spans="1:15">
      <c r="A383" s="177">
        <v>4620</v>
      </c>
      <c r="B383" s="177">
        <v>4640</v>
      </c>
      <c r="C383" s="173">
        <v>4620000</v>
      </c>
      <c r="D383" s="174">
        <v>282170</v>
      </c>
      <c r="E383" s="174">
        <v>253700</v>
      </c>
      <c r="F383" s="174">
        <v>188830</v>
      </c>
      <c r="G383" s="174">
        <v>170080</v>
      </c>
      <c r="H383" s="174">
        <v>151330</v>
      </c>
      <c r="I383" s="175">
        <v>132580</v>
      </c>
      <c r="J383" s="174">
        <v>113830</v>
      </c>
      <c r="K383" s="174">
        <v>95080</v>
      </c>
      <c r="L383" s="174">
        <v>79760</v>
      </c>
      <c r="M383" s="174">
        <v>66640</v>
      </c>
      <c r="N383" s="174">
        <v>53510</v>
      </c>
      <c r="O383" s="178">
        <v>44760</v>
      </c>
    </row>
    <row r="384" spans="1:15">
      <c r="A384" s="177">
        <v>4640</v>
      </c>
      <c r="B384" s="177">
        <v>4660</v>
      </c>
      <c r="C384" s="173">
        <v>4640000</v>
      </c>
      <c r="D384" s="174">
        <v>284980</v>
      </c>
      <c r="E384" s="174">
        <v>256490</v>
      </c>
      <c r="F384" s="174">
        <v>191410</v>
      </c>
      <c r="G384" s="174">
        <v>172660</v>
      </c>
      <c r="H384" s="174">
        <v>153910</v>
      </c>
      <c r="I384" s="175">
        <v>135160</v>
      </c>
      <c r="J384" s="174">
        <v>116410</v>
      </c>
      <c r="K384" s="174">
        <v>97660</v>
      </c>
      <c r="L384" s="174">
        <v>81570</v>
      </c>
      <c r="M384" s="174">
        <v>68450</v>
      </c>
      <c r="N384" s="174">
        <v>55320</v>
      </c>
      <c r="O384" s="178">
        <v>46570</v>
      </c>
    </row>
    <row r="385" spans="1:15">
      <c r="A385" s="177">
        <v>4660</v>
      </c>
      <c r="B385" s="177">
        <v>4680</v>
      </c>
      <c r="C385" s="173">
        <v>4660000</v>
      </c>
      <c r="D385" s="174">
        <v>287780</v>
      </c>
      <c r="E385" s="174">
        <v>259280</v>
      </c>
      <c r="F385" s="174">
        <v>193990</v>
      </c>
      <c r="G385" s="174">
        <v>175240</v>
      </c>
      <c r="H385" s="174">
        <v>156490</v>
      </c>
      <c r="I385" s="175">
        <v>137740</v>
      </c>
      <c r="J385" s="174">
        <v>118990</v>
      </c>
      <c r="K385" s="174">
        <v>100240</v>
      </c>
      <c r="L385" s="174">
        <v>83380</v>
      </c>
      <c r="M385" s="174">
        <v>70250</v>
      </c>
      <c r="N385" s="174">
        <v>57130</v>
      </c>
      <c r="O385" s="178">
        <v>48380</v>
      </c>
    </row>
    <row r="386" spans="1:15">
      <c r="A386" s="177">
        <v>4680</v>
      </c>
      <c r="B386" s="177">
        <v>4700</v>
      </c>
      <c r="C386" s="173">
        <v>4680000</v>
      </c>
      <c r="D386" s="174">
        <v>290590</v>
      </c>
      <c r="E386" s="174">
        <v>262070</v>
      </c>
      <c r="F386" s="174">
        <v>196570</v>
      </c>
      <c r="G386" s="174">
        <v>177820</v>
      </c>
      <c r="H386" s="174">
        <v>159070</v>
      </c>
      <c r="I386" s="175">
        <v>140320</v>
      </c>
      <c r="J386" s="174">
        <v>121570</v>
      </c>
      <c r="K386" s="174">
        <v>102820</v>
      </c>
      <c r="L386" s="174">
        <v>85180</v>
      </c>
      <c r="M386" s="174">
        <v>72060</v>
      </c>
      <c r="N386" s="174">
        <v>58930</v>
      </c>
      <c r="O386" s="178">
        <v>50180</v>
      </c>
    </row>
    <row r="387" spans="1:15">
      <c r="A387" s="177">
        <v>4700</v>
      </c>
      <c r="B387" s="177">
        <v>4720</v>
      </c>
      <c r="C387" s="173">
        <v>4700000</v>
      </c>
      <c r="D387" s="174">
        <v>293390</v>
      </c>
      <c r="E387" s="174">
        <v>264860</v>
      </c>
      <c r="F387" s="174">
        <v>199150</v>
      </c>
      <c r="G387" s="174">
        <v>180400</v>
      </c>
      <c r="H387" s="174">
        <v>161650</v>
      </c>
      <c r="I387" s="175">
        <v>142900</v>
      </c>
      <c r="J387" s="174">
        <v>124150</v>
      </c>
      <c r="K387" s="174">
        <v>105400</v>
      </c>
      <c r="L387" s="174">
        <v>86990</v>
      </c>
      <c r="M387" s="174">
        <v>73860</v>
      </c>
      <c r="N387" s="174">
        <v>60740</v>
      </c>
      <c r="O387" s="178">
        <v>51990</v>
      </c>
    </row>
    <row r="388" spans="1:15">
      <c r="A388" s="177">
        <v>4720</v>
      </c>
      <c r="B388" s="177">
        <v>4740</v>
      </c>
      <c r="C388" s="173">
        <v>4720000</v>
      </c>
      <c r="D388" s="174">
        <v>296200</v>
      </c>
      <c r="E388" s="174">
        <v>267650</v>
      </c>
      <c r="F388" s="174">
        <v>201730</v>
      </c>
      <c r="G388" s="174">
        <v>182980</v>
      </c>
      <c r="H388" s="174">
        <v>164230</v>
      </c>
      <c r="I388" s="175">
        <v>145480</v>
      </c>
      <c r="J388" s="174">
        <v>126730</v>
      </c>
      <c r="K388" s="174">
        <v>107980</v>
      </c>
      <c r="L388" s="174">
        <v>89230</v>
      </c>
      <c r="M388" s="174">
        <v>75670</v>
      </c>
      <c r="N388" s="174">
        <v>62540</v>
      </c>
      <c r="O388" s="178">
        <v>53790</v>
      </c>
    </row>
    <row r="389" spans="1:15">
      <c r="A389" s="177">
        <v>4740</v>
      </c>
      <c r="B389" s="177">
        <v>4760</v>
      </c>
      <c r="C389" s="173">
        <v>4740000</v>
      </c>
      <c r="D389" s="174">
        <v>299000</v>
      </c>
      <c r="E389" s="174">
        <v>270440</v>
      </c>
      <c r="F389" s="174">
        <v>204310</v>
      </c>
      <c r="G389" s="174">
        <v>185560</v>
      </c>
      <c r="H389" s="174">
        <v>166810</v>
      </c>
      <c r="I389" s="175">
        <v>148060</v>
      </c>
      <c r="J389" s="174">
        <v>129310</v>
      </c>
      <c r="K389" s="174">
        <v>110560</v>
      </c>
      <c r="L389" s="174">
        <v>91810</v>
      </c>
      <c r="M389" s="174">
        <v>77480</v>
      </c>
      <c r="N389" s="174">
        <v>64350</v>
      </c>
      <c r="O389" s="178">
        <v>55600</v>
      </c>
    </row>
    <row r="390" spans="1:15">
      <c r="A390" s="177">
        <v>4760</v>
      </c>
      <c r="B390" s="177">
        <v>4780</v>
      </c>
      <c r="C390" s="173">
        <v>4760000</v>
      </c>
      <c r="D390" s="174">
        <v>301810</v>
      </c>
      <c r="E390" s="174">
        <v>273230</v>
      </c>
      <c r="F390" s="174">
        <v>206890</v>
      </c>
      <c r="G390" s="174">
        <v>188140</v>
      </c>
      <c r="H390" s="174">
        <v>169390</v>
      </c>
      <c r="I390" s="175">
        <v>150640</v>
      </c>
      <c r="J390" s="174">
        <v>131890</v>
      </c>
      <c r="K390" s="174">
        <v>113140</v>
      </c>
      <c r="L390" s="174">
        <v>94390</v>
      </c>
      <c r="M390" s="174">
        <v>79280</v>
      </c>
      <c r="N390" s="174">
        <v>66160</v>
      </c>
      <c r="O390" s="178">
        <v>57410</v>
      </c>
    </row>
    <row r="391" spans="1:15">
      <c r="A391" s="177">
        <v>4780</v>
      </c>
      <c r="B391" s="177">
        <v>4800</v>
      </c>
      <c r="C391" s="173">
        <v>4780000</v>
      </c>
      <c r="D391" s="174">
        <v>304610</v>
      </c>
      <c r="E391" s="174">
        <v>276020</v>
      </c>
      <c r="F391" s="174">
        <v>209470</v>
      </c>
      <c r="G391" s="174">
        <v>190720</v>
      </c>
      <c r="H391" s="174">
        <v>171970</v>
      </c>
      <c r="I391" s="175">
        <v>153220</v>
      </c>
      <c r="J391" s="174">
        <v>134470</v>
      </c>
      <c r="K391" s="174">
        <v>115720</v>
      </c>
      <c r="L391" s="174">
        <v>96970</v>
      </c>
      <c r="M391" s="174">
        <v>81090</v>
      </c>
      <c r="N391" s="174">
        <v>67960</v>
      </c>
      <c r="O391" s="178">
        <v>59210</v>
      </c>
    </row>
    <row r="392" spans="1:15">
      <c r="A392" s="177">
        <v>4800</v>
      </c>
      <c r="B392" s="177">
        <v>4820</v>
      </c>
      <c r="C392" s="173">
        <v>4800000</v>
      </c>
      <c r="D392" s="174">
        <v>307420</v>
      </c>
      <c r="E392" s="174">
        <v>278810</v>
      </c>
      <c r="F392" s="174">
        <v>212050</v>
      </c>
      <c r="G392" s="174">
        <v>193300</v>
      </c>
      <c r="H392" s="174">
        <v>174550</v>
      </c>
      <c r="I392" s="175">
        <v>155800</v>
      </c>
      <c r="J392" s="174">
        <v>137050</v>
      </c>
      <c r="K392" s="174">
        <v>118300</v>
      </c>
      <c r="L392" s="174">
        <v>99550</v>
      </c>
      <c r="M392" s="174">
        <v>82890</v>
      </c>
      <c r="N392" s="174">
        <v>69770</v>
      </c>
      <c r="O392" s="178">
        <v>61020</v>
      </c>
    </row>
    <row r="393" spans="1:15">
      <c r="A393" s="177">
        <v>4820</v>
      </c>
      <c r="B393" s="177">
        <v>4840</v>
      </c>
      <c r="C393" s="173">
        <v>4820000</v>
      </c>
      <c r="D393" s="174">
        <v>310220</v>
      </c>
      <c r="E393" s="174">
        <v>281600</v>
      </c>
      <c r="F393" s="174">
        <v>214630</v>
      </c>
      <c r="G393" s="174">
        <v>195880</v>
      </c>
      <c r="H393" s="174">
        <v>177130</v>
      </c>
      <c r="I393" s="175">
        <v>158380</v>
      </c>
      <c r="J393" s="174">
        <v>139630</v>
      </c>
      <c r="K393" s="174">
        <v>120880</v>
      </c>
      <c r="L393" s="174">
        <v>102130</v>
      </c>
      <c r="M393" s="174">
        <v>84700</v>
      </c>
      <c r="N393" s="174">
        <v>71570</v>
      </c>
      <c r="O393" s="178">
        <v>62820</v>
      </c>
    </row>
    <row r="394" spans="1:15">
      <c r="A394" s="177">
        <v>4840</v>
      </c>
      <c r="B394" s="177">
        <v>4860</v>
      </c>
      <c r="C394" s="173">
        <v>4840000</v>
      </c>
      <c r="D394" s="174">
        <v>313030</v>
      </c>
      <c r="E394" s="174">
        <v>284390</v>
      </c>
      <c r="F394" s="174">
        <v>217210</v>
      </c>
      <c r="G394" s="174">
        <v>198460</v>
      </c>
      <c r="H394" s="174">
        <v>179710</v>
      </c>
      <c r="I394" s="175">
        <v>160960</v>
      </c>
      <c r="J394" s="174">
        <v>142210</v>
      </c>
      <c r="K394" s="174">
        <v>123460</v>
      </c>
      <c r="L394" s="174">
        <v>104710</v>
      </c>
      <c r="M394" s="174">
        <v>86510</v>
      </c>
      <c r="N394" s="174">
        <v>73380</v>
      </c>
      <c r="O394" s="178">
        <v>64630</v>
      </c>
    </row>
    <row r="395" spans="1:15">
      <c r="A395" s="177">
        <v>4860</v>
      </c>
      <c r="B395" s="177">
        <v>4880</v>
      </c>
      <c r="C395" s="173">
        <v>4860000</v>
      </c>
      <c r="D395" s="174">
        <v>315830</v>
      </c>
      <c r="E395" s="174">
        <v>287180</v>
      </c>
      <c r="F395" s="174">
        <v>219790</v>
      </c>
      <c r="G395" s="174">
        <v>201040</v>
      </c>
      <c r="H395" s="174">
        <v>182290</v>
      </c>
      <c r="I395" s="175">
        <v>163540</v>
      </c>
      <c r="J395" s="174">
        <v>144790</v>
      </c>
      <c r="K395" s="174">
        <v>126040</v>
      </c>
      <c r="L395" s="174">
        <v>107290</v>
      </c>
      <c r="M395" s="174">
        <v>88540</v>
      </c>
      <c r="N395" s="174">
        <v>75190</v>
      </c>
      <c r="O395" s="178">
        <v>66440</v>
      </c>
    </row>
    <row r="396" spans="1:15">
      <c r="A396" s="177">
        <v>4880</v>
      </c>
      <c r="B396" s="177">
        <v>4900</v>
      </c>
      <c r="C396" s="173">
        <v>4880000</v>
      </c>
      <c r="D396" s="174">
        <v>318640</v>
      </c>
      <c r="E396" s="174">
        <v>289970</v>
      </c>
      <c r="F396" s="174">
        <v>222370</v>
      </c>
      <c r="G396" s="174">
        <v>203620</v>
      </c>
      <c r="H396" s="174">
        <v>184870</v>
      </c>
      <c r="I396" s="175">
        <v>166120</v>
      </c>
      <c r="J396" s="174">
        <v>147370</v>
      </c>
      <c r="K396" s="174">
        <v>128620</v>
      </c>
      <c r="L396" s="174">
        <v>109870</v>
      </c>
      <c r="M396" s="174">
        <v>91120</v>
      </c>
      <c r="N396" s="174">
        <v>76990</v>
      </c>
      <c r="O396" s="178">
        <v>68240</v>
      </c>
    </row>
    <row r="397" spans="1:15">
      <c r="A397" s="177">
        <v>4900</v>
      </c>
      <c r="B397" s="177">
        <v>4920</v>
      </c>
      <c r="C397" s="173">
        <v>4900000</v>
      </c>
      <c r="D397" s="174">
        <v>321440</v>
      </c>
      <c r="E397" s="174">
        <v>292760</v>
      </c>
      <c r="F397" s="174">
        <v>224950</v>
      </c>
      <c r="G397" s="174">
        <v>206200</v>
      </c>
      <c r="H397" s="174">
        <v>187450</v>
      </c>
      <c r="I397" s="175">
        <v>168700</v>
      </c>
      <c r="J397" s="174">
        <v>149950</v>
      </c>
      <c r="K397" s="174">
        <v>131200</v>
      </c>
      <c r="L397" s="174">
        <v>112450</v>
      </c>
      <c r="M397" s="174">
        <v>93700</v>
      </c>
      <c r="N397" s="174">
        <v>78800</v>
      </c>
      <c r="O397" s="178">
        <v>70050</v>
      </c>
    </row>
    <row r="398" spans="1:15">
      <c r="A398" s="177">
        <v>4920</v>
      </c>
      <c r="B398" s="177">
        <v>4940</v>
      </c>
      <c r="C398" s="173">
        <v>4920000</v>
      </c>
      <c r="D398" s="174">
        <v>324250</v>
      </c>
      <c r="E398" s="174">
        <v>295550</v>
      </c>
      <c r="F398" s="174">
        <v>227530</v>
      </c>
      <c r="G398" s="174">
        <v>208780</v>
      </c>
      <c r="H398" s="174">
        <v>190030</v>
      </c>
      <c r="I398" s="175">
        <v>171280</v>
      </c>
      <c r="J398" s="174">
        <v>152530</v>
      </c>
      <c r="K398" s="174">
        <v>133780</v>
      </c>
      <c r="L398" s="174">
        <v>115030</v>
      </c>
      <c r="M398" s="174">
        <v>96280</v>
      </c>
      <c r="N398" s="174">
        <v>80600</v>
      </c>
      <c r="O398" s="178">
        <v>71850</v>
      </c>
    </row>
    <row r="399" spans="1:15">
      <c r="A399" s="177">
        <v>4940</v>
      </c>
      <c r="B399" s="177">
        <v>4960</v>
      </c>
      <c r="C399" s="173">
        <v>4940000</v>
      </c>
      <c r="D399" s="174">
        <v>327050</v>
      </c>
      <c r="E399" s="174">
        <v>298340</v>
      </c>
      <c r="F399" s="174">
        <v>230110</v>
      </c>
      <c r="G399" s="174">
        <v>211360</v>
      </c>
      <c r="H399" s="174">
        <v>192610</v>
      </c>
      <c r="I399" s="175">
        <v>173860</v>
      </c>
      <c r="J399" s="174">
        <v>155110</v>
      </c>
      <c r="K399" s="174">
        <v>136360</v>
      </c>
      <c r="L399" s="174">
        <v>117610</v>
      </c>
      <c r="M399" s="174">
        <v>98860</v>
      </c>
      <c r="N399" s="174">
        <v>82410</v>
      </c>
      <c r="O399" s="178">
        <v>73660</v>
      </c>
    </row>
    <row r="400" spans="1:15">
      <c r="A400" s="177">
        <v>4960</v>
      </c>
      <c r="B400" s="177">
        <v>4980</v>
      </c>
      <c r="C400" s="173">
        <v>4960000</v>
      </c>
      <c r="D400" s="174">
        <v>329860</v>
      </c>
      <c r="E400" s="174">
        <v>301130</v>
      </c>
      <c r="F400" s="174">
        <v>232690</v>
      </c>
      <c r="G400" s="174">
        <v>213940</v>
      </c>
      <c r="H400" s="174">
        <v>195190</v>
      </c>
      <c r="I400" s="175">
        <v>176440</v>
      </c>
      <c r="J400" s="174">
        <v>157690</v>
      </c>
      <c r="K400" s="174">
        <v>138940</v>
      </c>
      <c r="L400" s="174">
        <v>120190</v>
      </c>
      <c r="M400" s="174">
        <v>101440</v>
      </c>
      <c r="N400" s="174">
        <v>84220</v>
      </c>
      <c r="O400" s="178">
        <v>75470</v>
      </c>
    </row>
    <row r="401" spans="1:15">
      <c r="A401" s="177">
        <v>4980</v>
      </c>
      <c r="B401" s="177">
        <v>5000</v>
      </c>
      <c r="C401" s="173">
        <v>4980000</v>
      </c>
      <c r="D401" s="174">
        <v>332660</v>
      </c>
      <c r="E401" s="174">
        <v>303920</v>
      </c>
      <c r="F401" s="174">
        <v>235270</v>
      </c>
      <c r="G401" s="174">
        <v>216520</v>
      </c>
      <c r="H401" s="174">
        <v>197770</v>
      </c>
      <c r="I401" s="175">
        <v>179020</v>
      </c>
      <c r="J401" s="174">
        <v>160270</v>
      </c>
      <c r="K401" s="174">
        <v>141520</v>
      </c>
      <c r="L401" s="174">
        <v>122770</v>
      </c>
      <c r="M401" s="174">
        <v>104020</v>
      </c>
      <c r="N401" s="174">
        <v>86020</v>
      </c>
      <c r="O401" s="178">
        <v>77270</v>
      </c>
    </row>
    <row r="402" spans="1:15">
      <c r="A402" s="177">
        <v>5000</v>
      </c>
      <c r="B402" s="177">
        <v>5020</v>
      </c>
      <c r="C402" s="173">
        <v>5000000</v>
      </c>
      <c r="D402" s="174">
        <v>335470</v>
      </c>
      <c r="E402" s="174">
        <v>306710</v>
      </c>
      <c r="F402" s="174">
        <v>237850</v>
      </c>
      <c r="G402" s="174">
        <v>219100</v>
      </c>
      <c r="H402" s="174">
        <v>200350</v>
      </c>
      <c r="I402" s="175">
        <v>181600</v>
      </c>
      <c r="J402" s="174">
        <v>162850</v>
      </c>
      <c r="K402" s="174">
        <v>144100</v>
      </c>
      <c r="L402" s="174">
        <v>125350</v>
      </c>
      <c r="M402" s="174">
        <v>106600</v>
      </c>
      <c r="N402" s="174">
        <v>87850</v>
      </c>
      <c r="O402" s="178">
        <v>79080</v>
      </c>
    </row>
    <row r="403" spans="1:15">
      <c r="A403" s="177">
        <v>5020</v>
      </c>
      <c r="B403" s="177">
        <v>5040</v>
      </c>
      <c r="C403" s="173">
        <v>5020000</v>
      </c>
      <c r="D403" s="174">
        <v>338270</v>
      </c>
      <c r="E403" s="174">
        <v>309500</v>
      </c>
      <c r="F403" s="174">
        <v>240430</v>
      </c>
      <c r="G403" s="174">
        <v>221680</v>
      </c>
      <c r="H403" s="174">
        <v>202930</v>
      </c>
      <c r="I403" s="175">
        <v>184180</v>
      </c>
      <c r="J403" s="174">
        <v>165430</v>
      </c>
      <c r="K403" s="174">
        <v>146680</v>
      </c>
      <c r="L403" s="174">
        <v>127930</v>
      </c>
      <c r="M403" s="174">
        <v>109180</v>
      </c>
      <c r="N403" s="174">
        <v>90430</v>
      </c>
      <c r="O403" s="178">
        <v>80880</v>
      </c>
    </row>
    <row r="404" spans="1:15">
      <c r="A404" s="177">
        <v>5040</v>
      </c>
      <c r="B404" s="177">
        <v>5060</v>
      </c>
      <c r="C404" s="173">
        <v>5040000</v>
      </c>
      <c r="D404" s="174">
        <v>341080</v>
      </c>
      <c r="E404" s="174">
        <v>312290</v>
      </c>
      <c r="F404" s="174">
        <v>243010</v>
      </c>
      <c r="G404" s="174">
        <v>224260</v>
      </c>
      <c r="H404" s="174">
        <v>205510</v>
      </c>
      <c r="I404" s="175">
        <v>186760</v>
      </c>
      <c r="J404" s="174">
        <v>168010</v>
      </c>
      <c r="K404" s="174">
        <v>149260</v>
      </c>
      <c r="L404" s="174">
        <v>130510</v>
      </c>
      <c r="M404" s="174">
        <v>111760</v>
      </c>
      <c r="N404" s="174">
        <v>93010</v>
      </c>
      <c r="O404" s="178">
        <v>82690</v>
      </c>
    </row>
    <row r="405" spans="1:15">
      <c r="A405" s="177">
        <v>5060</v>
      </c>
      <c r="B405" s="177">
        <v>5080</v>
      </c>
      <c r="C405" s="173">
        <v>5060000</v>
      </c>
      <c r="D405" s="174">
        <v>343880</v>
      </c>
      <c r="E405" s="174">
        <v>315080</v>
      </c>
      <c r="F405" s="174">
        <v>245590</v>
      </c>
      <c r="G405" s="174">
        <v>226840</v>
      </c>
      <c r="H405" s="174">
        <v>208090</v>
      </c>
      <c r="I405" s="175">
        <v>189340</v>
      </c>
      <c r="J405" s="174">
        <v>170590</v>
      </c>
      <c r="K405" s="174">
        <v>151840</v>
      </c>
      <c r="L405" s="174">
        <v>133090</v>
      </c>
      <c r="M405" s="174">
        <v>114340</v>
      </c>
      <c r="N405" s="174">
        <v>95590</v>
      </c>
      <c r="O405" s="178">
        <v>84500</v>
      </c>
    </row>
    <row r="406" spans="1:15">
      <c r="A406" s="177">
        <v>5080</v>
      </c>
      <c r="B406" s="177">
        <v>5100</v>
      </c>
      <c r="C406" s="173">
        <v>5080000</v>
      </c>
      <c r="D406" s="174">
        <v>346690</v>
      </c>
      <c r="E406" s="174">
        <v>317870</v>
      </c>
      <c r="F406" s="174">
        <v>248170</v>
      </c>
      <c r="G406" s="174">
        <v>229420</v>
      </c>
      <c r="H406" s="174">
        <v>210670</v>
      </c>
      <c r="I406" s="175">
        <v>191920</v>
      </c>
      <c r="J406" s="174">
        <v>173170</v>
      </c>
      <c r="K406" s="174">
        <v>154420</v>
      </c>
      <c r="L406" s="174">
        <v>135670</v>
      </c>
      <c r="M406" s="174">
        <v>116920</v>
      </c>
      <c r="N406" s="174">
        <v>98170</v>
      </c>
      <c r="O406" s="178">
        <v>86300</v>
      </c>
    </row>
    <row r="407" spans="1:15">
      <c r="A407" s="177">
        <v>5100</v>
      </c>
      <c r="B407" s="177">
        <v>5120</v>
      </c>
      <c r="C407" s="173">
        <v>5100000</v>
      </c>
      <c r="D407" s="174">
        <v>349490</v>
      </c>
      <c r="E407" s="174">
        <v>320660</v>
      </c>
      <c r="F407" s="174">
        <v>250750</v>
      </c>
      <c r="G407" s="174">
        <v>232000</v>
      </c>
      <c r="H407" s="174">
        <v>213250</v>
      </c>
      <c r="I407" s="175">
        <v>194500</v>
      </c>
      <c r="J407" s="174">
        <v>175750</v>
      </c>
      <c r="K407" s="174">
        <v>157000</v>
      </c>
      <c r="L407" s="174">
        <v>138250</v>
      </c>
      <c r="M407" s="174">
        <v>119500</v>
      </c>
      <c r="N407" s="174">
        <v>100750</v>
      </c>
      <c r="O407" s="178">
        <v>88250</v>
      </c>
    </row>
    <row r="408" spans="1:15">
      <c r="A408" s="177">
        <v>5120</v>
      </c>
      <c r="B408" s="177">
        <v>5140</v>
      </c>
      <c r="C408" s="173">
        <v>5120000</v>
      </c>
      <c r="D408" s="174">
        <v>352300</v>
      </c>
      <c r="E408" s="174">
        <v>323450</v>
      </c>
      <c r="F408" s="174">
        <v>253330</v>
      </c>
      <c r="G408" s="174">
        <v>234580</v>
      </c>
      <c r="H408" s="174">
        <v>215830</v>
      </c>
      <c r="I408" s="175">
        <v>197080</v>
      </c>
      <c r="J408" s="174">
        <v>178330</v>
      </c>
      <c r="K408" s="174">
        <v>159580</v>
      </c>
      <c r="L408" s="174">
        <v>140830</v>
      </c>
      <c r="M408" s="174">
        <v>122080</v>
      </c>
      <c r="N408" s="174">
        <v>103330</v>
      </c>
      <c r="O408" s="178">
        <v>90830</v>
      </c>
    </row>
    <row r="409" spans="1:15">
      <c r="A409" s="177">
        <v>5140</v>
      </c>
      <c r="B409" s="177">
        <v>5160</v>
      </c>
      <c r="C409" s="173">
        <v>5140000</v>
      </c>
      <c r="D409" s="174">
        <v>355100</v>
      </c>
      <c r="E409" s="174">
        <v>326240</v>
      </c>
      <c r="F409" s="174">
        <v>255910</v>
      </c>
      <c r="G409" s="174">
        <v>237160</v>
      </c>
      <c r="H409" s="174">
        <v>218410</v>
      </c>
      <c r="I409" s="175">
        <v>199660</v>
      </c>
      <c r="J409" s="174">
        <v>180910</v>
      </c>
      <c r="K409" s="174">
        <v>162160</v>
      </c>
      <c r="L409" s="174">
        <v>143410</v>
      </c>
      <c r="M409" s="174">
        <v>124660</v>
      </c>
      <c r="N409" s="174">
        <v>105910</v>
      </c>
      <c r="O409" s="178">
        <v>93410</v>
      </c>
    </row>
    <row r="410" spans="1:15">
      <c r="A410" s="177">
        <v>5160</v>
      </c>
      <c r="B410" s="177">
        <v>5180</v>
      </c>
      <c r="C410" s="173">
        <v>5160000</v>
      </c>
      <c r="D410" s="174">
        <v>357910</v>
      </c>
      <c r="E410" s="174">
        <v>329030</v>
      </c>
      <c r="F410" s="174">
        <v>258490</v>
      </c>
      <c r="G410" s="174">
        <v>239740</v>
      </c>
      <c r="H410" s="174">
        <v>220990</v>
      </c>
      <c r="I410" s="175">
        <v>202240</v>
      </c>
      <c r="J410" s="174">
        <v>183490</v>
      </c>
      <c r="K410" s="174">
        <v>164740</v>
      </c>
      <c r="L410" s="174">
        <v>145990</v>
      </c>
      <c r="M410" s="174">
        <v>127240</v>
      </c>
      <c r="N410" s="174">
        <v>108490</v>
      </c>
      <c r="O410" s="178">
        <v>95990</v>
      </c>
    </row>
    <row r="411" spans="1:15">
      <c r="A411" s="177">
        <v>5180</v>
      </c>
      <c r="B411" s="177">
        <v>5200</v>
      </c>
      <c r="C411" s="173">
        <v>5180000</v>
      </c>
      <c r="D411" s="174">
        <v>360710</v>
      </c>
      <c r="E411" s="174">
        <v>331820</v>
      </c>
      <c r="F411" s="174">
        <v>261070</v>
      </c>
      <c r="G411" s="174">
        <v>242320</v>
      </c>
      <c r="H411" s="174">
        <v>223570</v>
      </c>
      <c r="I411" s="175">
        <v>204820</v>
      </c>
      <c r="J411" s="174">
        <v>186070</v>
      </c>
      <c r="K411" s="174">
        <v>167320</v>
      </c>
      <c r="L411" s="174">
        <v>148570</v>
      </c>
      <c r="M411" s="174">
        <v>129820</v>
      </c>
      <c r="N411" s="174">
        <v>111070</v>
      </c>
      <c r="O411" s="178">
        <v>98570</v>
      </c>
    </row>
    <row r="412" spans="1:15">
      <c r="A412" s="177">
        <v>5200</v>
      </c>
      <c r="B412" s="177">
        <v>5220</v>
      </c>
      <c r="C412" s="173">
        <v>5200000</v>
      </c>
      <c r="D412" s="174">
        <v>363520</v>
      </c>
      <c r="E412" s="174">
        <v>334610</v>
      </c>
      <c r="F412" s="174">
        <v>263650</v>
      </c>
      <c r="G412" s="174">
        <v>244900</v>
      </c>
      <c r="H412" s="174">
        <v>226150</v>
      </c>
      <c r="I412" s="175">
        <v>207400</v>
      </c>
      <c r="J412" s="174">
        <v>188650</v>
      </c>
      <c r="K412" s="174">
        <v>169900</v>
      </c>
      <c r="L412" s="174">
        <v>151150</v>
      </c>
      <c r="M412" s="174">
        <v>132400</v>
      </c>
      <c r="N412" s="174">
        <v>113650</v>
      </c>
      <c r="O412" s="178">
        <v>101150</v>
      </c>
    </row>
    <row r="413" spans="1:15">
      <c r="A413" s="177">
        <v>5220</v>
      </c>
      <c r="B413" s="177">
        <v>5240</v>
      </c>
      <c r="C413" s="173">
        <v>5220000</v>
      </c>
      <c r="D413" s="174">
        <v>366320</v>
      </c>
      <c r="E413" s="174">
        <v>337400</v>
      </c>
      <c r="F413" s="174">
        <v>266230</v>
      </c>
      <c r="G413" s="174">
        <v>247480</v>
      </c>
      <c r="H413" s="174">
        <v>228730</v>
      </c>
      <c r="I413" s="175">
        <v>209980</v>
      </c>
      <c r="J413" s="174">
        <v>191230</v>
      </c>
      <c r="K413" s="174">
        <v>172480</v>
      </c>
      <c r="L413" s="174">
        <v>153730</v>
      </c>
      <c r="M413" s="174">
        <v>134980</v>
      </c>
      <c r="N413" s="174">
        <v>116230</v>
      </c>
      <c r="O413" s="178">
        <v>103730</v>
      </c>
    </row>
    <row r="414" spans="1:15">
      <c r="A414" s="177">
        <v>5240</v>
      </c>
      <c r="B414" s="177">
        <v>5260</v>
      </c>
      <c r="C414" s="173">
        <v>5240000</v>
      </c>
      <c r="D414" s="174">
        <v>369130</v>
      </c>
      <c r="E414" s="174">
        <v>340190</v>
      </c>
      <c r="F414" s="174">
        <v>268810</v>
      </c>
      <c r="G414" s="174">
        <v>250060</v>
      </c>
      <c r="H414" s="174">
        <v>231310</v>
      </c>
      <c r="I414" s="175">
        <v>212560</v>
      </c>
      <c r="J414" s="174">
        <v>193810</v>
      </c>
      <c r="K414" s="174">
        <v>175060</v>
      </c>
      <c r="L414" s="174">
        <v>156310</v>
      </c>
      <c r="M414" s="174">
        <v>137560</v>
      </c>
      <c r="N414" s="174">
        <v>118810</v>
      </c>
      <c r="O414" s="178">
        <v>106310</v>
      </c>
    </row>
    <row r="415" spans="1:15">
      <c r="A415" s="177">
        <v>5260</v>
      </c>
      <c r="B415" s="177">
        <v>5280</v>
      </c>
      <c r="C415" s="173">
        <v>5260000</v>
      </c>
      <c r="D415" s="174">
        <v>371930</v>
      </c>
      <c r="E415" s="174">
        <v>342980</v>
      </c>
      <c r="F415" s="174">
        <v>271390</v>
      </c>
      <c r="G415" s="174">
        <v>252640</v>
      </c>
      <c r="H415" s="174">
        <v>233890</v>
      </c>
      <c r="I415" s="175">
        <v>215140</v>
      </c>
      <c r="J415" s="174">
        <v>196390</v>
      </c>
      <c r="K415" s="174">
        <v>177640</v>
      </c>
      <c r="L415" s="174">
        <v>158890</v>
      </c>
      <c r="M415" s="174">
        <v>140140</v>
      </c>
      <c r="N415" s="174">
        <v>121390</v>
      </c>
      <c r="O415" s="178">
        <v>108890</v>
      </c>
    </row>
    <row r="416" spans="1:15">
      <c r="A416" s="177">
        <v>5280</v>
      </c>
      <c r="B416" s="177">
        <v>5300</v>
      </c>
      <c r="C416" s="173">
        <v>5280000</v>
      </c>
      <c r="D416" s="174">
        <v>374740</v>
      </c>
      <c r="E416" s="174">
        <v>345770</v>
      </c>
      <c r="F416" s="174">
        <v>273970</v>
      </c>
      <c r="G416" s="174">
        <v>255220</v>
      </c>
      <c r="H416" s="174">
        <v>236470</v>
      </c>
      <c r="I416" s="175">
        <v>217720</v>
      </c>
      <c r="J416" s="174">
        <v>198970</v>
      </c>
      <c r="K416" s="174">
        <v>180220</v>
      </c>
      <c r="L416" s="174">
        <v>161470</v>
      </c>
      <c r="M416" s="174">
        <v>142720</v>
      </c>
      <c r="N416" s="174">
        <v>123970</v>
      </c>
      <c r="O416" s="178">
        <v>111470</v>
      </c>
    </row>
    <row r="417" spans="1:15">
      <c r="A417" s="177">
        <v>5300</v>
      </c>
      <c r="B417" s="177">
        <v>5320</v>
      </c>
      <c r="C417" s="173">
        <v>5300000</v>
      </c>
      <c r="D417" s="174">
        <v>377540</v>
      </c>
      <c r="E417" s="174">
        <v>348560</v>
      </c>
      <c r="F417" s="174">
        <v>276550</v>
      </c>
      <c r="G417" s="174">
        <v>257800</v>
      </c>
      <c r="H417" s="174">
        <v>239050</v>
      </c>
      <c r="I417" s="175">
        <v>220300</v>
      </c>
      <c r="J417" s="174">
        <v>201550</v>
      </c>
      <c r="K417" s="174">
        <v>182800</v>
      </c>
      <c r="L417" s="174">
        <v>164050</v>
      </c>
      <c r="M417" s="174">
        <v>145300</v>
      </c>
      <c r="N417" s="174">
        <v>126550</v>
      </c>
      <c r="O417" s="178">
        <v>114050</v>
      </c>
    </row>
    <row r="418" spans="1:15">
      <c r="A418" s="177">
        <v>5320</v>
      </c>
      <c r="B418" s="177">
        <v>5340</v>
      </c>
      <c r="C418" s="173">
        <v>5320000</v>
      </c>
      <c r="D418" s="174">
        <v>380350</v>
      </c>
      <c r="E418" s="174">
        <v>351350</v>
      </c>
      <c r="F418" s="174">
        <v>279130</v>
      </c>
      <c r="G418" s="174">
        <v>260380</v>
      </c>
      <c r="H418" s="174">
        <v>241630</v>
      </c>
      <c r="I418" s="175">
        <v>222880</v>
      </c>
      <c r="J418" s="174">
        <v>204130</v>
      </c>
      <c r="K418" s="174">
        <v>185380</v>
      </c>
      <c r="L418" s="174">
        <v>166630</v>
      </c>
      <c r="M418" s="174">
        <v>147880</v>
      </c>
      <c r="N418" s="174">
        <v>129130</v>
      </c>
      <c r="O418" s="178">
        <v>116630</v>
      </c>
    </row>
    <row r="419" spans="1:15">
      <c r="A419" s="177">
        <v>5340</v>
      </c>
      <c r="B419" s="177">
        <v>5360</v>
      </c>
      <c r="C419" s="173">
        <v>5340000</v>
      </c>
      <c r="D419" s="174">
        <v>383150</v>
      </c>
      <c r="E419" s="174">
        <v>354140</v>
      </c>
      <c r="F419" s="174">
        <v>281710</v>
      </c>
      <c r="G419" s="174">
        <v>262960</v>
      </c>
      <c r="H419" s="174">
        <v>244210</v>
      </c>
      <c r="I419" s="175">
        <v>225460</v>
      </c>
      <c r="J419" s="174">
        <v>206710</v>
      </c>
      <c r="K419" s="174">
        <v>187960</v>
      </c>
      <c r="L419" s="174">
        <v>169210</v>
      </c>
      <c r="M419" s="174">
        <v>150460</v>
      </c>
      <c r="N419" s="174">
        <v>131710</v>
      </c>
      <c r="O419" s="178">
        <v>119210</v>
      </c>
    </row>
    <row r="420" spans="1:15">
      <c r="A420" s="177">
        <v>5360</v>
      </c>
      <c r="B420" s="177">
        <v>5380</v>
      </c>
      <c r="C420" s="173">
        <v>5360000</v>
      </c>
      <c r="D420" s="174">
        <v>385960</v>
      </c>
      <c r="E420" s="174">
        <v>356930</v>
      </c>
      <c r="F420" s="174">
        <v>284290</v>
      </c>
      <c r="G420" s="174">
        <v>265540</v>
      </c>
      <c r="H420" s="174">
        <v>246790</v>
      </c>
      <c r="I420" s="175">
        <v>228040</v>
      </c>
      <c r="J420" s="174">
        <v>209290</v>
      </c>
      <c r="K420" s="174">
        <v>190540</v>
      </c>
      <c r="L420" s="174">
        <v>171790</v>
      </c>
      <c r="M420" s="174">
        <v>153040</v>
      </c>
      <c r="N420" s="174">
        <v>134290</v>
      </c>
      <c r="O420" s="178">
        <v>121790</v>
      </c>
    </row>
    <row r="421" spans="1:15">
      <c r="A421" s="177">
        <v>5380</v>
      </c>
      <c r="B421" s="177">
        <v>5400</v>
      </c>
      <c r="C421" s="173">
        <v>5380000</v>
      </c>
      <c r="D421" s="174">
        <v>388760</v>
      </c>
      <c r="E421" s="174">
        <v>359720</v>
      </c>
      <c r="F421" s="174">
        <v>286870</v>
      </c>
      <c r="G421" s="174">
        <v>268120</v>
      </c>
      <c r="H421" s="174">
        <v>249370</v>
      </c>
      <c r="I421" s="175">
        <v>230620</v>
      </c>
      <c r="J421" s="174">
        <v>211870</v>
      </c>
      <c r="K421" s="174">
        <v>193120</v>
      </c>
      <c r="L421" s="174">
        <v>174370</v>
      </c>
      <c r="M421" s="174">
        <v>155620</v>
      </c>
      <c r="N421" s="174">
        <v>136870</v>
      </c>
      <c r="O421" s="178">
        <v>124370</v>
      </c>
    </row>
    <row r="422" spans="1:15">
      <c r="A422" s="177">
        <v>5400</v>
      </c>
      <c r="B422" s="177">
        <v>5420</v>
      </c>
      <c r="C422" s="173">
        <v>5400000</v>
      </c>
      <c r="D422" s="174">
        <v>391570</v>
      </c>
      <c r="E422" s="174">
        <v>362510</v>
      </c>
      <c r="F422" s="174">
        <v>289450</v>
      </c>
      <c r="G422" s="174">
        <v>270700</v>
      </c>
      <c r="H422" s="174">
        <v>251950</v>
      </c>
      <c r="I422" s="175">
        <v>233200</v>
      </c>
      <c r="J422" s="174">
        <v>214450</v>
      </c>
      <c r="K422" s="174">
        <v>195700</v>
      </c>
      <c r="L422" s="174">
        <v>176950</v>
      </c>
      <c r="M422" s="174">
        <v>158200</v>
      </c>
      <c r="N422" s="174">
        <v>139450</v>
      </c>
      <c r="O422" s="178">
        <v>126950</v>
      </c>
    </row>
    <row r="423" spans="1:15">
      <c r="A423" s="177">
        <v>5420</v>
      </c>
      <c r="B423" s="177">
        <v>5440</v>
      </c>
      <c r="C423" s="173">
        <v>5420000</v>
      </c>
      <c r="D423" s="174">
        <v>394370</v>
      </c>
      <c r="E423" s="174">
        <v>365300</v>
      </c>
      <c r="F423" s="174">
        <v>292030</v>
      </c>
      <c r="G423" s="174">
        <v>273280</v>
      </c>
      <c r="H423" s="174">
        <v>254530</v>
      </c>
      <c r="I423" s="175">
        <v>235780</v>
      </c>
      <c r="J423" s="174">
        <v>217030</v>
      </c>
      <c r="K423" s="174">
        <v>198280</v>
      </c>
      <c r="L423" s="174">
        <v>179530</v>
      </c>
      <c r="M423" s="174">
        <v>160780</v>
      </c>
      <c r="N423" s="174">
        <v>142030</v>
      </c>
      <c r="O423" s="178">
        <v>129530</v>
      </c>
    </row>
    <row r="424" spans="1:15">
      <c r="A424" s="177">
        <v>5440</v>
      </c>
      <c r="B424" s="177">
        <v>5460</v>
      </c>
      <c r="C424" s="173">
        <v>5440000</v>
      </c>
      <c r="D424" s="174">
        <v>397180</v>
      </c>
      <c r="E424" s="174">
        <v>368090</v>
      </c>
      <c r="F424" s="174">
        <v>294610</v>
      </c>
      <c r="G424" s="174">
        <v>275860</v>
      </c>
      <c r="H424" s="174">
        <v>257110</v>
      </c>
      <c r="I424" s="175">
        <v>238360</v>
      </c>
      <c r="J424" s="174">
        <v>219610</v>
      </c>
      <c r="K424" s="174">
        <v>200860</v>
      </c>
      <c r="L424" s="174">
        <v>182110</v>
      </c>
      <c r="M424" s="174">
        <v>163360</v>
      </c>
      <c r="N424" s="174">
        <v>144610</v>
      </c>
      <c r="O424" s="178">
        <v>132110</v>
      </c>
    </row>
    <row r="425" spans="1:15">
      <c r="A425" s="177">
        <v>5460</v>
      </c>
      <c r="B425" s="177">
        <v>5480</v>
      </c>
      <c r="C425" s="173">
        <v>5460000</v>
      </c>
      <c r="D425" s="174">
        <v>399980</v>
      </c>
      <c r="E425" s="174">
        <v>370880</v>
      </c>
      <c r="F425" s="174">
        <v>297190</v>
      </c>
      <c r="G425" s="174">
        <v>278440</v>
      </c>
      <c r="H425" s="174">
        <v>259690</v>
      </c>
      <c r="I425" s="175">
        <v>240940</v>
      </c>
      <c r="J425" s="174">
        <v>222190</v>
      </c>
      <c r="K425" s="174">
        <v>203440</v>
      </c>
      <c r="L425" s="174">
        <v>184690</v>
      </c>
      <c r="M425" s="174">
        <v>165940</v>
      </c>
      <c r="N425" s="174">
        <v>147190</v>
      </c>
      <c r="O425" s="178">
        <v>134690</v>
      </c>
    </row>
    <row r="426" spans="1:15">
      <c r="A426" s="177">
        <v>5480</v>
      </c>
      <c r="B426" s="177">
        <v>5500</v>
      </c>
      <c r="C426" s="173">
        <v>5480000</v>
      </c>
      <c r="D426" s="174">
        <v>402790</v>
      </c>
      <c r="E426" s="174">
        <v>373670</v>
      </c>
      <c r="F426" s="174">
        <v>299770</v>
      </c>
      <c r="G426" s="174">
        <v>281020</v>
      </c>
      <c r="H426" s="174">
        <v>262270</v>
      </c>
      <c r="I426" s="175">
        <v>243520</v>
      </c>
      <c r="J426" s="174">
        <v>224770</v>
      </c>
      <c r="K426" s="174">
        <v>206020</v>
      </c>
      <c r="L426" s="174">
        <v>187270</v>
      </c>
      <c r="M426" s="174">
        <v>168520</v>
      </c>
      <c r="N426" s="174">
        <v>149770</v>
      </c>
      <c r="O426" s="178">
        <v>137270</v>
      </c>
    </row>
    <row r="427" spans="1:15">
      <c r="A427" s="177">
        <v>5500</v>
      </c>
      <c r="B427" s="177">
        <v>5520</v>
      </c>
      <c r="C427" s="173">
        <v>5500000</v>
      </c>
      <c r="D427" s="174">
        <v>405590</v>
      </c>
      <c r="E427" s="174">
        <v>376460</v>
      </c>
      <c r="F427" s="174">
        <v>302350</v>
      </c>
      <c r="G427" s="174">
        <v>283600</v>
      </c>
      <c r="H427" s="174">
        <v>264850</v>
      </c>
      <c r="I427" s="175">
        <v>246100</v>
      </c>
      <c r="J427" s="174">
        <v>227350</v>
      </c>
      <c r="K427" s="174">
        <v>208600</v>
      </c>
      <c r="L427" s="174">
        <v>189850</v>
      </c>
      <c r="M427" s="174">
        <v>171100</v>
      </c>
      <c r="N427" s="174">
        <v>152350</v>
      </c>
      <c r="O427" s="178">
        <v>139850</v>
      </c>
    </row>
    <row r="428" spans="1:15">
      <c r="A428" s="177">
        <v>5520</v>
      </c>
      <c r="B428" s="177">
        <v>5540</v>
      </c>
      <c r="C428" s="173">
        <v>5520000</v>
      </c>
      <c r="D428" s="174">
        <v>408400</v>
      </c>
      <c r="E428" s="174">
        <v>379250</v>
      </c>
      <c r="F428" s="174">
        <v>304930</v>
      </c>
      <c r="G428" s="174">
        <v>286180</v>
      </c>
      <c r="H428" s="174">
        <v>267430</v>
      </c>
      <c r="I428" s="175">
        <v>248680</v>
      </c>
      <c r="J428" s="174">
        <v>229930</v>
      </c>
      <c r="K428" s="174">
        <v>211180</v>
      </c>
      <c r="L428" s="174">
        <v>192430</v>
      </c>
      <c r="M428" s="174">
        <v>173680</v>
      </c>
      <c r="N428" s="174">
        <v>154930</v>
      </c>
      <c r="O428" s="178">
        <v>142430</v>
      </c>
    </row>
    <row r="429" spans="1:15">
      <c r="A429" s="177">
        <v>5540</v>
      </c>
      <c r="B429" s="177">
        <v>5560</v>
      </c>
      <c r="C429" s="173">
        <v>5540000</v>
      </c>
      <c r="D429" s="174">
        <v>411200</v>
      </c>
      <c r="E429" s="174">
        <v>382040</v>
      </c>
      <c r="F429" s="174">
        <v>307510</v>
      </c>
      <c r="G429" s="174">
        <v>288760</v>
      </c>
      <c r="H429" s="174">
        <v>270010</v>
      </c>
      <c r="I429" s="175">
        <v>251260</v>
      </c>
      <c r="J429" s="174">
        <v>232510</v>
      </c>
      <c r="K429" s="174">
        <v>213760</v>
      </c>
      <c r="L429" s="174">
        <v>195010</v>
      </c>
      <c r="M429" s="174">
        <v>176260</v>
      </c>
      <c r="N429" s="174">
        <v>157510</v>
      </c>
      <c r="O429" s="178">
        <v>145010</v>
      </c>
    </row>
    <row r="430" spans="1:15">
      <c r="A430" s="177">
        <v>5560</v>
      </c>
      <c r="B430" s="177">
        <v>5580</v>
      </c>
      <c r="C430" s="173">
        <v>5560000</v>
      </c>
      <c r="D430" s="174">
        <v>414010</v>
      </c>
      <c r="E430" s="174">
        <v>384830</v>
      </c>
      <c r="F430" s="174">
        <v>310090</v>
      </c>
      <c r="G430" s="174">
        <v>291340</v>
      </c>
      <c r="H430" s="174">
        <v>272590</v>
      </c>
      <c r="I430" s="175">
        <v>253840</v>
      </c>
      <c r="J430" s="174">
        <v>235090</v>
      </c>
      <c r="K430" s="174">
        <v>216340</v>
      </c>
      <c r="L430" s="174">
        <v>197590</v>
      </c>
      <c r="M430" s="174">
        <v>178840</v>
      </c>
      <c r="N430" s="174">
        <v>160090</v>
      </c>
      <c r="O430" s="178">
        <v>147590</v>
      </c>
    </row>
    <row r="431" spans="1:15">
      <c r="A431" s="177">
        <v>5580</v>
      </c>
      <c r="B431" s="177">
        <v>5600</v>
      </c>
      <c r="C431" s="173">
        <v>5580000</v>
      </c>
      <c r="D431" s="174">
        <v>416810</v>
      </c>
      <c r="E431" s="174">
        <v>387620</v>
      </c>
      <c r="F431" s="174">
        <v>312670</v>
      </c>
      <c r="G431" s="174">
        <v>293920</v>
      </c>
      <c r="H431" s="174">
        <v>275170</v>
      </c>
      <c r="I431" s="175">
        <v>256420</v>
      </c>
      <c r="J431" s="174">
        <v>237670</v>
      </c>
      <c r="K431" s="174">
        <v>218920</v>
      </c>
      <c r="L431" s="174">
        <v>200170</v>
      </c>
      <c r="M431" s="174">
        <v>181420</v>
      </c>
      <c r="N431" s="174">
        <v>162670</v>
      </c>
      <c r="O431" s="178">
        <v>150170</v>
      </c>
    </row>
    <row r="432" spans="1:15">
      <c r="A432" s="177">
        <v>5600</v>
      </c>
      <c r="B432" s="177">
        <v>5620</v>
      </c>
      <c r="C432" s="173">
        <v>5600000</v>
      </c>
      <c r="D432" s="174">
        <v>419620</v>
      </c>
      <c r="E432" s="174">
        <v>390410</v>
      </c>
      <c r="F432" s="174">
        <v>315250</v>
      </c>
      <c r="G432" s="174">
        <v>296500</v>
      </c>
      <c r="H432" s="174">
        <v>277750</v>
      </c>
      <c r="I432" s="175">
        <v>259000</v>
      </c>
      <c r="J432" s="174">
        <v>240250</v>
      </c>
      <c r="K432" s="174">
        <v>221500</v>
      </c>
      <c r="L432" s="174">
        <v>202750</v>
      </c>
      <c r="M432" s="174">
        <v>184000</v>
      </c>
      <c r="N432" s="174">
        <v>165250</v>
      </c>
      <c r="O432" s="178">
        <v>152750</v>
      </c>
    </row>
    <row r="433" spans="1:15">
      <c r="A433" s="177">
        <v>5620</v>
      </c>
      <c r="B433" s="177">
        <v>5640</v>
      </c>
      <c r="C433" s="173">
        <v>5620000</v>
      </c>
      <c r="D433" s="174">
        <v>422420</v>
      </c>
      <c r="E433" s="174">
        <v>393200</v>
      </c>
      <c r="F433" s="174">
        <v>317830</v>
      </c>
      <c r="G433" s="174">
        <v>299080</v>
      </c>
      <c r="H433" s="174">
        <v>280330</v>
      </c>
      <c r="I433" s="175">
        <v>261580</v>
      </c>
      <c r="J433" s="174">
        <v>242830</v>
      </c>
      <c r="K433" s="174">
        <v>224080</v>
      </c>
      <c r="L433" s="174">
        <v>205330</v>
      </c>
      <c r="M433" s="174">
        <v>186580</v>
      </c>
      <c r="N433" s="174">
        <v>167830</v>
      </c>
      <c r="O433" s="178">
        <v>155330</v>
      </c>
    </row>
    <row r="434" spans="1:15">
      <c r="A434" s="177">
        <v>5640</v>
      </c>
      <c r="B434" s="177">
        <v>5660</v>
      </c>
      <c r="C434" s="173">
        <v>5640000</v>
      </c>
      <c r="D434" s="174">
        <v>425230</v>
      </c>
      <c r="E434" s="174">
        <v>395990</v>
      </c>
      <c r="F434" s="174">
        <v>320410</v>
      </c>
      <c r="G434" s="174">
        <v>301660</v>
      </c>
      <c r="H434" s="174">
        <v>282910</v>
      </c>
      <c r="I434" s="175">
        <v>264160</v>
      </c>
      <c r="J434" s="174">
        <v>245410</v>
      </c>
      <c r="K434" s="174">
        <v>226660</v>
      </c>
      <c r="L434" s="174">
        <v>207910</v>
      </c>
      <c r="M434" s="174">
        <v>189160</v>
      </c>
      <c r="N434" s="174">
        <v>170410</v>
      </c>
      <c r="O434" s="178">
        <v>157910</v>
      </c>
    </row>
    <row r="435" spans="1:15">
      <c r="A435" s="177">
        <v>5660</v>
      </c>
      <c r="B435" s="177">
        <v>5680</v>
      </c>
      <c r="C435" s="173">
        <v>5660000</v>
      </c>
      <c r="D435" s="174">
        <v>428030</v>
      </c>
      <c r="E435" s="174">
        <v>398780</v>
      </c>
      <c r="F435" s="174">
        <v>322990</v>
      </c>
      <c r="G435" s="174">
        <v>304240</v>
      </c>
      <c r="H435" s="174">
        <v>285490</v>
      </c>
      <c r="I435" s="175">
        <v>266740</v>
      </c>
      <c r="J435" s="174">
        <v>247990</v>
      </c>
      <c r="K435" s="174">
        <v>229240</v>
      </c>
      <c r="L435" s="174">
        <v>210490</v>
      </c>
      <c r="M435" s="174">
        <v>191740</v>
      </c>
      <c r="N435" s="174">
        <v>172990</v>
      </c>
      <c r="O435" s="178">
        <v>160490</v>
      </c>
    </row>
    <row r="436" spans="1:15">
      <c r="A436" s="177">
        <v>5680</v>
      </c>
      <c r="B436" s="177">
        <v>5700</v>
      </c>
      <c r="C436" s="173">
        <v>5680000</v>
      </c>
      <c r="D436" s="174">
        <v>430840</v>
      </c>
      <c r="E436" s="174">
        <v>401570</v>
      </c>
      <c r="F436" s="174">
        <v>325570</v>
      </c>
      <c r="G436" s="174">
        <v>306820</v>
      </c>
      <c r="H436" s="174">
        <v>288070</v>
      </c>
      <c r="I436" s="175">
        <v>269320</v>
      </c>
      <c r="J436" s="174">
        <v>250570</v>
      </c>
      <c r="K436" s="174">
        <v>231820</v>
      </c>
      <c r="L436" s="174">
        <v>213070</v>
      </c>
      <c r="M436" s="174">
        <v>194320</v>
      </c>
      <c r="N436" s="174">
        <v>175570</v>
      </c>
      <c r="O436" s="178">
        <v>163070</v>
      </c>
    </row>
    <row r="437" spans="1:15">
      <c r="A437" s="177">
        <v>5700</v>
      </c>
      <c r="B437" s="177">
        <v>5720</v>
      </c>
      <c r="C437" s="173">
        <v>5700000</v>
      </c>
      <c r="D437" s="174">
        <v>433640</v>
      </c>
      <c r="E437" s="174">
        <v>404360</v>
      </c>
      <c r="F437" s="174">
        <v>328150</v>
      </c>
      <c r="G437" s="174">
        <v>309400</v>
      </c>
      <c r="H437" s="174">
        <v>290650</v>
      </c>
      <c r="I437" s="175">
        <v>271900</v>
      </c>
      <c r="J437" s="174">
        <v>253150</v>
      </c>
      <c r="K437" s="174">
        <v>234400</v>
      </c>
      <c r="L437" s="174">
        <v>215650</v>
      </c>
      <c r="M437" s="174">
        <v>196900</v>
      </c>
      <c r="N437" s="174">
        <v>178150</v>
      </c>
      <c r="O437" s="178">
        <v>165650</v>
      </c>
    </row>
    <row r="438" spans="1:15">
      <c r="A438" s="177">
        <v>5720</v>
      </c>
      <c r="B438" s="177">
        <v>5740</v>
      </c>
      <c r="C438" s="173">
        <v>5720000</v>
      </c>
      <c r="D438" s="174">
        <v>436450</v>
      </c>
      <c r="E438" s="174">
        <v>407150</v>
      </c>
      <c r="F438" s="174">
        <v>330730</v>
      </c>
      <c r="G438" s="174">
        <v>311980</v>
      </c>
      <c r="H438" s="174">
        <v>293230</v>
      </c>
      <c r="I438" s="175">
        <v>274480</v>
      </c>
      <c r="J438" s="174">
        <v>255730</v>
      </c>
      <c r="K438" s="174">
        <v>236980</v>
      </c>
      <c r="L438" s="174">
        <v>218230</v>
      </c>
      <c r="M438" s="174">
        <v>199480</v>
      </c>
      <c r="N438" s="174">
        <v>180730</v>
      </c>
      <c r="O438" s="178">
        <v>168230</v>
      </c>
    </row>
    <row r="439" spans="1:15">
      <c r="A439" s="177">
        <v>5740</v>
      </c>
      <c r="B439" s="177">
        <v>5760</v>
      </c>
      <c r="C439" s="173">
        <v>5740000</v>
      </c>
      <c r="D439" s="174">
        <v>439250</v>
      </c>
      <c r="E439" s="174">
        <v>409940</v>
      </c>
      <c r="F439" s="174">
        <v>333310</v>
      </c>
      <c r="G439" s="174">
        <v>314560</v>
      </c>
      <c r="H439" s="174">
        <v>295810</v>
      </c>
      <c r="I439" s="175">
        <v>277060</v>
      </c>
      <c r="J439" s="174">
        <v>258310</v>
      </c>
      <c r="K439" s="174">
        <v>239560</v>
      </c>
      <c r="L439" s="174">
        <v>220810</v>
      </c>
      <c r="M439" s="174">
        <v>202060</v>
      </c>
      <c r="N439" s="174">
        <v>183310</v>
      </c>
      <c r="O439" s="178">
        <v>170810</v>
      </c>
    </row>
    <row r="440" spans="1:15">
      <c r="A440" s="177">
        <v>5760</v>
      </c>
      <c r="B440" s="177">
        <v>5780</v>
      </c>
      <c r="C440" s="173">
        <v>5760000</v>
      </c>
      <c r="D440" s="174">
        <v>442060</v>
      </c>
      <c r="E440" s="174">
        <v>412730</v>
      </c>
      <c r="F440" s="174">
        <v>335890</v>
      </c>
      <c r="G440" s="174">
        <v>317140</v>
      </c>
      <c r="H440" s="174">
        <v>298390</v>
      </c>
      <c r="I440" s="175">
        <v>279640</v>
      </c>
      <c r="J440" s="174">
        <v>260890</v>
      </c>
      <c r="K440" s="174">
        <v>242140</v>
      </c>
      <c r="L440" s="174">
        <v>223390</v>
      </c>
      <c r="M440" s="174">
        <v>204640</v>
      </c>
      <c r="N440" s="174">
        <v>185890</v>
      </c>
      <c r="O440" s="178">
        <v>173390</v>
      </c>
    </row>
    <row r="441" spans="1:15">
      <c r="A441" s="177">
        <v>5780</v>
      </c>
      <c r="B441" s="177">
        <v>5800</v>
      </c>
      <c r="C441" s="173">
        <v>5780000</v>
      </c>
      <c r="D441" s="174">
        <v>444860</v>
      </c>
      <c r="E441" s="174">
        <v>415520</v>
      </c>
      <c r="F441" s="174">
        <v>338470</v>
      </c>
      <c r="G441" s="174">
        <v>319720</v>
      </c>
      <c r="H441" s="174">
        <v>300970</v>
      </c>
      <c r="I441" s="175">
        <v>282220</v>
      </c>
      <c r="J441" s="174">
        <v>263470</v>
      </c>
      <c r="K441" s="174">
        <v>244720</v>
      </c>
      <c r="L441" s="174">
        <v>225970</v>
      </c>
      <c r="M441" s="174">
        <v>207220</v>
      </c>
      <c r="N441" s="174">
        <v>188470</v>
      </c>
      <c r="O441" s="178">
        <v>175970</v>
      </c>
    </row>
    <row r="442" spans="1:15">
      <c r="A442" s="177">
        <v>5800</v>
      </c>
      <c r="B442" s="177">
        <v>5820</v>
      </c>
      <c r="C442" s="173">
        <v>5800000</v>
      </c>
      <c r="D442" s="174">
        <v>447670</v>
      </c>
      <c r="E442" s="174">
        <v>418310</v>
      </c>
      <c r="F442" s="174">
        <v>341050</v>
      </c>
      <c r="G442" s="174">
        <v>322300</v>
      </c>
      <c r="H442" s="174">
        <v>303550</v>
      </c>
      <c r="I442" s="175">
        <v>284800</v>
      </c>
      <c r="J442" s="174">
        <v>266050</v>
      </c>
      <c r="K442" s="174">
        <v>247300</v>
      </c>
      <c r="L442" s="174">
        <v>228550</v>
      </c>
      <c r="M442" s="174">
        <v>209800</v>
      </c>
      <c r="N442" s="174">
        <v>191050</v>
      </c>
      <c r="O442" s="178">
        <v>178550</v>
      </c>
    </row>
    <row r="443" spans="1:15">
      <c r="A443" s="177">
        <v>5820</v>
      </c>
      <c r="B443" s="177">
        <v>5840</v>
      </c>
      <c r="C443" s="173">
        <v>5820000</v>
      </c>
      <c r="D443" s="174">
        <v>450470</v>
      </c>
      <c r="E443" s="174">
        <v>421100</v>
      </c>
      <c r="F443" s="174">
        <v>343630</v>
      </c>
      <c r="G443" s="174">
        <v>324880</v>
      </c>
      <c r="H443" s="174">
        <v>306130</v>
      </c>
      <c r="I443" s="175">
        <v>287380</v>
      </c>
      <c r="J443" s="174">
        <v>268630</v>
      </c>
      <c r="K443" s="174">
        <v>249880</v>
      </c>
      <c r="L443" s="174">
        <v>231130</v>
      </c>
      <c r="M443" s="174">
        <v>212380</v>
      </c>
      <c r="N443" s="174">
        <v>193630</v>
      </c>
      <c r="O443" s="178">
        <v>181130</v>
      </c>
    </row>
    <row r="444" spans="1:15">
      <c r="A444" s="177">
        <v>5840</v>
      </c>
      <c r="B444" s="177">
        <v>5860</v>
      </c>
      <c r="C444" s="173">
        <v>5840000</v>
      </c>
      <c r="D444" s="174">
        <v>470380</v>
      </c>
      <c r="E444" s="174">
        <v>441000</v>
      </c>
      <c r="F444" s="174">
        <v>372100</v>
      </c>
      <c r="G444" s="174">
        <v>353350</v>
      </c>
      <c r="H444" s="174">
        <v>334600</v>
      </c>
      <c r="I444" s="175">
        <v>315850</v>
      </c>
      <c r="J444" s="174">
        <v>297100</v>
      </c>
      <c r="K444" s="174">
        <v>278350</v>
      </c>
      <c r="L444" s="174">
        <v>259600</v>
      </c>
      <c r="M444" s="174">
        <v>240850</v>
      </c>
      <c r="N444" s="174">
        <v>222100</v>
      </c>
      <c r="O444" s="178">
        <v>209600</v>
      </c>
    </row>
    <row r="445" spans="1:15">
      <c r="A445" s="177">
        <v>5860</v>
      </c>
      <c r="B445" s="177">
        <v>5880</v>
      </c>
      <c r="C445" s="173">
        <v>5860000</v>
      </c>
      <c r="D445" s="174">
        <v>475720</v>
      </c>
      <c r="E445" s="174">
        <v>446320</v>
      </c>
      <c r="F445" s="174">
        <v>377240</v>
      </c>
      <c r="G445" s="174">
        <v>358490</v>
      </c>
      <c r="H445" s="174">
        <v>339740</v>
      </c>
      <c r="I445" s="175">
        <v>320990</v>
      </c>
      <c r="J445" s="174">
        <v>302240</v>
      </c>
      <c r="K445" s="174">
        <v>283490</v>
      </c>
      <c r="L445" s="174">
        <v>264740</v>
      </c>
      <c r="M445" s="174">
        <v>245990</v>
      </c>
      <c r="N445" s="174">
        <v>227240</v>
      </c>
      <c r="O445" s="178">
        <v>214740</v>
      </c>
    </row>
    <row r="446" spans="1:15">
      <c r="A446" s="177">
        <v>5880</v>
      </c>
      <c r="B446" s="177">
        <v>5900</v>
      </c>
      <c r="C446" s="173">
        <v>5880000</v>
      </c>
      <c r="D446" s="174">
        <v>478690</v>
      </c>
      <c r="E446" s="174">
        <v>449140</v>
      </c>
      <c r="F446" s="174">
        <v>379880</v>
      </c>
      <c r="G446" s="174">
        <v>361130</v>
      </c>
      <c r="H446" s="174">
        <v>342380</v>
      </c>
      <c r="I446" s="175">
        <v>323630</v>
      </c>
      <c r="J446" s="174">
        <v>304880</v>
      </c>
      <c r="K446" s="174">
        <v>286130</v>
      </c>
      <c r="L446" s="174">
        <v>267380</v>
      </c>
      <c r="M446" s="174">
        <v>248630</v>
      </c>
      <c r="N446" s="174">
        <v>229880</v>
      </c>
      <c r="O446" s="178">
        <v>217380</v>
      </c>
    </row>
    <row r="447" spans="1:15">
      <c r="A447" s="177">
        <v>5900</v>
      </c>
      <c r="B447" s="177">
        <v>5920</v>
      </c>
      <c r="C447" s="173">
        <v>5900000</v>
      </c>
      <c r="D447" s="174">
        <v>483220</v>
      </c>
      <c r="E447" s="174">
        <v>451960</v>
      </c>
      <c r="F447" s="174">
        <v>382520</v>
      </c>
      <c r="G447" s="174">
        <v>363770</v>
      </c>
      <c r="H447" s="174">
        <v>345020</v>
      </c>
      <c r="I447" s="175">
        <v>326270</v>
      </c>
      <c r="J447" s="174">
        <v>307520</v>
      </c>
      <c r="K447" s="174">
        <v>288770</v>
      </c>
      <c r="L447" s="174">
        <v>270020</v>
      </c>
      <c r="M447" s="174">
        <v>251270</v>
      </c>
      <c r="N447" s="174">
        <v>232520</v>
      </c>
      <c r="O447" s="178">
        <v>220020</v>
      </c>
    </row>
    <row r="448" spans="1:15">
      <c r="A448" s="177">
        <v>5920</v>
      </c>
      <c r="B448" s="177">
        <v>5940</v>
      </c>
      <c r="C448" s="173">
        <v>5920000</v>
      </c>
      <c r="D448" s="174">
        <v>487760</v>
      </c>
      <c r="E448" s="174">
        <v>454780</v>
      </c>
      <c r="F448" s="174">
        <v>385160</v>
      </c>
      <c r="G448" s="174">
        <v>366410</v>
      </c>
      <c r="H448" s="174">
        <v>347660</v>
      </c>
      <c r="I448" s="175">
        <v>328910</v>
      </c>
      <c r="J448" s="174">
        <v>310160</v>
      </c>
      <c r="K448" s="174">
        <v>291410</v>
      </c>
      <c r="L448" s="174">
        <v>272660</v>
      </c>
      <c r="M448" s="174">
        <v>253910</v>
      </c>
      <c r="N448" s="174">
        <v>235160</v>
      </c>
      <c r="O448" s="178">
        <v>222660</v>
      </c>
    </row>
    <row r="449" spans="1:15">
      <c r="A449" s="177">
        <v>5940</v>
      </c>
      <c r="B449" s="177">
        <v>5960</v>
      </c>
      <c r="C449" s="173">
        <v>5940000</v>
      </c>
      <c r="D449" s="174">
        <v>492300</v>
      </c>
      <c r="E449" s="174">
        <v>457600</v>
      </c>
      <c r="F449" s="174">
        <v>387800</v>
      </c>
      <c r="G449" s="174">
        <v>369050</v>
      </c>
      <c r="H449" s="174">
        <v>350300</v>
      </c>
      <c r="I449" s="175">
        <v>331550</v>
      </c>
      <c r="J449" s="174">
        <v>312800</v>
      </c>
      <c r="K449" s="174">
        <v>294050</v>
      </c>
      <c r="L449" s="174">
        <v>275300</v>
      </c>
      <c r="M449" s="174">
        <v>256550</v>
      </c>
      <c r="N449" s="174">
        <v>237800</v>
      </c>
      <c r="O449" s="178">
        <v>225300</v>
      </c>
    </row>
    <row r="450" spans="1:15">
      <c r="A450" s="177">
        <v>5960</v>
      </c>
      <c r="B450" s="177">
        <v>5980</v>
      </c>
      <c r="C450" s="173">
        <v>5960000</v>
      </c>
      <c r="D450" s="174">
        <v>496830</v>
      </c>
      <c r="E450" s="174">
        <v>460420</v>
      </c>
      <c r="F450" s="174">
        <v>390440</v>
      </c>
      <c r="G450" s="174">
        <v>371690</v>
      </c>
      <c r="H450" s="174">
        <v>352940</v>
      </c>
      <c r="I450" s="175">
        <v>334190</v>
      </c>
      <c r="J450" s="174">
        <v>315440</v>
      </c>
      <c r="K450" s="174">
        <v>296690</v>
      </c>
      <c r="L450" s="174">
        <v>277940</v>
      </c>
      <c r="M450" s="174">
        <v>259190</v>
      </c>
      <c r="N450" s="174">
        <v>240440</v>
      </c>
      <c r="O450" s="178">
        <v>227940</v>
      </c>
    </row>
    <row r="451" spans="1:15">
      <c r="A451" s="177">
        <v>5980</v>
      </c>
      <c r="B451" s="177">
        <v>6000</v>
      </c>
      <c r="C451" s="173">
        <v>5980000</v>
      </c>
      <c r="D451" s="174">
        <v>501370</v>
      </c>
      <c r="E451" s="174">
        <v>463240</v>
      </c>
      <c r="F451" s="174">
        <v>393080</v>
      </c>
      <c r="G451" s="174">
        <v>374330</v>
      </c>
      <c r="H451" s="174">
        <v>355580</v>
      </c>
      <c r="I451" s="175">
        <v>336830</v>
      </c>
      <c r="J451" s="174">
        <v>318080</v>
      </c>
      <c r="K451" s="174">
        <v>299330</v>
      </c>
      <c r="L451" s="174">
        <v>280580</v>
      </c>
      <c r="M451" s="174">
        <v>261830</v>
      </c>
      <c r="N451" s="174">
        <v>243080</v>
      </c>
      <c r="O451" s="178">
        <v>230580</v>
      </c>
    </row>
    <row r="452" spans="1:15">
      <c r="A452" s="177">
        <v>6000</v>
      </c>
      <c r="B452" s="177">
        <v>6020</v>
      </c>
      <c r="C452" s="173">
        <v>6000000</v>
      </c>
      <c r="D452" s="174">
        <v>505900</v>
      </c>
      <c r="E452" s="174">
        <v>466060</v>
      </c>
      <c r="F452" s="174">
        <v>395720</v>
      </c>
      <c r="G452" s="174">
        <v>376970</v>
      </c>
      <c r="H452" s="174">
        <v>358220</v>
      </c>
      <c r="I452" s="175">
        <v>339470</v>
      </c>
      <c r="J452" s="174">
        <v>320720</v>
      </c>
      <c r="K452" s="174">
        <v>301970</v>
      </c>
      <c r="L452" s="174">
        <v>283220</v>
      </c>
      <c r="M452" s="174">
        <v>264470</v>
      </c>
      <c r="N452" s="174">
        <v>245720</v>
      </c>
      <c r="O452" s="178">
        <v>233220</v>
      </c>
    </row>
    <row r="453" spans="1:15">
      <c r="A453" s="177">
        <v>6020</v>
      </c>
      <c r="B453" s="177">
        <v>6040</v>
      </c>
      <c r="C453" s="173">
        <v>6020000</v>
      </c>
      <c r="D453" s="174">
        <v>510440</v>
      </c>
      <c r="E453" s="174">
        <v>468880</v>
      </c>
      <c r="F453" s="174">
        <v>398360</v>
      </c>
      <c r="G453" s="174">
        <v>379610</v>
      </c>
      <c r="H453" s="174">
        <v>360860</v>
      </c>
      <c r="I453" s="175">
        <v>342110</v>
      </c>
      <c r="J453" s="174">
        <v>323360</v>
      </c>
      <c r="K453" s="174">
        <v>304610</v>
      </c>
      <c r="L453" s="174">
        <v>285860</v>
      </c>
      <c r="M453" s="174">
        <v>267110</v>
      </c>
      <c r="N453" s="174">
        <v>248360</v>
      </c>
      <c r="O453" s="178">
        <v>235860</v>
      </c>
    </row>
    <row r="454" spans="1:15">
      <c r="A454" s="177">
        <v>6040</v>
      </c>
      <c r="B454" s="177">
        <v>6060</v>
      </c>
      <c r="C454" s="173">
        <v>6040000</v>
      </c>
      <c r="D454" s="174">
        <v>514980</v>
      </c>
      <c r="E454" s="174">
        <v>471700</v>
      </c>
      <c r="F454" s="174">
        <v>401000</v>
      </c>
      <c r="G454" s="174">
        <v>382250</v>
      </c>
      <c r="H454" s="174">
        <v>363500</v>
      </c>
      <c r="I454" s="175">
        <v>344750</v>
      </c>
      <c r="J454" s="174">
        <v>326000</v>
      </c>
      <c r="K454" s="174">
        <v>307250</v>
      </c>
      <c r="L454" s="174">
        <v>288500</v>
      </c>
      <c r="M454" s="174">
        <v>269750</v>
      </c>
      <c r="N454" s="174">
        <v>251000</v>
      </c>
      <c r="O454" s="178">
        <v>238500</v>
      </c>
    </row>
    <row r="455" spans="1:15">
      <c r="A455" s="177">
        <v>6060</v>
      </c>
      <c r="B455" s="177">
        <v>6080</v>
      </c>
      <c r="C455" s="173">
        <v>6060000</v>
      </c>
      <c r="D455" s="174">
        <v>519510</v>
      </c>
      <c r="E455" s="174">
        <v>474520</v>
      </c>
      <c r="F455" s="174">
        <v>403640</v>
      </c>
      <c r="G455" s="174">
        <v>384890</v>
      </c>
      <c r="H455" s="174">
        <v>366140</v>
      </c>
      <c r="I455" s="175">
        <v>347390</v>
      </c>
      <c r="J455" s="174">
        <v>328640</v>
      </c>
      <c r="K455" s="174">
        <v>309890</v>
      </c>
      <c r="L455" s="174">
        <v>291140</v>
      </c>
      <c r="M455" s="174">
        <v>272390</v>
      </c>
      <c r="N455" s="174">
        <v>253640</v>
      </c>
      <c r="O455" s="178">
        <v>241140</v>
      </c>
    </row>
    <row r="456" spans="1:15">
      <c r="A456" s="177">
        <v>6080</v>
      </c>
      <c r="B456" s="177">
        <v>6100</v>
      </c>
      <c r="C456" s="173">
        <v>6080000</v>
      </c>
      <c r="D456" s="174">
        <v>524050</v>
      </c>
      <c r="E456" s="174">
        <v>477340</v>
      </c>
      <c r="F456" s="174">
        <v>406280</v>
      </c>
      <c r="G456" s="174">
        <v>387530</v>
      </c>
      <c r="H456" s="174">
        <v>368780</v>
      </c>
      <c r="I456" s="175">
        <v>350030</v>
      </c>
      <c r="J456" s="174">
        <v>331280</v>
      </c>
      <c r="K456" s="174">
        <v>312530</v>
      </c>
      <c r="L456" s="174">
        <v>293780</v>
      </c>
      <c r="M456" s="174">
        <v>275030</v>
      </c>
      <c r="N456" s="174">
        <v>256280</v>
      </c>
      <c r="O456" s="178">
        <v>243780</v>
      </c>
    </row>
    <row r="457" spans="1:15">
      <c r="A457" s="177">
        <v>6100</v>
      </c>
      <c r="B457" s="177">
        <v>6120</v>
      </c>
      <c r="C457" s="173">
        <v>6100000</v>
      </c>
      <c r="D457" s="174">
        <v>528580</v>
      </c>
      <c r="E457" s="174">
        <v>481250</v>
      </c>
      <c r="F457" s="174">
        <v>408920</v>
      </c>
      <c r="G457" s="174">
        <v>390170</v>
      </c>
      <c r="H457" s="174">
        <v>371420</v>
      </c>
      <c r="I457" s="175">
        <v>352670</v>
      </c>
      <c r="J457" s="174">
        <v>333920</v>
      </c>
      <c r="K457" s="174">
        <v>315170</v>
      </c>
      <c r="L457" s="174">
        <v>296420</v>
      </c>
      <c r="M457" s="174">
        <v>277670</v>
      </c>
      <c r="N457" s="174">
        <v>258920</v>
      </c>
      <c r="O457" s="178">
        <v>246420</v>
      </c>
    </row>
    <row r="458" spans="1:15">
      <c r="A458" s="177">
        <v>6120</v>
      </c>
      <c r="B458" s="177">
        <v>6140</v>
      </c>
      <c r="C458" s="173">
        <v>6120000</v>
      </c>
      <c r="D458" s="174">
        <v>533120</v>
      </c>
      <c r="E458" s="174">
        <v>485760</v>
      </c>
      <c r="F458" s="174">
        <v>411560</v>
      </c>
      <c r="G458" s="174">
        <v>392810</v>
      </c>
      <c r="H458" s="174">
        <v>374060</v>
      </c>
      <c r="I458" s="175">
        <v>355310</v>
      </c>
      <c r="J458" s="174">
        <v>336560</v>
      </c>
      <c r="K458" s="174">
        <v>317810</v>
      </c>
      <c r="L458" s="174">
        <v>299060</v>
      </c>
      <c r="M458" s="174">
        <v>280310</v>
      </c>
      <c r="N458" s="174">
        <v>261560</v>
      </c>
      <c r="O458" s="178">
        <v>249060</v>
      </c>
    </row>
    <row r="459" spans="1:15">
      <c r="A459" s="177">
        <v>6140</v>
      </c>
      <c r="B459" s="177">
        <v>6160</v>
      </c>
      <c r="C459" s="173">
        <v>6140000</v>
      </c>
      <c r="D459" s="174">
        <v>537660</v>
      </c>
      <c r="E459" s="174">
        <v>490280</v>
      </c>
      <c r="F459" s="174">
        <v>414200</v>
      </c>
      <c r="G459" s="174">
        <v>395450</v>
      </c>
      <c r="H459" s="174">
        <v>376700</v>
      </c>
      <c r="I459" s="175">
        <v>357950</v>
      </c>
      <c r="J459" s="174">
        <v>339200</v>
      </c>
      <c r="K459" s="174">
        <v>320450</v>
      </c>
      <c r="L459" s="174">
        <v>301700</v>
      </c>
      <c r="M459" s="174">
        <v>282950</v>
      </c>
      <c r="N459" s="174">
        <v>264200</v>
      </c>
      <c r="O459" s="178">
        <v>251700</v>
      </c>
    </row>
    <row r="460" spans="1:15">
      <c r="A460" s="177">
        <v>6160</v>
      </c>
      <c r="B460" s="177">
        <v>6180</v>
      </c>
      <c r="C460" s="173">
        <v>6160000</v>
      </c>
      <c r="D460" s="174">
        <v>542190</v>
      </c>
      <c r="E460" s="174">
        <v>494790</v>
      </c>
      <c r="F460" s="174">
        <v>416840</v>
      </c>
      <c r="G460" s="174">
        <v>398090</v>
      </c>
      <c r="H460" s="174">
        <v>379340</v>
      </c>
      <c r="I460" s="175">
        <v>360590</v>
      </c>
      <c r="J460" s="174">
        <v>341840</v>
      </c>
      <c r="K460" s="174">
        <v>323090</v>
      </c>
      <c r="L460" s="174">
        <v>304340</v>
      </c>
      <c r="M460" s="174">
        <v>285590</v>
      </c>
      <c r="N460" s="174">
        <v>266840</v>
      </c>
      <c r="O460" s="178">
        <v>254340</v>
      </c>
    </row>
    <row r="461" spans="1:15">
      <c r="A461" s="177">
        <v>6180</v>
      </c>
      <c r="B461" s="177">
        <v>6200</v>
      </c>
      <c r="C461" s="173">
        <v>6180000</v>
      </c>
      <c r="D461" s="174">
        <v>546730</v>
      </c>
      <c r="E461" s="174">
        <v>499300</v>
      </c>
      <c r="F461" s="174">
        <v>419480</v>
      </c>
      <c r="G461" s="174">
        <v>400730</v>
      </c>
      <c r="H461" s="174">
        <v>381980</v>
      </c>
      <c r="I461" s="175">
        <v>363230</v>
      </c>
      <c r="J461" s="174">
        <v>344480</v>
      </c>
      <c r="K461" s="174">
        <v>325730</v>
      </c>
      <c r="L461" s="174">
        <v>306980</v>
      </c>
      <c r="M461" s="174">
        <v>288230</v>
      </c>
      <c r="N461" s="174">
        <v>269480</v>
      </c>
      <c r="O461" s="178">
        <v>256980</v>
      </c>
    </row>
    <row r="462" spans="1:15">
      <c r="A462" s="177">
        <v>6200</v>
      </c>
      <c r="B462" s="177">
        <v>6220</v>
      </c>
      <c r="C462" s="173">
        <v>6200000</v>
      </c>
      <c r="D462" s="174">
        <v>551260</v>
      </c>
      <c r="E462" s="174">
        <v>503810</v>
      </c>
      <c r="F462" s="174">
        <v>422120</v>
      </c>
      <c r="G462" s="174">
        <v>403370</v>
      </c>
      <c r="H462" s="174">
        <v>384620</v>
      </c>
      <c r="I462" s="175">
        <v>365870</v>
      </c>
      <c r="J462" s="174">
        <v>347120</v>
      </c>
      <c r="K462" s="174">
        <v>328370</v>
      </c>
      <c r="L462" s="174">
        <v>309620</v>
      </c>
      <c r="M462" s="174">
        <v>290870</v>
      </c>
      <c r="N462" s="174">
        <v>272120</v>
      </c>
      <c r="O462" s="178">
        <v>259620</v>
      </c>
    </row>
    <row r="463" spans="1:15">
      <c r="A463" s="177">
        <v>6220</v>
      </c>
      <c r="B463" s="177">
        <v>6240</v>
      </c>
      <c r="C463" s="173">
        <v>6220000</v>
      </c>
      <c r="D463" s="174">
        <v>555800</v>
      </c>
      <c r="E463" s="174">
        <v>508320</v>
      </c>
      <c r="F463" s="174">
        <v>424760</v>
      </c>
      <c r="G463" s="174">
        <v>406010</v>
      </c>
      <c r="H463" s="174">
        <v>387260</v>
      </c>
      <c r="I463" s="175">
        <v>368510</v>
      </c>
      <c r="J463" s="174">
        <v>349760</v>
      </c>
      <c r="K463" s="174">
        <v>331010</v>
      </c>
      <c r="L463" s="174">
        <v>312260</v>
      </c>
      <c r="M463" s="174">
        <v>293510</v>
      </c>
      <c r="N463" s="174">
        <v>274760</v>
      </c>
      <c r="O463" s="178">
        <v>262260</v>
      </c>
    </row>
    <row r="464" spans="1:15">
      <c r="A464" s="177">
        <v>6240</v>
      </c>
      <c r="B464" s="177">
        <v>6260</v>
      </c>
      <c r="C464" s="173">
        <v>6240000</v>
      </c>
      <c r="D464" s="174">
        <v>560340</v>
      </c>
      <c r="E464" s="174">
        <v>512840</v>
      </c>
      <c r="F464" s="174">
        <v>427400</v>
      </c>
      <c r="G464" s="174">
        <v>408650</v>
      </c>
      <c r="H464" s="174">
        <v>389900</v>
      </c>
      <c r="I464" s="175">
        <v>371150</v>
      </c>
      <c r="J464" s="174">
        <v>352400</v>
      </c>
      <c r="K464" s="174">
        <v>333650</v>
      </c>
      <c r="L464" s="174">
        <v>314900</v>
      </c>
      <c r="M464" s="174">
        <v>296150</v>
      </c>
      <c r="N464" s="174">
        <v>277400</v>
      </c>
      <c r="O464" s="178">
        <v>264900</v>
      </c>
    </row>
    <row r="465" spans="1:15">
      <c r="A465" s="177">
        <v>6260</v>
      </c>
      <c r="B465" s="177">
        <v>6280</v>
      </c>
      <c r="C465" s="173">
        <v>6260000</v>
      </c>
      <c r="D465" s="174">
        <v>564870</v>
      </c>
      <c r="E465" s="174">
        <v>517350</v>
      </c>
      <c r="F465" s="174">
        <v>430040</v>
      </c>
      <c r="G465" s="174">
        <v>411290</v>
      </c>
      <c r="H465" s="174">
        <v>392540</v>
      </c>
      <c r="I465" s="175">
        <v>373790</v>
      </c>
      <c r="J465" s="174">
        <v>355040</v>
      </c>
      <c r="K465" s="174">
        <v>336290</v>
      </c>
      <c r="L465" s="174">
        <v>317540</v>
      </c>
      <c r="M465" s="174">
        <v>298790</v>
      </c>
      <c r="N465" s="174">
        <v>280040</v>
      </c>
      <c r="O465" s="178">
        <v>267540</v>
      </c>
    </row>
    <row r="466" spans="1:15">
      <c r="A466" s="177">
        <v>6280</v>
      </c>
      <c r="B466" s="177">
        <v>6300</v>
      </c>
      <c r="C466" s="173">
        <v>6280000</v>
      </c>
      <c r="D466" s="174">
        <v>569410</v>
      </c>
      <c r="E466" s="174">
        <v>521860</v>
      </c>
      <c r="F466" s="174">
        <v>432680</v>
      </c>
      <c r="G466" s="174">
        <v>413930</v>
      </c>
      <c r="H466" s="174">
        <v>395180</v>
      </c>
      <c r="I466" s="175">
        <v>376430</v>
      </c>
      <c r="J466" s="174">
        <v>357680</v>
      </c>
      <c r="K466" s="174">
        <v>338930</v>
      </c>
      <c r="L466" s="174">
        <v>320180</v>
      </c>
      <c r="M466" s="174">
        <v>301430</v>
      </c>
      <c r="N466" s="174">
        <v>282680</v>
      </c>
      <c r="O466" s="178">
        <v>270180</v>
      </c>
    </row>
    <row r="467" spans="1:15">
      <c r="A467" s="177">
        <v>6300</v>
      </c>
      <c r="B467" s="177">
        <v>6320</v>
      </c>
      <c r="C467" s="173">
        <v>6300000</v>
      </c>
      <c r="D467" s="174">
        <v>573940</v>
      </c>
      <c r="E467" s="174">
        <v>526370</v>
      </c>
      <c r="F467" s="174">
        <v>435320</v>
      </c>
      <c r="G467" s="174">
        <v>416570</v>
      </c>
      <c r="H467" s="174">
        <v>397820</v>
      </c>
      <c r="I467" s="175">
        <v>379070</v>
      </c>
      <c r="J467" s="174">
        <v>360320</v>
      </c>
      <c r="K467" s="174">
        <v>341570</v>
      </c>
      <c r="L467" s="174">
        <v>322820</v>
      </c>
      <c r="M467" s="174">
        <v>304070</v>
      </c>
      <c r="N467" s="174">
        <v>285320</v>
      </c>
      <c r="O467" s="178">
        <v>272820</v>
      </c>
    </row>
    <row r="468" spans="1:15">
      <c r="A468" s="177">
        <v>6320</v>
      </c>
      <c r="B468" s="177">
        <v>6340</v>
      </c>
      <c r="C468" s="173">
        <v>6320000</v>
      </c>
      <c r="D468" s="174">
        <v>578480</v>
      </c>
      <c r="E468" s="174">
        <v>530880</v>
      </c>
      <c r="F468" s="174">
        <v>437960</v>
      </c>
      <c r="G468" s="174">
        <v>419210</v>
      </c>
      <c r="H468" s="174">
        <v>400460</v>
      </c>
      <c r="I468" s="175">
        <v>381710</v>
      </c>
      <c r="J468" s="174">
        <v>362960</v>
      </c>
      <c r="K468" s="174">
        <v>344210</v>
      </c>
      <c r="L468" s="174">
        <v>325460</v>
      </c>
      <c r="M468" s="174">
        <v>306710</v>
      </c>
      <c r="N468" s="174">
        <v>287960</v>
      </c>
      <c r="O468" s="178">
        <v>275460</v>
      </c>
    </row>
    <row r="469" spans="1:15">
      <c r="A469" s="177">
        <v>6340</v>
      </c>
      <c r="B469" s="177">
        <v>6360</v>
      </c>
      <c r="C469" s="173">
        <v>6340000</v>
      </c>
      <c r="D469" s="174">
        <v>583020</v>
      </c>
      <c r="E469" s="174">
        <v>535400</v>
      </c>
      <c r="F469" s="174">
        <v>440600</v>
      </c>
      <c r="G469" s="174">
        <v>421850</v>
      </c>
      <c r="H469" s="174">
        <v>403100</v>
      </c>
      <c r="I469" s="175">
        <v>384350</v>
      </c>
      <c r="J469" s="174">
        <v>365600</v>
      </c>
      <c r="K469" s="174">
        <v>346850</v>
      </c>
      <c r="L469" s="174">
        <v>328100</v>
      </c>
      <c r="M469" s="174">
        <v>309350</v>
      </c>
      <c r="N469" s="174">
        <v>290600</v>
      </c>
      <c r="O469" s="178">
        <v>278100</v>
      </c>
    </row>
    <row r="470" spans="1:15">
      <c r="A470" s="177">
        <v>6360</v>
      </c>
      <c r="B470" s="177">
        <v>6380</v>
      </c>
      <c r="C470" s="173">
        <v>6360000</v>
      </c>
      <c r="D470" s="174">
        <v>587550</v>
      </c>
      <c r="E470" s="174">
        <v>539910</v>
      </c>
      <c r="F470" s="174">
        <v>443240</v>
      </c>
      <c r="G470" s="174">
        <v>424490</v>
      </c>
      <c r="H470" s="174">
        <v>405740</v>
      </c>
      <c r="I470" s="175">
        <v>386990</v>
      </c>
      <c r="J470" s="174">
        <v>368240</v>
      </c>
      <c r="K470" s="174">
        <v>349490</v>
      </c>
      <c r="L470" s="174">
        <v>330740</v>
      </c>
      <c r="M470" s="174">
        <v>311990</v>
      </c>
      <c r="N470" s="174">
        <v>293240</v>
      </c>
      <c r="O470" s="178">
        <v>280740</v>
      </c>
    </row>
    <row r="471" spans="1:15">
      <c r="A471" s="177">
        <v>6380</v>
      </c>
      <c r="B471" s="177">
        <v>6400</v>
      </c>
      <c r="C471" s="173">
        <v>6380000</v>
      </c>
      <c r="D471" s="174">
        <v>592090</v>
      </c>
      <c r="E471" s="174">
        <v>544420</v>
      </c>
      <c r="F471" s="174">
        <v>445880</v>
      </c>
      <c r="G471" s="174">
        <v>427130</v>
      </c>
      <c r="H471" s="174">
        <v>408380</v>
      </c>
      <c r="I471" s="175">
        <v>389630</v>
      </c>
      <c r="J471" s="174">
        <v>370880</v>
      </c>
      <c r="K471" s="174">
        <v>352130</v>
      </c>
      <c r="L471" s="174">
        <v>333380</v>
      </c>
      <c r="M471" s="174">
        <v>314630</v>
      </c>
      <c r="N471" s="174">
        <v>295880</v>
      </c>
      <c r="O471" s="178">
        <v>283380</v>
      </c>
    </row>
    <row r="472" spans="1:15">
      <c r="A472" s="177">
        <v>6400</v>
      </c>
      <c r="B472" s="177">
        <v>6420</v>
      </c>
      <c r="C472" s="173">
        <v>6400000</v>
      </c>
      <c r="D472" s="174">
        <v>596620</v>
      </c>
      <c r="E472" s="174">
        <v>548930</v>
      </c>
      <c r="F472" s="174">
        <v>448520</v>
      </c>
      <c r="G472" s="174">
        <v>429770</v>
      </c>
      <c r="H472" s="174">
        <v>411020</v>
      </c>
      <c r="I472" s="175">
        <v>392270</v>
      </c>
      <c r="J472" s="174">
        <v>373520</v>
      </c>
      <c r="K472" s="174">
        <v>354770</v>
      </c>
      <c r="L472" s="174">
        <v>336020</v>
      </c>
      <c r="M472" s="174">
        <v>317270</v>
      </c>
      <c r="N472" s="174">
        <v>298520</v>
      </c>
      <c r="O472" s="178">
        <v>286020</v>
      </c>
    </row>
    <row r="473" spans="1:15">
      <c r="A473" s="177">
        <v>6420</v>
      </c>
      <c r="B473" s="177">
        <v>6440</v>
      </c>
      <c r="C473" s="173">
        <v>6420000</v>
      </c>
      <c r="D473" s="174">
        <v>601160</v>
      </c>
      <c r="E473" s="174">
        <v>553440</v>
      </c>
      <c r="F473" s="174">
        <v>451160</v>
      </c>
      <c r="G473" s="174">
        <v>432410</v>
      </c>
      <c r="H473" s="174">
        <v>413660</v>
      </c>
      <c r="I473" s="175">
        <v>394910</v>
      </c>
      <c r="J473" s="174">
        <v>376160</v>
      </c>
      <c r="K473" s="174">
        <v>357410</v>
      </c>
      <c r="L473" s="174">
        <v>338660</v>
      </c>
      <c r="M473" s="174">
        <v>319910</v>
      </c>
      <c r="N473" s="174">
        <v>301160</v>
      </c>
      <c r="O473" s="178">
        <v>288660</v>
      </c>
    </row>
    <row r="474" spans="1:15">
      <c r="A474" s="177">
        <v>6440</v>
      </c>
      <c r="B474" s="177">
        <v>6460</v>
      </c>
      <c r="C474" s="173">
        <v>6440000</v>
      </c>
      <c r="D474" s="174">
        <v>605700</v>
      </c>
      <c r="E474" s="174">
        <v>557960</v>
      </c>
      <c r="F474" s="174">
        <v>453800</v>
      </c>
      <c r="G474" s="174">
        <v>435050</v>
      </c>
      <c r="H474" s="174">
        <v>416300</v>
      </c>
      <c r="I474" s="175">
        <v>397550</v>
      </c>
      <c r="J474" s="174">
        <v>378800</v>
      </c>
      <c r="K474" s="174">
        <v>360050</v>
      </c>
      <c r="L474" s="174">
        <v>341300</v>
      </c>
      <c r="M474" s="174">
        <v>322550</v>
      </c>
      <c r="N474" s="174">
        <v>303800</v>
      </c>
      <c r="O474" s="178">
        <v>291300</v>
      </c>
    </row>
    <row r="475" spans="1:15">
      <c r="A475" s="177">
        <v>6460</v>
      </c>
      <c r="B475" s="177">
        <v>6480</v>
      </c>
      <c r="C475" s="173">
        <v>6460000</v>
      </c>
      <c r="D475" s="174">
        <v>610230</v>
      </c>
      <c r="E475" s="174">
        <v>562470</v>
      </c>
      <c r="F475" s="174">
        <v>456440</v>
      </c>
      <c r="G475" s="174">
        <v>437690</v>
      </c>
      <c r="H475" s="174">
        <v>418940</v>
      </c>
      <c r="I475" s="175">
        <v>400190</v>
      </c>
      <c r="J475" s="174">
        <v>381440</v>
      </c>
      <c r="K475" s="174">
        <v>362690</v>
      </c>
      <c r="L475" s="174">
        <v>343940</v>
      </c>
      <c r="M475" s="174">
        <v>325190</v>
      </c>
      <c r="N475" s="174">
        <v>306440</v>
      </c>
      <c r="O475" s="178">
        <v>293940</v>
      </c>
    </row>
    <row r="476" spans="1:15">
      <c r="A476" s="177">
        <v>6480</v>
      </c>
      <c r="B476" s="177">
        <v>6500</v>
      </c>
      <c r="C476" s="173">
        <v>6480000</v>
      </c>
      <c r="D476" s="174">
        <v>614770</v>
      </c>
      <c r="E476" s="174">
        <v>566980</v>
      </c>
      <c r="F476" s="174">
        <v>459080</v>
      </c>
      <c r="G476" s="174">
        <v>440330</v>
      </c>
      <c r="H476" s="174">
        <v>421580</v>
      </c>
      <c r="I476" s="175">
        <v>402830</v>
      </c>
      <c r="J476" s="174">
        <v>384080</v>
      </c>
      <c r="K476" s="174">
        <v>365330</v>
      </c>
      <c r="L476" s="174">
        <v>346580</v>
      </c>
      <c r="M476" s="174">
        <v>327830</v>
      </c>
      <c r="N476" s="174">
        <v>309080</v>
      </c>
      <c r="O476" s="178">
        <v>296580</v>
      </c>
    </row>
    <row r="477" spans="1:15">
      <c r="A477" s="177">
        <v>6500</v>
      </c>
      <c r="B477" s="177">
        <v>6520</v>
      </c>
      <c r="C477" s="173">
        <v>6500000</v>
      </c>
      <c r="D477" s="174">
        <v>619300</v>
      </c>
      <c r="E477" s="174">
        <v>571490</v>
      </c>
      <c r="F477" s="174">
        <v>461720</v>
      </c>
      <c r="G477" s="174">
        <v>442970</v>
      </c>
      <c r="H477" s="174">
        <v>424220</v>
      </c>
      <c r="I477" s="175">
        <v>405470</v>
      </c>
      <c r="J477" s="174">
        <v>386720</v>
      </c>
      <c r="K477" s="174">
        <v>367970</v>
      </c>
      <c r="L477" s="174">
        <v>349220</v>
      </c>
      <c r="M477" s="174">
        <v>330470</v>
      </c>
      <c r="N477" s="174">
        <v>311720</v>
      </c>
      <c r="O477" s="178">
        <v>299220</v>
      </c>
    </row>
    <row r="478" spans="1:15">
      <c r="A478" s="177">
        <v>6520</v>
      </c>
      <c r="B478" s="177">
        <v>6540</v>
      </c>
      <c r="C478" s="173">
        <v>6520000</v>
      </c>
      <c r="D478" s="174">
        <v>623840</v>
      </c>
      <c r="E478" s="174">
        <v>576000</v>
      </c>
      <c r="F478" s="174">
        <v>464360</v>
      </c>
      <c r="G478" s="174">
        <v>445610</v>
      </c>
      <c r="H478" s="174">
        <v>426860</v>
      </c>
      <c r="I478" s="175">
        <v>408110</v>
      </c>
      <c r="J478" s="174">
        <v>389360</v>
      </c>
      <c r="K478" s="174">
        <v>370610</v>
      </c>
      <c r="L478" s="174">
        <v>351860</v>
      </c>
      <c r="M478" s="174">
        <v>333110</v>
      </c>
      <c r="N478" s="174">
        <v>314360</v>
      </c>
      <c r="O478" s="178">
        <v>301860</v>
      </c>
    </row>
    <row r="479" spans="1:15">
      <c r="A479" s="177">
        <v>6540</v>
      </c>
      <c r="B479" s="177">
        <v>6560</v>
      </c>
      <c r="C479" s="173">
        <v>6540000</v>
      </c>
      <c r="D479" s="174">
        <v>628380</v>
      </c>
      <c r="E479" s="174">
        <v>580520</v>
      </c>
      <c r="F479" s="174">
        <v>467000</v>
      </c>
      <c r="G479" s="174">
        <v>448250</v>
      </c>
      <c r="H479" s="174">
        <v>429500</v>
      </c>
      <c r="I479" s="175">
        <v>410750</v>
      </c>
      <c r="J479" s="174">
        <v>392000</v>
      </c>
      <c r="K479" s="174">
        <v>373250</v>
      </c>
      <c r="L479" s="174">
        <v>354500</v>
      </c>
      <c r="M479" s="174">
        <v>335750</v>
      </c>
      <c r="N479" s="174">
        <v>317000</v>
      </c>
      <c r="O479" s="178">
        <v>304500</v>
      </c>
    </row>
    <row r="480" spans="1:15">
      <c r="A480" s="177">
        <v>6560</v>
      </c>
      <c r="B480" s="177">
        <v>6580</v>
      </c>
      <c r="C480" s="173">
        <v>6560000</v>
      </c>
      <c r="D480" s="174">
        <v>632910</v>
      </c>
      <c r="E480" s="174">
        <v>585030</v>
      </c>
      <c r="F480" s="174">
        <v>469640</v>
      </c>
      <c r="G480" s="174">
        <v>450890</v>
      </c>
      <c r="H480" s="174">
        <v>432140</v>
      </c>
      <c r="I480" s="175">
        <v>413390</v>
      </c>
      <c r="J480" s="174">
        <v>394640</v>
      </c>
      <c r="K480" s="174">
        <v>375890</v>
      </c>
      <c r="L480" s="174">
        <v>357140</v>
      </c>
      <c r="M480" s="174">
        <v>338390</v>
      </c>
      <c r="N480" s="174">
        <v>319640</v>
      </c>
      <c r="O480" s="178">
        <v>307140</v>
      </c>
    </row>
    <row r="481" spans="1:15">
      <c r="A481" s="177">
        <v>6580</v>
      </c>
      <c r="B481" s="177">
        <v>6600</v>
      </c>
      <c r="C481" s="173">
        <v>6580000</v>
      </c>
      <c r="D481" s="174">
        <v>637450</v>
      </c>
      <c r="E481" s="174">
        <v>589540</v>
      </c>
      <c r="F481" s="174">
        <v>472280</v>
      </c>
      <c r="G481" s="174">
        <v>453530</v>
      </c>
      <c r="H481" s="174">
        <v>434780</v>
      </c>
      <c r="I481" s="175">
        <v>416030</v>
      </c>
      <c r="J481" s="174">
        <v>397280</v>
      </c>
      <c r="K481" s="174">
        <v>378530</v>
      </c>
      <c r="L481" s="174">
        <v>359780</v>
      </c>
      <c r="M481" s="174">
        <v>341030</v>
      </c>
      <c r="N481" s="174">
        <v>322280</v>
      </c>
      <c r="O481" s="178">
        <v>309780</v>
      </c>
    </row>
    <row r="482" spans="1:15">
      <c r="A482" s="177">
        <v>6600</v>
      </c>
      <c r="B482" s="177">
        <v>6620</v>
      </c>
      <c r="C482" s="173">
        <v>6600000</v>
      </c>
      <c r="D482" s="174">
        <v>641980</v>
      </c>
      <c r="E482" s="174">
        <v>594050</v>
      </c>
      <c r="F482" s="174">
        <v>474920</v>
      </c>
      <c r="G482" s="174">
        <v>456170</v>
      </c>
      <c r="H482" s="174">
        <v>437420</v>
      </c>
      <c r="I482" s="175">
        <v>418670</v>
      </c>
      <c r="J482" s="174">
        <v>399920</v>
      </c>
      <c r="K482" s="174">
        <v>381170</v>
      </c>
      <c r="L482" s="174">
        <v>362420</v>
      </c>
      <c r="M482" s="174">
        <v>343670</v>
      </c>
      <c r="N482" s="174">
        <v>324920</v>
      </c>
      <c r="O482" s="178">
        <v>312420</v>
      </c>
    </row>
    <row r="483" spans="1:15">
      <c r="A483" s="177">
        <v>6620</v>
      </c>
      <c r="B483" s="177">
        <v>6640</v>
      </c>
      <c r="C483" s="173">
        <v>6620000</v>
      </c>
      <c r="D483" s="174">
        <v>646520</v>
      </c>
      <c r="E483" s="174">
        <v>598560</v>
      </c>
      <c r="F483" s="174">
        <v>477560</v>
      </c>
      <c r="G483" s="174">
        <v>458810</v>
      </c>
      <c r="H483" s="174">
        <v>440060</v>
      </c>
      <c r="I483" s="175">
        <v>421310</v>
      </c>
      <c r="J483" s="174">
        <v>402560</v>
      </c>
      <c r="K483" s="174">
        <v>383810</v>
      </c>
      <c r="L483" s="174">
        <v>365060</v>
      </c>
      <c r="M483" s="174">
        <v>346310</v>
      </c>
      <c r="N483" s="174">
        <v>327560</v>
      </c>
      <c r="O483" s="178">
        <v>315060</v>
      </c>
    </row>
    <row r="484" spans="1:15">
      <c r="A484" s="177">
        <v>6640</v>
      </c>
      <c r="B484" s="177">
        <v>6660</v>
      </c>
      <c r="C484" s="173">
        <v>6640000</v>
      </c>
      <c r="D484" s="174">
        <v>651060</v>
      </c>
      <c r="E484" s="174">
        <v>603080</v>
      </c>
      <c r="F484" s="174">
        <v>481320</v>
      </c>
      <c r="G484" s="174">
        <v>461450</v>
      </c>
      <c r="H484" s="174">
        <v>442700</v>
      </c>
      <c r="I484" s="175">
        <v>423950</v>
      </c>
      <c r="J484" s="174">
        <v>405200</v>
      </c>
      <c r="K484" s="174">
        <v>386450</v>
      </c>
      <c r="L484" s="174">
        <v>367700</v>
      </c>
      <c r="M484" s="174">
        <v>348950</v>
      </c>
      <c r="N484" s="174">
        <v>330200</v>
      </c>
      <c r="O484" s="178">
        <v>317700</v>
      </c>
    </row>
    <row r="485" spans="1:15">
      <c r="A485" s="177">
        <v>6660</v>
      </c>
      <c r="B485" s="177">
        <v>6680</v>
      </c>
      <c r="C485" s="173">
        <v>6660000</v>
      </c>
      <c r="D485" s="174">
        <v>655590</v>
      </c>
      <c r="E485" s="174">
        <v>607590</v>
      </c>
      <c r="F485" s="174">
        <v>485540</v>
      </c>
      <c r="G485" s="174">
        <v>464090</v>
      </c>
      <c r="H485" s="174">
        <v>445340</v>
      </c>
      <c r="I485" s="175">
        <v>426590</v>
      </c>
      <c r="J485" s="174">
        <v>407840</v>
      </c>
      <c r="K485" s="174">
        <v>389090</v>
      </c>
      <c r="L485" s="174">
        <v>370340</v>
      </c>
      <c r="M485" s="174">
        <v>351590</v>
      </c>
      <c r="N485" s="174">
        <v>332840</v>
      </c>
      <c r="O485" s="178">
        <v>320340</v>
      </c>
    </row>
    <row r="486" spans="1:15">
      <c r="A486" s="177">
        <v>6680</v>
      </c>
      <c r="B486" s="177">
        <v>6700</v>
      </c>
      <c r="C486" s="173">
        <v>6680000</v>
      </c>
      <c r="D486" s="174">
        <v>660130</v>
      </c>
      <c r="E486" s="174">
        <v>612100</v>
      </c>
      <c r="F486" s="174">
        <v>489760</v>
      </c>
      <c r="G486" s="174">
        <v>466730</v>
      </c>
      <c r="H486" s="174">
        <v>447980</v>
      </c>
      <c r="I486" s="175">
        <v>429230</v>
      </c>
      <c r="J486" s="174">
        <v>410480</v>
      </c>
      <c r="K486" s="174">
        <v>391730</v>
      </c>
      <c r="L486" s="174">
        <v>372980</v>
      </c>
      <c r="M486" s="174">
        <v>354230</v>
      </c>
      <c r="N486" s="174">
        <v>335480</v>
      </c>
      <c r="O486" s="178">
        <v>322980</v>
      </c>
    </row>
    <row r="487" spans="1:15">
      <c r="A487" s="177">
        <v>6700</v>
      </c>
      <c r="B487" s="177">
        <v>6720</v>
      </c>
      <c r="C487" s="173">
        <v>6700000</v>
      </c>
      <c r="D487" s="174">
        <v>664660</v>
      </c>
      <c r="E487" s="174">
        <v>616610</v>
      </c>
      <c r="F487" s="174">
        <v>493990</v>
      </c>
      <c r="G487" s="174">
        <v>469370</v>
      </c>
      <c r="H487" s="174">
        <v>450620</v>
      </c>
      <c r="I487" s="175">
        <v>431870</v>
      </c>
      <c r="J487" s="174">
        <v>413120</v>
      </c>
      <c r="K487" s="174">
        <v>394370</v>
      </c>
      <c r="L487" s="174">
        <v>375620</v>
      </c>
      <c r="M487" s="174">
        <v>356870</v>
      </c>
      <c r="N487" s="174">
        <v>338120</v>
      </c>
      <c r="O487" s="178">
        <v>325620</v>
      </c>
    </row>
    <row r="488" spans="1:15">
      <c r="A488" s="177">
        <v>6720</v>
      </c>
      <c r="B488" s="177">
        <v>6740</v>
      </c>
      <c r="C488" s="173">
        <v>6720000</v>
      </c>
      <c r="D488" s="174">
        <v>669200</v>
      </c>
      <c r="E488" s="174">
        <v>621120</v>
      </c>
      <c r="F488" s="174">
        <v>498210</v>
      </c>
      <c r="G488" s="174">
        <v>472010</v>
      </c>
      <c r="H488" s="174">
        <v>453260</v>
      </c>
      <c r="I488" s="175">
        <v>434510</v>
      </c>
      <c r="J488" s="174">
        <v>415760</v>
      </c>
      <c r="K488" s="174">
        <v>397010</v>
      </c>
      <c r="L488" s="174">
        <v>378260</v>
      </c>
      <c r="M488" s="174">
        <v>359510</v>
      </c>
      <c r="N488" s="174">
        <v>340760</v>
      </c>
      <c r="O488" s="178">
        <v>328260</v>
      </c>
    </row>
    <row r="489" spans="1:15">
      <c r="A489" s="177">
        <v>6740</v>
      </c>
      <c r="B489" s="177">
        <v>6760</v>
      </c>
      <c r="C489" s="173">
        <v>6740000</v>
      </c>
      <c r="D489" s="174">
        <v>673740</v>
      </c>
      <c r="E489" s="174">
        <v>625640</v>
      </c>
      <c r="F489" s="174">
        <v>502440</v>
      </c>
      <c r="G489" s="174">
        <v>474650</v>
      </c>
      <c r="H489" s="174">
        <v>455900</v>
      </c>
      <c r="I489" s="175">
        <v>437150</v>
      </c>
      <c r="J489" s="174">
        <v>418400</v>
      </c>
      <c r="K489" s="174">
        <v>399650</v>
      </c>
      <c r="L489" s="174">
        <v>380900</v>
      </c>
      <c r="M489" s="174">
        <v>362150</v>
      </c>
      <c r="N489" s="174">
        <v>343400</v>
      </c>
      <c r="O489" s="178">
        <v>330900</v>
      </c>
    </row>
    <row r="490" spans="1:15">
      <c r="A490" s="177">
        <v>6760</v>
      </c>
      <c r="B490" s="177">
        <v>6780</v>
      </c>
      <c r="C490" s="173">
        <v>6760000</v>
      </c>
      <c r="D490" s="174">
        <v>678270</v>
      </c>
      <c r="E490" s="174">
        <v>630150</v>
      </c>
      <c r="F490" s="174">
        <v>506660</v>
      </c>
      <c r="G490" s="174">
        <v>477290</v>
      </c>
      <c r="H490" s="174">
        <v>458540</v>
      </c>
      <c r="I490" s="175">
        <v>439790</v>
      </c>
      <c r="J490" s="174">
        <v>421040</v>
      </c>
      <c r="K490" s="174">
        <v>402290</v>
      </c>
      <c r="L490" s="174">
        <v>383540</v>
      </c>
      <c r="M490" s="174">
        <v>364790</v>
      </c>
      <c r="N490" s="174">
        <v>346040</v>
      </c>
      <c r="O490" s="178">
        <v>333540</v>
      </c>
    </row>
    <row r="491" spans="1:15">
      <c r="A491" s="177">
        <v>6780</v>
      </c>
      <c r="B491" s="177">
        <v>6800</v>
      </c>
      <c r="C491" s="173">
        <v>6780000</v>
      </c>
      <c r="D491" s="174">
        <v>682810</v>
      </c>
      <c r="E491" s="174">
        <v>634660</v>
      </c>
      <c r="F491" s="174">
        <v>510880</v>
      </c>
      <c r="G491" s="174">
        <v>480880</v>
      </c>
      <c r="H491" s="174">
        <v>461180</v>
      </c>
      <c r="I491" s="175">
        <v>442430</v>
      </c>
      <c r="J491" s="174">
        <v>423680</v>
      </c>
      <c r="K491" s="174">
        <v>404930</v>
      </c>
      <c r="L491" s="174">
        <v>386180</v>
      </c>
      <c r="M491" s="174">
        <v>367430</v>
      </c>
      <c r="N491" s="174">
        <v>348680</v>
      </c>
      <c r="O491" s="178">
        <v>336180</v>
      </c>
    </row>
    <row r="492" spans="1:15">
      <c r="A492" s="177">
        <v>6800</v>
      </c>
      <c r="B492" s="177">
        <v>6820</v>
      </c>
      <c r="C492" s="173">
        <v>6800000</v>
      </c>
      <c r="D492" s="174">
        <v>687340</v>
      </c>
      <c r="E492" s="174">
        <v>639170</v>
      </c>
      <c r="F492" s="174">
        <v>515110</v>
      </c>
      <c r="G492" s="174">
        <v>485110</v>
      </c>
      <c r="H492" s="174">
        <v>463820</v>
      </c>
      <c r="I492" s="175">
        <v>445070</v>
      </c>
      <c r="J492" s="174">
        <v>426320</v>
      </c>
      <c r="K492" s="174">
        <v>407570</v>
      </c>
      <c r="L492" s="174">
        <v>388820</v>
      </c>
      <c r="M492" s="174">
        <v>370070</v>
      </c>
      <c r="N492" s="174">
        <v>351320</v>
      </c>
      <c r="O492" s="178">
        <v>338820</v>
      </c>
    </row>
    <row r="493" spans="1:15">
      <c r="A493" s="177">
        <v>6820</v>
      </c>
      <c r="B493" s="177">
        <v>6840</v>
      </c>
      <c r="C493" s="173">
        <v>6820000</v>
      </c>
      <c r="D493" s="174">
        <v>691880</v>
      </c>
      <c r="E493" s="174">
        <v>643680</v>
      </c>
      <c r="F493" s="174">
        <v>519330</v>
      </c>
      <c r="G493" s="174">
        <v>489330</v>
      </c>
      <c r="H493" s="174">
        <v>466460</v>
      </c>
      <c r="I493" s="175">
        <v>447710</v>
      </c>
      <c r="J493" s="174">
        <v>428960</v>
      </c>
      <c r="K493" s="174">
        <v>410210</v>
      </c>
      <c r="L493" s="174">
        <v>391460</v>
      </c>
      <c r="M493" s="174">
        <v>372710</v>
      </c>
      <c r="N493" s="174">
        <v>353960</v>
      </c>
      <c r="O493" s="178">
        <v>341460</v>
      </c>
    </row>
    <row r="494" spans="1:15">
      <c r="A494" s="177">
        <v>6840</v>
      </c>
      <c r="B494" s="177">
        <v>6860</v>
      </c>
      <c r="C494" s="173">
        <v>6840000</v>
      </c>
      <c r="D494" s="174">
        <v>696420</v>
      </c>
      <c r="E494" s="174">
        <v>648200</v>
      </c>
      <c r="F494" s="174">
        <v>523560</v>
      </c>
      <c r="G494" s="174">
        <v>493560</v>
      </c>
      <c r="H494" s="174">
        <v>469100</v>
      </c>
      <c r="I494" s="175">
        <v>450350</v>
      </c>
      <c r="J494" s="174">
        <v>431600</v>
      </c>
      <c r="K494" s="174">
        <v>412850</v>
      </c>
      <c r="L494" s="174">
        <v>394100</v>
      </c>
      <c r="M494" s="174">
        <v>375350</v>
      </c>
      <c r="N494" s="174">
        <v>356600</v>
      </c>
      <c r="O494" s="178">
        <v>344100</v>
      </c>
    </row>
    <row r="495" spans="1:15">
      <c r="A495" s="177">
        <v>6860</v>
      </c>
      <c r="B495" s="177">
        <v>6880</v>
      </c>
      <c r="C495" s="173">
        <v>6860000</v>
      </c>
      <c r="D495" s="174">
        <v>700950</v>
      </c>
      <c r="E495" s="174">
        <v>652710</v>
      </c>
      <c r="F495" s="174">
        <v>527780</v>
      </c>
      <c r="G495" s="174">
        <v>497780</v>
      </c>
      <c r="H495" s="174">
        <v>471740</v>
      </c>
      <c r="I495" s="175">
        <v>452990</v>
      </c>
      <c r="J495" s="174">
        <v>434240</v>
      </c>
      <c r="K495" s="174">
        <v>415490</v>
      </c>
      <c r="L495" s="174">
        <v>396740</v>
      </c>
      <c r="M495" s="174">
        <v>377990</v>
      </c>
      <c r="N495" s="174">
        <v>359240</v>
      </c>
      <c r="O495" s="178">
        <v>346740</v>
      </c>
    </row>
    <row r="496" spans="1:15">
      <c r="A496" s="177">
        <v>6880</v>
      </c>
      <c r="B496" s="177">
        <v>6900</v>
      </c>
      <c r="C496" s="173">
        <v>6880000</v>
      </c>
      <c r="D496" s="174">
        <v>705490</v>
      </c>
      <c r="E496" s="174">
        <v>657220</v>
      </c>
      <c r="F496" s="174">
        <v>532000</v>
      </c>
      <c r="G496" s="174">
        <v>502000</v>
      </c>
      <c r="H496" s="174">
        <v>474380</v>
      </c>
      <c r="I496" s="175">
        <v>455630</v>
      </c>
      <c r="J496" s="174">
        <v>436880</v>
      </c>
      <c r="K496" s="174">
        <v>418130</v>
      </c>
      <c r="L496" s="174">
        <v>399380</v>
      </c>
      <c r="M496" s="174">
        <v>380630</v>
      </c>
      <c r="N496" s="174">
        <v>361880</v>
      </c>
      <c r="O496" s="178">
        <v>349380</v>
      </c>
    </row>
    <row r="497" spans="1:15">
      <c r="A497" s="177">
        <v>6900</v>
      </c>
      <c r="B497" s="177">
        <v>6920</v>
      </c>
      <c r="C497" s="173">
        <v>6900000</v>
      </c>
      <c r="D497" s="174">
        <v>710020</v>
      </c>
      <c r="E497" s="174">
        <v>661730</v>
      </c>
      <c r="F497" s="174">
        <v>536230</v>
      </c>
      <c r="G497" s="174">
        <v>506230</v>
      </c>
      <c r="H497" s="174">
        <v>477020</v>
      </c>
      <c r="I497" s="175">
        <v>458270</v>
      </c>
      <c r="J497" s="174">
        <v>439520</v>
      </c>
      <c r="K497" s="174">
        <v>420770</v>
      </c>
      <c r="L497" s="174">
        <v>402020</v>
      </c>
      <c r="M497" s="174">
        <v>383270</v>
      </c>
      <c r="N497" s="174">
        <v>364520</v>
      </c>
      <c r="O497" s="178">
        <v>352020</v>
      </c>
    </row>
    <row r="498" spans="1:15">
      <c r="A498" s="177">
        <v>6920</v>
      </c>
      <c r="B498" s="177">
        <v>6940</v>
      </c>
      <c r="C498" s="173">
        <v>6920000</v>
      </c>
      <c r="D498" s="174">
        <v>714560</v>
      </c>
      <c r="E498" s="174">
        <v>666240</v>
      </c>
      <c r="F498" s="174">
        <v>540450</v>
      </c>
      <c r="G498" s="174">
        <v>510450</v>
      </c>
      <c r="H498" s="174">
        <v>480450</v>
      </c>
      <c r="I498" s="175">
        <v>460910</v>
      </c>
      <c r="J498" s="174">
        <v>442160</v>
      </c>
      <c r="K498" s="174">
        <v>423410</v>
      </c>
      <c r="L498" s="174">
        <v>404660</v>
      </c>
      <c r="M498" s="174">
        <v>385910</v>
      </c>
      <c r="N498" s="174">
        <v>367160</v>
      </c>
      <c r="O498" s="178">
        <v>354660</v>
      </c>
    </row>
    <row r="499" spans="1:15">
      <c r="A499" s="177">
        <v>6940</v>
      </c>
      <c r="B499" s="177">
        <v>6960</v>
      </c>
      <c r="C499" s="173">
        <v>6940000</v>
      </c>
      <c r="D499" s="174">
        <v>719100</v>
      </c>
      <c r="E499" s="174">
        <v>670760</v>
      </c>
      <c r="F499" s="174">
        <v>544680</v>
      </c>
      <c r="G499" s="174">
        <v>514680</v>
      </c>
      <c r="H499" s="174">
        <v>484680</v>
      </c>
      <c r="I499" s="175">
        <v>463550</v>
      </c>
      <c r="J499" s="174">
        <v>444800</v>
      </c>
      <c r="K499" s="174">
        <v>426050</v>
      </c>
      <c r="L499" s="174">
        <v>407300</v>
      </c>
      <c r="M499" s="174">
        <v>388550</v>
      </c>
      <c r="N499" s="174">
        <v>369800</v>
      </c>
      <c r="O499" s="178">
        <v>357300</v>
      </c>
    </row>
    <row r="500" spans="1:15">
      <c r="A500" s="177">
        <v>6960</v>
      </c>
      <c r="B500" s="177">
        <v>6980</v>
      </c>
      <c r="C500" s="173">
        <v>6960000</v>
      </c>
      <c r="D500" s="174">
        <v>723630</v>
      </c>
      <c r="E500" s="174">
        <v>675270</v>
      </c>
      <c r="F500" s="174">
        <v>548900</v>
      </c>
      <c r="G500" s="174">
        <v>518900</v>
      </c>
      <c r="H500" s="174">
        <v>488900</v>
      </c>
      <c r="I500" s="175">
        <v>466190</v>
      </c>
      <c r="J500" s="174">
        <v>447440</v>
      </c>
      <c r="K500" s="174">
        <v>428690</v>
      </c>
      <c r="L500" s="174">
        <v>409940</v>
      </c>
      <c r="M500" s="174">
        <v>391190</v>
      </c>
      <c r="N500" s="174">
        <v>372440</v>
      </c>
      <c r="O500" s="178">
        <v>359940</v>
      </c>
    </row>
    <row r="501" spans="1:15">
      <c r="A501" s="177">
        <v>6980</v>
      </c>
      <c r="B501" s="177">
        <v>7000</v>
      </c>
      <c r="C501" s="173">
        <v>6980000</v>
      </c>
      <c r="D501" s="174">
        <v>728170</v>
      </c>
      <c r="E501" s="174">
        <v>679780</v>
      </c>
      <c r="F501" s="174">
        <v>553120</v>
      </c>
      <c r="G501" s="174">
        <v>523120</v>
      </c>
      <c r="H501" s="174">
        <v>493120</v>
      </c>
      <c r="I501" s="175">
        <v>468830</v>
      </c>
      <c r="J501" s="174">
        <v>450080</v>
      </c>
      <c r="K501" s="174">
        <v>431330</v>
      </c>
      <c r="L501" s="174">
        <v>412580</v>
      </c>
      <c r="M501" s="174">
        <v>393830</v>
      </c>
      <c r="N501" s="174">
        <v>375080</v>
      </c>
      <c r="O501" s="178">
        <v>362580</v>
      </c>
    </row>
    <row r="502" spans="1:15">
      <c r="A502" s="177">
        <v>7000</v>
      </c>
      <c r="B502" s="177">
        <v>7020</v>
      </c>
      <c r="C502" s="173">
        <v>7000000</v>
      </c>
      <c r="D502" s="174">
        <v>732700</v>
      </c>
      <c r="E502" s="174">
        <v>684290</v>
      </c>
      <c r="F502" s="174">
        <v>557350</v>
      </c>
      <c r="G502" s="174">
        <v>527350</v>
      </c>
      <c r="H502" s="174">
        <v>497350</v>
      </c>
      <c r="I502" s="175">
        <v>471470</v>
      </c>
      <c r="J502" s="174">
        <v>452720</v>
      </c>
      <c r="K502" s="174">
        <v>433970</v>
      </c>
      <c r="L502" s="174">
        <v>415220</v>
      </c>
      <c r="M502" s="174">
        <v>396470</v>
      </c>
      <c r="N502" s="174">
        <v>377720</v>
      </c>
      <c r="O502" s="178">
        <v>365220</v>
      </c>
    </row>
    <row r="503" spans="1:15">
      <c r="A503" s="177">
        <v>7020</v>
      </c>
      <c r="B503" s="177">
        <v>7040</v>
      </c>
      <c r="C503" s="173">
        <v>7020000</v>
      </c>
      <c r="D503" s="174">
        <v>737240</v>
      </c>
      <c r="E503" s="174">
        <v>688800</v>
      </c>
      <c r="F503" s="174">
        <v>561570</v>
      </c>
      <c r="G503" s="174">
        <v>531570</v>
      </c>
      <c r="H503" s="174">
        <v>501570</v>
      </c>
      <c r="I503" s="175">
        <v>474110</v>
      </c>
      <c r="J503" s="174">
        <v>455360</v>
      </c>
      <c r="K503" s="174">
        <v>436610</v>
      </c>
      <c r="L503" s="174">
        <v>417860</v>
      </c>
      <c r="M503" s="174">
        <v>399110</v>
      </c>
      <c r="N503" s="174">
        <v>380360</v>
      </c>
      <c r="O503" s="178">
        <v>367860</v>
      </c>
    </row>
    <row r="504" spans="1:15">
      <c r="A504" s="177">
        <v>7040</v>
      </c>
      <c r="B504" s="177">
        <v>7060</v>
      </c>
      <c r="C504" s="173">
        <v>7040000</v>
      </c>
      <c r="D504" s="174">
        <v>741780</v>
      </c>
      <c r="E504" s="174">
        <v>693320</v>
      </c>
      <c r="F504" s="174">
        <v>565800</v>
      </c>
      <c r="G504" s="174">
        <v>535800</v>
      </c>
      <c r="H504" s="174">
        <v>505800</v>
      </c>
      <c r="I504" s="175">
        <v>476750</v>
      </c>
      <c r="J504" s="174">
        <v>458000</v>
      </c>
      <c r="K504" s="174">
        <v>439250</v>
      </c>
      <c r="L504" s="174">
        <v>420500</v>
      </c>
      <c r="M504" s="174">
        <v>401750</v>
      </c>
      <c r="N504" s="174">
        <v>383000</v>
      </c>
      <c r="O504" s="178">
        <v>370500</v>
      </c>
    </row>
    <row r="505" spans="1:15">
      <c r="A505" s="177">
        <v>7060</v>
      </c>
      <c r="B505" s="177">
        <v>7080</v>
      </c>
      <c r="C505" s="173">
        <v>7060000</v>
      </c>
      <c r="D505" s="174">
        <v>746310</v>
      </c>
      <c r="E505" s="174">
        <v>697830</v>
      </c>
      <c r="F505" s="174">
        <v>570020</v>
      </c>
      <c r="G505" s="174">
        <v>540020</v>
      </c>
      <c r="H505" s="174">
        <v>510020</v>
      </c>
      <c r="I505" s="175">
        <v>480020</v>
      </c>
      <c r="J505" s="174">
        <v>460640</v>
      </c>
      <c r="K505" s="174">
        <v>441890</v>
      </c>
      <c r="L505" s="174">
        <v>423140</v>
      </c>
      <c r="M505" s="174">
        <v>404390</v>
      </c>
      <c r="N505" s="174">
        <v>385640</v>
      </c>
      <c r="O505" s="178">
        <v>373140</v>
      </c>
    </row>
    <row r="506" spans="1:15">
      <c r="A506" s="177">
        <v>7080</v>
      </c>
      <c r="B506" s="177">
        <v>7100</v>
      </c>
      <c r="C506" s="173">
        <v>7080000</v>
      </c>
      <c r="D506" s="174">
        <v>750850</v>
      </c>
      <c r="E506" s="174">
        <v>702340</v>
      </c>
      <c r="F506" s="174">
        <v>574240</v>
      </c>
      <c r="G506" s="174">
        <v>544240</v>
      </c>
      <c r="H506" s="174">
        <v>514240</v>
      </c>
      <c r="I506" s="175">
        <v>484240</v>
      </c>
      <c r="J506" s="174">
        <v>463280</v>
      </c>
      <c r="K506" s="174">
        <v>444530</v>
      </c>
      <c r="L506" s="174">
        <v>425780</v>
      </c>
      <c r="M506" s="174">
        <v>407030</v>
      </c>
      <c r="N506" s="174">
        <v>388280</v>
      </c>
      <c r="O506" s="178">
        <v>375780</v>
      </c>
    </row>
    <row r="507" spans="1:15">
      <c r="A507" s="177">
        <v>7100</v>
      </c>
      <c r="B507" s="177">
        <v>7120</v>
      </c>
      <c r="C507" s="173">
        <v>7100000</v>
      </c>
      <c r="D507" s="174">
        <v>755380</v>
      </c>
      <c r="E507" s="174">
        <v>706850</v>
      </c>
      <c r="F507" s="174">
        <v>578470</v>
      </c>
      <c r="G507" s="174">
        <v>548470</v>
      </c>
      <c r="H507" s="174">
        <v>518470</v>
      </c>
      <c r="I507" s="175">
        <v>488470</v>
      </c>
      <c r="J507" s="174">
        <v>465920</v>
      </c>
      <c r="K507" s="174">
        <v>447170</v>
      </c>
      <c r="L507" s="174">
        <v>428420</v>
      </c>
      <c r="M507" s="174">
        <v>409670</v>
      </c>
      <c r="N507" s="174">
        <v>390920</v>
      </c>
      <c r="O507" s="178">
        <v>378420</v>
      </c>
    </row>
    <row r="508" spans="1:15">
      <c r="A508" s="177">
        <v>7120</v>
      </c>
      <c r="B508" s="177">
        <v>7140</v>
      </c>
      <c r="C508" s="173">
        <v>7120000</v>
      </c>
      <c r="D508" s="174">
        <v>759920</v>
      </c>
      <c r="E508" s="174">
        <v>711360</v>
      </c>
      <c r="F508" s="174">
        <v>582690</v>
      </c>
      <c r="G508" s="174">
        <v>552690</v>
      </c>
      <c r="H508" s="174">
        <v>522690</v>
      </c>
      <c r="I508" s="175">
        <v>492690</v>
      </c>
      <c r="J508" s="174">
        <v>468560</v>
      </c>
      <c r="K508" s="174">
        <v>449810</v>
      </c>
      <c r="L508" s="174">
        <v>431060</v>
      </c>
      <c r="M508" s="174">
        <v>412310</v>
      </c>
      <c r="N508" s="174">
        <v>393560</v>
      </c>
      <c r="O508" s="178">
        <v>381060</v>
      </c>
    </row>
    <row r="509" spans="1:15">
      <c r="A509" s="177">
        <v>7140</v>
      </c>
      <c r="B509" s="177">
        <v>7160</v>
      </c>
      <c r="C509" s="173">
        <v>7140000</v>
      </c>
      <c r="D509" s="174">
        <v>764460</v>
      </c>
      <c r="E509" s="174">
        <v>715880</v>
      </c>
      <c r="F509" s="174">
        <v>586920</v>
      </c>
      <c r="G509" s="174">
        <v>556920</v>
      </c>
      <c r="H509" s="174">
        <v>526920</v>
      </c>
      <c r="I509" s="175">
        <v>496920</v>
      </c>
      <c r="J509" s="174">
        <v>471200</v>
      </c>
      <c r="K509" s="174">
        <v>452450</v>
      </c>
      <c r="L509" s="174">
        <v>433700</v>
      </c>
      <c r="M509" s="174">
        <v>414950</v>
      </c>
      <c r="N509" s="174">
        <v>396200</v>
      </c>
      <c r="O509" s="178">
        <v>383700</v>
      </c>
    </row>
    <row r="510" spans="1:15">
      <c r="A510" s="177">
        <v>7160</v>
      </c>
      <c r="B510" s="177">
        <v>7180</v>
      </c>
      <c r="C510" s="173">
        <v>7160000</v>
      </c>
      <c r="D510" s="174">
        <v>768990</v>
      </c>
      <c r="E510" s="174">
        <v>720390</v>
      </c>
      <c r="F510" s="174">
        <v>591140</v>
      </c>
      <c r="G510" s="174">
        <v>561140</v>
      </c>
      <c r="H510" s="174">
        <v>531140</v>
      </c>
      <c r="I510" s="175">
        <v>501140</v>
      </c>
      <c r="J510" s="174">
        <v>473840</v>
      </c>
      <c r="K510" s="174">
        <v>455090</v>
      </c>
      <c r="L510" s="174">
        <v>436340</v>
      </c>
      <c r="M510" s="174">
        <v>417590</v>
      </c>
      <c r="N510" s="174">
        <v>398840</v>
      </c>
      <c r="O510" s="178">
        <v>386340</v>
      </c>
    </row>
    <row r="511" spans="1:15">
      <c r="A511" s="177">
        <v>7180</v>
      </c>
      <c r="B511" s="177">
        <v>7200</v>
      </c>
      <c r="C511" s="173">
        <v>7180000</v>
      </c>
      <c r="D511" s="174">
        <v>773530</v>
      </c>
      <c r="E511" s="174">
        <v>724900</v>
      </c>
      <c r="F511" s="174">
        <v>595360</v>
      </c>
      <c r="G511" s="174">
        <v>565360</v>
      </c>
      <c r="H511" s="174">
        <v>535360</v>
      </c>
      <c r="I511" s="175">
        <v>505360</v>
      </c>
      <c r="J511" s="174">
        <v>476480</v>
      </c>
      <c r="K511" s="174">
        <v>457730</v>
      </c>
      <c r="L511" s="174">
        <v>438980</v>
      </c>
      <c r="M511" s="174">
        <v>420230</v>
      </c>
      <c r="N511" s="174">
        <v>401480</v>
      </c>
      <c r="O511" s="178">
        <v>388980</v>
      </c>
    </row>
    <row r="512" spans="1:15">
      <c r="A512" s="177">
        <v>7200</v>
      </c>
      <c r="B512" s="177">
        <v>7220</v>
      </c>
      <c r="C512" s="173">
        <v>7200000</v>
      </c>
      <c r="D512" s="174">
        <v>778060</v>
      </c>
      <c r="E512" s="174">
        <v>729410</v>
      </c>
      <c r="F512" s="174">
        <v>599590</v>
      </c>
      <c r="G512" s="174">
        <v>569590</v>
      </c>
      <c r="H512" s="174">
        <v>539590</v>
      </c>
      <c r="I512" s="175">
        <v>509590</v>
      </c>
      <c r="J512" s="174">
        <v>479590</v>
      </c>
      <c r="K512" s="174">
        <v>460370</v>
      </c>
      <c r="L512" s="174">
        <v>441620</v>
      </c>
      <c r="M512" s="174">
        <v>422870</v>
      </c>
      <c r="N512" s="174">
        <v>404120</v>
      </c>
      <c r="O512" s="178">
        <v>391620</v>
      </c>
    </row>
    <row r="513" spans="1:15">
      <c r="A513" s="177">
        <v>7220</v>
      </c>
      <c r="B513" s="177">
        <v>7240</v>
      </c>
      <c r="C513" s="173">
        <v>7220000</v>
      </c>
      <c r="D513" s="174">
        <v>782600</v>
      </c>
      <c r="E513" s="174">
        <v>733920</v>
      </c>
      <c r="F513" s="174">
        <v>603810</v>
      </c>
      <c r="G513" s="174">
        <v>573810</v>
      </c>
      <c r="H513" s="174">
        <v>543810</v>
      </c>
      <c r="I513" s="175">
        <v>513810</v>
      </c>
      <c r="J513" s="174">
        <v>483810</v>
      </c>
      <c r="K513" s="174">
        <v>463010</v>
      </c>
      <c r="L513" s="174">
        <v>444260</v>
      </c>
      <c r="M513" s="174">
        <v>425510</v>
      </c>
      <c r="N513" s="174">
        <v>406760</v>
      </c>
      <c r="O513" s="178">
        <v>394260</v>
      </c>
    </row>
    <row r="514" spans="1:15">
      <c r="A514" s="177">
        <v>7240</v>
      </c>
      <c r="B514" s="177">
        <v>7260</v>
      </c>
      <c r="C514" s="173">
        <v>7240000</v>
      </c>
      <c r="D514" s="174">
        <v>787140</v>
      </c>
      <c r="E514" s="174">
        <v>738440</v>
      </c>
      <c r="F514" s="174">
        <v>608040</v>
      </c>
      <c r="G514" s="174">
        <v>578040</v>
      </c>
      <c r="H514" s="174">
        <v>548040</v>
      </c>
      <c r="I514" s="175">
        <v>518040</v>
      </c>
      <c r="J514" s="174">
        <v>488040</v>
      </c>
      <c r="K514" s="174">
        <v>465650</v>
      </c>
      <c r="L514" s="174">
        <v>446900</v>
      </c>
      <c r="M514" s="174">
        <v>428150</v>
      </c>
      <c r="N514" s="174">
        <v>409400</v>
      </c>
      <c r="O514" s="178">
        <v>396900</v>
      </c>
    </row>
    <row r="515" spans="1:15">
      <c r="A515" s="177">
        <v>7260</v>
      </c>
      <c r="B515" s="177">
        <v>7280</v>
      </c>
      <c r="C515" s="173">
        <v>7260000</v>
      </c>
      <c r="D515" s="174">
        <v>791670</v>
      </c>
      <c r="E515" s="174">
        <v>742950</v>
      </c>
      <c r="F515" s="174">
        <v>612260</v>
      </c>
      <c r="G515" s="174">
        <v>582260</v>
      </c>
      <c r="H515" s="174">
        <v>552260</v>
      </c>
      <c r="I515" s="175">
        <v>522260</v>
      </c>
      <c r="J515" s="174">
        <v>492260</v>
      </c>
      <c r="K515" s="174">
        <v>468290</v>
      </c>
      <c r="L515" s="174">
        <v>449540</v>
      </c>
      <c r="M515" s="174">
        <v>430790</v>
      </c>
      <c r="N515" s="174">
        <v>412040</v>
      </c>
      <c r="O515" s="178">
        <v>399540</v>
      </c>
    </row>
    <row r="516" spans="1:15">
      <c r="A516" s="177">
        <v>7280</v>
      </c>
      <c r="B516" s="177">
        <v>7300</v>
      </c>
      <c r="C516" s="173">
        <v>7280000</v>
      </c>
      <c r="D516" s="174">
        <v>796210</v>
      </c>
      <c r="E516" s="174">
        <v>747460</v>
      </c>
      <c r="F516" s="174">
        <v>616480</v>
      </c>
      <c r="G516" s="174">
        <v>586480</v>
      </c>
      <c r="H516" s="174">
        <v>556480</v>
      </c>
      <c r="I516" s="175">
        <v>526480</v>
      </c>
      <c r="J516" s="174">
        <v>496480</v>
      </c>
      <c r="K516" s="174">
        <v>470930</v>
      </c>
      <c r="L516" s="174">
        <v>452180</v>
      </c>
      <c r="M516" s="174">
        <v>433430</v>
      </c>
      <c r="N516" s="174">
        <v>414680</v>
      </c>
      <c r="O516" s="178">
        <v>402180</v>
      </c>
    </row>
    <row r="517" spans="1:15">
      <c r="A517" s="177">
        <v>7300</v>
      </c>
      <c r="B517" s="177">
        <v>7320</v>
      </c>
      <c r="C517" s="173">
        <v>7300000</v>
      </c>
      <c r="D517" s="174">
        <v>800740</v>
      </c>
      <c r="E517" s="174">
        <v>751970</v>
      </c>
      <c r="F517" s="174">
        <v>620710</v>
      </c>
      <c r="G517" s="174">
        <v>590710</v>
      </c>
      <c r="H517" s="174">
        <v>560710</v>
      </c>
      <c r="I517" s="175">
        <v>530710</v>
      </c>
      <c r="J517" s="174">
        <v>500710</v>
      </c>
      <c r="K517" s="174">
        <v>473570</v>
      </c>
      <c r="L517" s="174">
        <v>454820</v>
      </c>
      <c r="M517" s="174">
        <v>436070</v>
      </c>
      <c r="N517" s="174">
        <v>417320</v>
      </c>
      <c r="O517" s="178">
        <v>404820</v>
      </c>
    </row>
    <row r="518" spans="1:15">
      <c r="A518" s="177">
        <v>7320</v>
      </c>
      <c r="B518" s="177">
        <v>7340</v>
      </c>
      <c r="C518" s="173">
        <v>7320000</v>
      </c>
      <c r="D518" s="174">
        <v>805280</v>
      </c>
      <c r="E518" s="174">
        <v>756480</v>
      </c>
      <c r="F518" s="174">
        <v>624930</v>
      </c>
      <c r="G518" s="174">
        <v>594930</v>
      </c>
      <c r="H518" s="174">
        <v>564930</v>
      </c>
      <c r="I518" s="175">
        <v>534930</v>
      </c>
      <c r="J518" s="174">
        <v>504930</v>
      </c>
      <c r="K518" s="174">
        <v>476210</v>
      </c>
      <c r="L518" s="174">
        <v>457460</v>
      </c>
      <c r="M518" s="174">
        <v>438710</v>
      </c>
      <c r="N518" s="174">
        <v>419960</v>
      </c>
      <c r="O518" s="178">
        <v>407460</v>
      </c>
    </row>
    <row r="519" spans="1:15">
      <c r="A519" s="177">
        <v>7340</v>
      </c>
      <c r="B519" s="177">
        <v>7360</v>
      </c>
      <c r="C519" s="173">
        <v>7340000</v>
      </c>
      <c r="D519" s="174">
        <v>809820</v>
      </c>
      <c r="E519" s="174">
        <v>761000</v>
      </c>
      <c r="F519" s="174">
        <v>629160</v>
      </c>
      <c r="G519" s="174">
        <v>599160</v>
      </c>
      <c r="H519" s="174">
        <v>569160</v>
      </c>
      <c r="I519" s="175">
        <v>539160</v>
      </c>
      <c r="J519" s="174">
        <v>509160</v>
      </c>
      <c r="K519" s="174">
        <v>479160</v>
      </c>
      <c r="L519" s="174">
        <v>460100</v>
      </c>
      <c r="M519" s="174">
        <v>441350</v>
      </c>
      <c r="N519" s="174">
        <v>422600</v>
      </c>
      <c r="O519" s="178">
        <v>410100</v>
      </c>
    </row>
    <row r="520" spans="1:15">
      <c r="A520" s="177">
        <v>7360</v>
      </c>
      <c r="B520" s="177">
        <v>7380</v>
      </c>
      <c r="C520" s="173">
        <v>7360000</v>
      </c>
      <c r="D520" s="174">
        <v>814350</v>
      </c>
      <c r="E520" s="174">
        <v>765510</v>
      </c>
      <c r="F520" s="174">
        <v>633380</v>
      </c>
      <c r="G520" s="174">
        <v>603380</v>
      </c>
      <c r="H520" s="174">
        <v>573380</v>
      </c>
      <c r="I520" s="175">
        <v>543380</v>
      </c>
      <c r="J520" s="174">
        <v>513380</v>
      </c>
      <c r="K520" s="174">
        <v>483380</v>
      </c>
      <c r="L520" s="174">
        <v>462740</v>
      </c>
      <c r="M520" s="174">
        <v>443990</v>
      </c>
      <c r="N520" s="174">
        <v>425240</v>
      </c>
      <c r="O520" s="178">
        <v>412740</v>
      </c>
    </row>
    <row r="521" spans="1:15">
      <c r="A521" s="177">
        <v>7380</v>
      </c>
      <c r="B521" s="177">
        <v>7400</v>
      </c>
      <c r="C521" s="173">
        <v>7380000</v>
      </c>
      <c r="D521" s="174">
        <v>818890</v>
      </c>
      <c r="E521" s="174">
        <v>770020</v>
      </c>
      <c r="F521" s="174">
        <v>637600</v>
      </c>
      <c r="G521" s="174">
        <v>607600</v>
      </c>
      <c r="H521" s="174">
        <v>577600</v>
      </c>
      <c r="I521" s="175">
        <v>547600</v>
      </c>
      <c r="J521" s="174">
        <v>517600</v>
      </c>
      <c r="K521" s="174">
        <v>487600</v>
      </c>
      <c r="L521" s="174">
        <v>465380</v>
      </c>
      <c r="M521" s="174">
        <v>446630</v>
      </c>
      <c r="N521" s="174">
        <v>427880</v>
      </c>
      <c r="O521" s="178">
        <v>415380</v>
      </c>
    </row>
    <row r="522" spans="1:15">
      <c r="A522" s="177">
        <v>7400</v>
      </c>
      <c r="B522" s="177">
        <v>7420</v>
      </c>
      <c r="C522" s="173">
        <v>7400000</v>
      </c>
      <c r="D522" s="174">
        <v>823420</v>
      </c>
      <c r="E522" s="174">
        <v>774530</v>
      </c>
      <c r="F522" s="174">
        <v>641830</v>
      </c>
      <c r="G522" s="174">
        <v>611830</v>
      </c>
      <c r="H522" s="174">
        <v>581830</v>
      </c>
      <c r="I522" s="175">
        <v>551830</v>
      </c>
      <c r="J522" s="174">
        <v>521830</v>
      </c>
      <c r="K522" s="174">
        <v>491830</v>
      </c>
      <c r="L522" s="174">
        <v>468020</v>
      </c>
      <c r="M522" s="174">
        <v>449270</v>
      </c>
      <c r="N522" s="174">
        <v>430520</v>
      </c>
      <c r="O522" s="178">
        <v>418020</v>
      </c>
    </row>
    <row r="523" spans="1:15">
      <c r="A523" s="177">
        <v>7420</v>
      </c>
      <c r="B523" s="177">
        <v>7440</v>
      </c>
      <c r="C523" s="173">
        <v>7420000</v>
      </c>
      <c r="D523" s="174">
        <v>827960</v>
      </c>
      <c r="E523" s="174">
        <v>779040</v>
      </c>
      <c r="F523" s="174">
        <v>646050</v>
      </c>
      <c r="G523" s="174">
        <v>616050</v>
      </c>
      <c r="H523" s="174">
        <v>586050</v>
      </c>
      <c r="I523" s="175">
        <v>556050</v>
      </c>
      <c r="J523" s="174">
        <v>526050</v>
      </c>
      <c r="K523" s="174">
        <v>496050</v>
      </c>
      <c r="L523" s="174">
        <v>470660</v>
      </c>
      <c r="M523" s="174">
        <v>451910</v>
      </c>
      <c r="N523" s="174">
        <v>433160</v>
      </c>
      <c r="O523" s="178">
        <v>420660</v>
      </c>
    </row>
    <row r="524" spans="1:15">
      <c r="A524" s="177">
        <v>7440</v>
      </c>
      <c r="B524" s="177">
        <v>7460</v>
      </c>
      <c r="C524" s="173">
        <v>7440000</v>
      </c>
      <c r="D524" s="174">
        <v>832500</v>
      </c>
      <c r="E524" s="174">
        <v>783560</v>
      </c>
      <c r="F524" s="174">
        <v>650280</v>
      </c>
      <c r="G524" s="174">
        <v>620280</v>
      </c>
      <c r="H524" s="174">
        <v>590280</v>
      </c>
      <c r="I524" s="175">
        <v>560280</v>
      </c>
      <c r="J524" s="174">
        <v>530280</v>
      </c>
      <c r="K524" s="174">
        <v>500280</v>
      </c>
      <c r="L524" s="174">
        <v>473300</v>
      </c>
      <c r="M524" s="174">
        <v>454550</v>
      </c>
      <c r="N524" s="174">
        <v>435800</v>
      </c>
      <c r="O524" s="178">
        <v>423300</v>
      </c>
    </row>
    <row r="525" spans="1:15">
      <c r="A525" s="177">
        <v>7460</v>
      </c>
      <c r="B525" s="177">
        <v>7480</v>
      </c>
      <c r="C525" s="173">
        <v>7460000</v>
      </c>
      <c r="D525" s="174">
        <v>837030</v>
      </c>
      <c r="E525" s="174">
        <v>788070</v>
      </c>
      <c r="F525" s="174">
        <v>654500</v>
      </c>
      <c r="G525" s="174">
        <v>624500</v>
      </c>
      <c r="H525" s="174">
        <v>594500</v>
      </c>
      <c r="I525" s="175">
        <v>564500</v>
      </c>
      <c r="J525" s="174">
        <v>534500</v>
      </c>
      <c r="K525" s="174">
        <v>504500</v>
      </c>
      <c r="L525" s="174">
        <v>475940</v>
      </c>
      <c r="M525" s="174">
        <v>457190</v>
      </c>
      <c r="N525" s="174">
        <v>438440</v>
      </c>
      <c r="O525" s="178">
        <v>425940</v>
      </c>
    </row>
    <row r="526" spans="1:15">
      <c r="A526" s="177">
        <v>7480</v>
      </c>
      <c r="B526" s="177">
        <v>7500</v>
      </c>
      <c r="C526" s="173">
        <v>7480000</v>
      </c>
      <c r="D526" s="174">
        <v>841570</v>
      </c>
      <c r="E526" s="174">
        <v>792580</v>
      </c>
      <c r="F526" s="174">
        <v>658720</v>
      </c>
      <c r="G526" s="174">
        <v>628720</v>
      </c>
      <c r="H526" s="174">
        <v>598720</v>
      </c>
      <c r="I526" s="175">
        <v>568720</v>
      </c>
      <c r="J526" s="174">
        <v>538720</v>
      </c>
      <c r="K526" s="174">
        <v>508720</v>
      </c>
      <c r="L526" s="174">
        <v>478720</v>
      </c>
      <c r="M526" s="174">
        <v>459830</v>
      </c>
      <c r="N526" s="174">
        <v>441080</v>
      </c>
      <c r="O526" s="178">
        <v>428580</v>
      </c>
    </row>
    <row r="527" spans="1:15">
      <c r="A527" s="177">
        <v>7500</v>
      </c>
      <c r="B527" s="177">
        <v>7520</v>
      </c>
      <c r="C527" s="173">
        <v>7500000</v>
      </c>
      <c r="D527" s="174">
        <v>846100</v>
      </c>
      <c r="E527" s="174">
        <v>797090</v>
      </c>
      <c r="F527" s="174">
        <v>662950</v>
      </c>
      <c r="G527" s="174">
        <v>632950</v>
      </c>
      <c r="H527" s="174">
        <v>602950</v>
      </c>
      <c r="I527" s="175">
        <v>572950</v>
      </c>
      <c r="J527" s="174">
        <v>542950</v>
      </c>
      <c r="K527" s="174">
        <v>512950</v>
      </c>
      <c r="L527" s="174">
        <v>482950</v>
      </c>
      <c r="M527" s="174">
        <v>462470</v>
      </c>
      <c r="N527" s="174">
        <v>443720</v>
      </c>
      <c r="O527" s="178">
        <v>431220</v>
      </c>
    </row>
    <row r="528" spans="1:15">
      <c r="A528" s="177">
        <v>7520</v>
      </c>
      <c r="B528" s="177">
        <v>7540</v>
      </c>
      <c r="C528" s="173">
        <v>7520000</v>
      </c>
      <c r="D528" s="174">
        <v>850640</v>
      </c>
      <c r="E528" s="174">
        <v>801600</v>
      </c>
      <c r="F528" s="174">
        <v>667170</v>
      </c>
      <c r="G528" s="174">
        <v>637170</v>
      </c>
      <c r="H528" s="174">
        <v>607170</v>
      </c>
      <c r="I528" s="175">
        <v>577170</v>
      </c>
      <c r="J528" s="174">
        <v>547170</v>
      </c>
      <c r="K528" s="174">
        <v>517170</v>
      </c>
      <c r="L528" s="174">
        <v>487170</v>
      </c>
      <c r="M528" s="174">
        <v>465110</v>
      </c>
      <c r="N528" s="174">
        <v>446360</v>
      </c>
      <c r="O528" s="178">
        <v>433860</v>
      </c>
    </row>
    <row r="529" spans="1:15">
      <c r="A529" s="177">
        <v>7540</v>
      </c>
      <c r="B529" s="177">
        <v>7560</v>
      </c>
      <c r="C529" s="173">
        <v>7540000</v>
      </c>
      <c r="D529" s="174">
        <v>855180</v>
      </c>
      <c r="E529" s="174">
        <v>806120</v>
      </c>
      <c r="F529" s="174">
        <v>671400</v>
      </c>
      <c r="G529" s="174">
        <v>641400</v>
      </c>
      <c r="H529" s="174">
        <v>611400</v>
      </c>
      <c r="I529" s="175">
        <v>581400</v>
      </c>
      <c r="J529" s="174">
        <v>551400</v>
      </c>
      <c r="K529" s="174">
        <v>521400</v>
      </c>
      <c r="L529" s="174">
        <v>491400</v>
      </c>
      <c r="M529" s="174">
        <v>467750</v>
      </c>
      <c r="N529" s="174">
        <v>449000</v>
      </c>
      <c r="O529" s="178">
        <v>436500</v>
      </c>
    </row>
    <row r="530" spans="1:15">
      <c r="A530" s="177">
        <v>7560</v>
      </c>
      <c r="B530" s="177">
        <v>7580</v>
      </c>
      <c r="C530" s="173">
        <v>7560000</v>
      </c>
      <c r="D530" s="174">
        <v>859710</v>
      </c>
      <c r="E530" s="174">
        <v>810630</v>
      </c>
      <c r="F530" s="174">
        <v>675620</v>
      </c>
      <c r="G530" s="174">
        <v>645620</v>
      </c>
      <c r="H530" s="174">
        <v>615620</v>
      </c>
      <c r="I530" s="175">
        <v>585620</v>
      </c>
      <c r="J530" s="174">
        <v>555620</v>
      </c>
      <c r="K530" s="174">
        <v>525620</v>
      </c>
      <c r="L530" s="174">
        <v>495620</v>
      </c>
      <c r="M530" s="174">
        <v>470390</v>
      </c>
      <c r="N530" s="174">
        <v>451640</v>
      </c>
      <c r="O530" s="178">
        <v>439140</v>
      </c>
    </row>
    <row r="531" spans="1:15">
      <c r="A531" s="177">
        <v>7580</v>
      </c>
      <c r="B531" s="177">
        <v>7600</v>
      </c>
      <c r="C531" s="173">
        <v>7580000</v>
      </c>
      <c r="D531" s="174">
        <v>864250</v>
      </c>
      <c r="E531" s="174">
        <v>815140</v>
      </c>
      <c r="F531" s="174">
        <v>679840</v>
      </c>
      <c r="G531" s="174">
        <v>649840</v>
      </c>
      <c r="H531" s="174">
        <v>619840</v>
      </c>
      <c r="I531" s="175">
        <v>589840</v>
      </c>
      <c r="J531" s="174">
        <v>559840</v>
      </c>
      <c r="K531" s="174">
        <v>529840</v>
      </c>
      <c r="L531" s="174">
        <v>499840</v>
      </c>
      <c r="M531" s="174">
        <v>473030</v>
      </c>
      <c r="N531" s="174">
        <v>454280</v>
      </c>
      <c r="O531" s="178">
        <v>441780</v>
      </c>
    </row>
    <row r="532" spans="1:15">
      <c r="A532" s="177">
        <v>7600</v>
      </c>
      <c r="B532" s="177">
        <v>7620</v>
      </c>
      <c r="C532" s="173">
        <v>7600000</v>
      </c>
      <c r="D532" s="174">
        <v>868780</v>
      </c>
      <c r="E532" s="174">
        <v>819650</v>
      </c>
      <c r="F532" s="174">
        <v>684070</v>
      </c>
      <c r="G532" s="174">
        <v>654070</v>
      </c>
      <c r="H532" s="174">
        <v>624070</v>
      </c>
      <c r="I532" s="175">
        <v>594070</v>
      </c>
      <c r="J532" s="174">
        <v>564070</v>
      </c>
      <c r="K532" s="174">
        <v>534070</v>
      </c>
      <c r="L532" s="174">
        <v>504070</v>
      </c>
      <c r="M532" s="174">
        <v>475670</v>
      </c>
      <c r="N532" s="174">
        <v>456920</v>
      </c>
      <c r="O532" s="178">
        <v>444420</v>
      </c>
    </row>
    <row r="533" spans="1:15">
      <c r="A533" s="177">
        <v>7620</v>
      </c>
      <c r="B533" s="177">
        <v>7640</v>
      </c>
      <c r="C533" s="173">
        <v>7620000</v>
      </c>
      <c r="D533" s="174">
        <v>873320</v>
      </c>
      <c r="E533" s="174">
        <v>824160</v>
      </c>
      <c r="F533" s="174">
        <v>688290</v>
      </c>
      <c r="G533" s="174">
        <v>658290</v>
      </c>
      <c r="H533" s="174">
        <v>628290</v>
      </c>
      <c r="I533" s="175">
        <v>598290</v>
      </c>
      <c r="J533" s="174">
        <v>568290</v>
      </c>
      <c r="K533" s="174">
        <v>538290</v>
      </c>
      <c r="L533" s="174">
        <v>508290</v>
      </c>
      <c r="M533" s="174">
        <v>478310</v>
      </c>
      <c r="N533" s="174">
        <v>459560</v>
      </c>
      <c r="O533" s="178">
        <v>447060</v>
      </c>
    </row>
    <row r="534" spans="1:15">
      <c r="A534" s="177">
        <v>7640</v>
      </c>
      <c r="B534" s="177">
        <v>7660</v>
      </c>
      <c r="C534" s="173">
        <v>7640000</v>
      </c>
      <c r="D534" s="174">
        <v>877860</v>
      </c>
      <c r="E534" s="174">
        <v>828680</v>
      </c>
      <c r="F534" s="174">
        <v>692520</v>
      </c>
      <c r="G534" s="174">
        <v>662520</v>
      </c>
      <c r="H534" s="174">
        <v>632520</v>
      </c>
      <c r="I534" s="175">
        <v>602520</v>
      </c>
      <c r="J534" s="174">
        <v>572520</v>
      </c>
      <c r="K534" s="174">
        <v>542520</v>
      </c>
      <c r="L534" s="174">
        <v>512520</v>
      </c>
      <c r="M534" s="174">
        <v>482520</v>
      </c>
      <c r="N534" s="174">
        <v>462200</v>
      </c>
      <c r="O534" s="178">
        <v>449700</v>
      </c>
    </row>
    <row r="535" spans="1:15">
      <c r="A535" s="177">
        <v>7660</v>
      </c>
      <c r="B535" s="177">
        <v>7680</v>
      </c>
      <c r="C535" s="173">
        <v>7660000</v>
      </c>
      <c r="D535" s="174">
        <v>882390</v>
      </c>
      <c r="E535" s="174">
        <v>833190</v>
      </c>
      <c r="F535" s="174">
        <v>696740</v>
      </c>
      <c r="G535" s="174">
        <v>666740</v>
      </c>
      <c r="H535" s="174">
        <v>636740</v>
      </c>
      <c r="I535" s="175">
        <v>606740</v>
      </c>
      <c r="J535" s="174">
        <v>576740</v>
      </c>
      <c r="K535" s="174">
        <v>546740</v>
      </c>
      <c r="L535" s="174">
        <v>516740</v>
      </c>
      <c r="M535" s="174">
        <v>486740</v>
      </c>
      <c r="N535" s="174">
        <v>464840</v>
      </c>
      <c r="O535" s="178">
        <v>452340</v>
      </c>
    </row>
    <row r="536" spans="1:15">
      <c r="A536" s="177">
        <v>7680</v>
      </c>
      <c r="B536" s="177">
        <v>7700</v>
      </c>
      <c r="C536" s="173">
        <v>7680000</v>
      </c>
      <c r="D536" s="174">
        <v>886930</v>
      </c>
      <c r="E536" s="174">
        <v>837700</v>
      </c>
      <c r="F536" s="174">
        <v>700960</v>
      </c>
      <c r="G536" s="174">
        <v>670960</v>
      </c>
      <c r="H536" s="174">
        <v>640960</v>
      </c>
      <c r="I536" s="175">
        <v>610960</v>
      </c>
      <c r="J536" s="174">
        <v>580960</v>
      </c>
      <c r="K536" s="174">
        <v>550960</v>
      </c>
      <c r="L536" s="174">
        <v>520960</v>
      </c>
      <c r="M536" s="174">
        <v>490960</v>
      </c>
      <c r="N536" s="174">
        <v>467480</v>
      </c>
      <c r="O536" s="178">
        <v>454980</v>
      </c>
    </row>
    <row r="537" spans="1:15">
      <c r="A537" s="177">
        <v>7700</v>
      </c>
      <c r="B537" s="177">
        <v>7720</v>
      </c>
      <c r="C537" s="173">
        <v>7700000</v>
      </c>
      <c r="D537" s="174">
        <v>891460</v>
      </c>
      <c r="E537" s="174">
        <v>842210</v>
      </c>
      <c r="F537" s="174">
        <v>705190</v>
      </c>
      <c r="G537" s="174">
        <v>675190</v>
      </c>
      <c r="H537" s="174">
        <v>645190</v>
      </c>
      <c r="I537" s="175">
        <v>615190</v>
      </c>
      <c r="J537" s="174">
        <v>585190</v>
      </c>
      <c r="K537" s="174">
        <v>555190</v>
      </c>
      <c r="L537" s="174">
        <v>525190</v>
      </c>
      <c r="M537" s="174">
        <v>495190</v>
      </c>
      <c r="N537" s="174">
        <v>470120</v>
      </c>
      <c r="O537" s="178">
        <v>457620</v>
      </c>
    </row>
    <row r="538" spans="1:15">
      <c r="A538" s="177">
        <v>7720</v>
      </c>
      <c r="B538" s="177">
        <v>7740</v>
      </c>
      <c r="C538" s="173">
        <v>7720000</v>
      </c>
      <c r="D538" s="174">
        <v>896000</v>
      </c>
      <c r="E538" s="174">
        <v>846720</v>
      </c>
      <c r="F538" s="174">
        <v>709410</v>
      </c>
      <c r="G538" s="174">
        <v>679410</v>
      </c>
      <c r="H538" s="174">
        <v>649410</v>
      </c>
      <c r="I538" s="175">
        <v>619410</v>
      </c>
      <c r="J538" s="174">
        <v>589410</v>
      </c>
      <c r="K538" s="174">
        <v>559410</v>
      </c>
      <c r="L538" s="174">
        <v>529410</v>
      </c>
      <c r="M538" s="174">
        <v>499410</v>
      </c>
      <c r="N538" s="174">
        <v>472760</v>
      </c>
      <c r="O538" s="178">
        <v>460260</v>
      </c>
    </row>
    <row r="539" spans="1:15">
      <c r="A539" s="177">
        <v>7740</v>
      </c>
      <c r="B539" s="177">
        <v>7760</v>
      </c>
      <c r="C539" s="173">
        <v>7740000</v>
      </c>
      <c r="D539" s="174">
        <v>900540</v>
      </c>
      <c r="E539" s="174">
        <v>851240</v>
      </c>
      <c r="F539" s="174">
        <v>713640</v>
      </c>
      <c r="G539" s="174">
        <v>683640</v>
      </c>
      <c r="H539" s="174">
        <v>653640</v>
      </c>
      <c r="I539" s="175">
        <v>623640</v>
      </c>
      <c r="J539" s="174">
        <v>593640</v>
      </c>
      <c r="K539" s="174">
        <v>563640</v>
      </c>
      <c r="L539" s="174">
        <v>533640</v>
      </c>
      <c r="M539" s="174">
        <v>503640</v>
      </c>
      <c r="N539" s="174">
        <v>475400</v>
      </c>
      <c r="O539" s="178">
        <v>462900</v>
      </c>
    </row>
    <row r="540" spans="1:15">
      <c r="A540" s="177">
        <v>7760</v>
      </c>
      <c r="B540" s="177">
        <v>7780</v>
      </c>
      <c r="C540" s="173">
        <v>7760000</v>
      </c>
      <c r="D540" s="174">
        <v>905070</v>
      </c>
      <c r="E540" s="174">
        <v>855750</v>
      </c>
      <c r="F540" s="174">
        <v>717860</v>
      </c>
      <c r="G540" s="174">
        <v>687860</v>
      </c>
      <c r="H540" s="174">
        <v>657860</v>
      </c>
      <c r="I540" s="175">
        <v>627860</v>
      </c>
      <c r="J540" s="174">
        <v>597860</v>
      </c>
      <c r="K540" s="174">
        <v>567860</v>
      </c>
      <c r="L540" s="174">
        <v>537860</v>
      </c>
      <c r="M540" s="174">
        <v>507860</v>
      </c>
      <c r="N540" s="174">
        <v>478040</v>
      </c>
      <c r="O540" s="178">
        <v>465540</v>
      </c>
    </row>
    <row r="541" spans="1:15">
      <c r="A541" s="177">
        <v>7780</v>
      </c>
      <c r="B541" s="177">
        <v>7800</v>
      </c>
      <c r="C541" s="173">
        <v>7780000</v>
      </c>
      <c r="D541" s="174">
        <v>909610</v>
      </c>
      <c r="E541" s="174">
        <v>860260</v>
      </c>
      <c r="F541" s="174">
        <v>722080</v>
      </c>
      <c r="G541" s="174">
        <v>692080</v>
      </c>
      <c r="H541" s="174">
        <v>662080</v>
      </c>
      <c r="I541" s="175">
        <v>632080</v>
      </c>
      <c r="J541" s="174">
        <v>602080</v>
      </c>
      <c r="K541" s="174">
        <v>572080</v>
      </c>
      <c r="L541" s="174">
        <v>542080</v>
      </c>
      <c r="M541" s="174">
        <v>512080</v>
      </c>
      <c r="N541" s="174">
        <v>482080</v>
      </c>
      <c r="O541" s="178">
        <v>468180</v>
      </c>
    </row>
    <row r="542" spans="1:15">
      <c r="A542" s="177">
        <v>7800</v>
      </c>
      <c r="B542" s="177">
        <v>7820</v>
      </c>
      <c r="C542" s="173">
        <v>7800000</v>
      </c>
      <c r="D542" s="174">
        <v>914140</v>
      </c>
      <c r="E542" s="174">
        <v>864770</v>
      </c>
      <c r="F542" s="174">
        <v>726310</v>
      </c>
      <c r="G542" s="174">
        <v>696310</v>
      </c>
      <c r="H542" s="174">
        <v>666310</v>
      </c>
      <c r="I542" s="175">
        <v>636310</v>
      </c>
      <c r="J542" s="174">
        <v>606310</v>
      </c>
      <c r="K542" s="174">
        <v>576310</v>
      </c>
      <c r="L542" s="174">
        <v>546310</v>
      </c>
      <c r="M542" s="174">
        <v>516310</v>
      </c>
      <c r="N542" s="174">
        <v>486310</v>
      </c>
      <c r="O542" s="178">
        <v>470820</v>
      </c>
    </row>
    <row r="543" spans="1:15">
      <c r="A543" s="177">
        <v>7820</v>
      </c>
      <c r="B543" s="177">
        <v>7840</v>
      </c>
      <c r="C543" s="173">
        <v>7820000</v>
      </c>
      <c r="D543" s="174">
        <v>918680</v>
      </c>
      <c r="E543" s="174">
        <v>869280</v>
      </c>
      <c r="F543" s="174">
        <v>730530</v>
      </c>
      <c r="G543" s="174">
        <v>700530</v>
      </c>
      <c r="H543" s="174">
        <v>670530</v>
      </c>
      <c r="I543" s="175">
        <v>640530</v>
      </c>
      <c r="J543" s="174">
        <v>610530</v>
      </c>
      <c r="K543" s="174">
        <v>580530</v>
      </c>
      <c r="L543" s="174">
        <v>550530</v>
      </c>
      <c r="M543" s="174">
        <v>520530</v>
      </c>
      <c r="N543" s="174">
        <v>490530</v>
      </c>
      <c r="O543" s="178">
        <v>473460</v>
      </c>
    </row>
    <row r="544" spans="1:15">
      <c r="A544" s="177">
        <v>7840</v>
      </c>
      <c r="B544" s="177">
        <v>7860</v>
      </c>
      <c r="C544" s="173">
        <v>7840000</v>
      </c>
      <c r="D544" s="174">
        <v>923220</v>
      </c>
      <c r="E544" s="174">
        <v>873800</v>
      </c>
      <c r="F544" s="174">
        <v>734760</v>
      </c>
      <c r="G544" s="174">
        <v>704760</v>
      </c>
      <c r="H544" s="174">
        <v>674760</v>
      </c>
      <c r="I544" s="175">
        <v>644760</v>
      </c>
      <c r="J544" s="174">
        <v>614760</v>
      </c>
      <c r="K544" s="174">
        <v>584760</v>
      </c>
      <c r="L544" s="174">
        <v>554760</v>
      </c>
      <c r="M544" s="174">
        <v>524760</v>
      </c>
      <c r="N544" s="174">
        <v>494760</v>
      </c>
      <c r="O544" s="178">
        <v>476100</v>
      </c>
    </row>
    <row r="545" spans="1:15">
      <c r="A545" s="177">
        <v>7860</v>
      </c>
      <c r="B545" s="177">
        <v>7880</v>
      </c>
      <c r="C545" s="173">
        <v>7860000</v>
      </c>
      <c r="D545" s="174">
        <v>927750</v>
      </c>
      <c r="E545" s="174">
        <v>878310</v>
      </c>
      <c r="F545" s="174">
        <v>738980</v>
      </c>
      <c r="G545" s="174">
        <v>708980</v>
      </c>
      <c r="H545" s="174">
        <v>678980</v>
      </c>
      <c r="I545" s="175">
        <v>648980</v>
      </c>
      <c r="J545" s="174">
        <v>618980</v>
      </c>
      <c r="K545" s="174">
        <v>588980</v>
      </c>
      <c r="L545" s="174">
        <v>558980</v>
      </c>
      <c r="M545" s="174">
        <v>528980</v>
      </c>
      <c r="N545" s="174">
        <v>498980</v>
      </c>
      <c r="O545" s="178">
        <v>478980</v>
      </c>
    </row>
    <row r="546" spans="1:15">
      <c r="A546" s="177">
        <v>7880</v>
      </c>
      <c r="B546" s="177">
        <v>7900</v>
      </c>
      <c r="C546" s="173">
        <v>7880000</v>
      </c>
      <c r="D546" s="174">
        <v>932290</v>
      </c>
      <c r="E546" s="174">
        <v>882820</v>
      </c>
      <c r="F546" s="174">
        <v>743200</v>
      </c>
      <c r="G546" s="174">
        <v>713200</v>
      </c>
      <c r="H546" s="174">
        <v>683200</v>
      </c>
      <c r="I546" s="175">
        <v>653200</v>
      </c>
      <c r="J546" s="174">
        <v>623200</v>
      </c>
      <c r="K546" s="174">
        <v>593200</v>
      </c>
      <c r="L546" s="174">
        <v>563200</v>
      </c>
      <c r="M546" s="174">
        <v>533200</v>
      </c>
      <c r="N546" s="174">
        <v>503200</v>
      </c>
      <c r="O546" s="178">
        <v>483200</v>
      </c>
    </row>
    <row r="547" spans="1:15">
      <c r="A547" s="177">
        <v>7900</v>
      </c>
      <c r="B547" s="177">
        <v>7920</v>
      </c>
      <c r="C547" s="173">
        <v>7900000</v>
      </c>
      <c r="D547" s="174">
        <v>936820</v>
      </c>
      <c r="E547" s="174">
        <v>887330</v>
      </c>
      <c r="F547" s="174">
        <v>747430</v>
      </c>
      <c r="G547" s="174">
        <v>717430</v>
      </c>
      <c r="H547" s="174">
        <v>687430</v>
      </c>
      <c r="I547" s="175">
        <v>657430</v>
      </c>
      <c r="J547" s="174">
        <v>627430</v>
      </c>
      <c r="K547" s="174">
        <v>597430</v>
      </c>
      <c r="L547" s="174">
        <v>567430</v>
      </c>
      <c r="M547" s="174">
        <v>537430</v>
      </c>
      <c r="N547" s="174">
        <v>507430</v>
      </c>
      <c r="O547" s="178">
        <v>487430</v>
      </c>
    </row>
    <row r="548" spans="1:15">
      <c r="A548" s="177">
        <v>7920</v>
      </c>
      <c r="B548" s="177">
        <v>7940</v>
      </c>
      <c r="C548" s="173">
        <v>7920000</v>
      </c>
      <c r="D548" s="174">
        <v>941360</v>
      </c>
      <c r="E548" s="174">
        <v>891840</v>
      </c>
      <c r="F548" s="174">
        <v>751650</v>
      </c>
      <c r="G548" s="174">
        <v>721650</v>
      </c>
      <c r="H548" s="174">
        <v>691650</v>
      </c>
      <c r="I548" s="175">
        <v>661650</v>
      </c>
      <c r="J548" s="174">
        <v>631650</v>
      </c>
      <c r="K548" s="174">
        <v>601650</v>
      </c>
      <c r="L548" s="174">
        <v>571650</v>
      </c>
      <c r="M548" s="174">
        <v>541650</v>
      </c>
      <c r="N548" s="174">
        <v>511650</v>
      </c>
      <c r="O548" s="178">
        <v>491650</v>
      </c>
    </row>
    <row r="549" spans="1:15">
      <c r="A549" s="177">
        <v>7940</v>
      </c>
      <c r="B549" s="177">
        <v>7960</v>
      </c>
      <c r="C549" s="173">
        <v>7940000</v>
      </c>
      <c r="D549" s="174">
        <v>945900</v>
      </c>
      <c r="E549" s="174">
        <v>896360</v>
      </c>
      <c r="F549" s="174">
        <v>755880</v>
      </c>
      <c r="G549" s="174">
        <v>725880</v>
      </c>
      <c r="H549" s="174">
        <v>695880</v>
      </c>
      <c r="I549" s="175">
        <v>665880</v>
      </c>
      <c r="J549" s="174">
        <v>635880</v>
      </c>
      <c r="K549" s="174">
        <v>605880</v>
      </c>
      <c r="L549" s="174">
        <v>575880</v>
      </c>
      <c r="M549" s="174">
        <v>545880</v>
      </c>
      <c r="N549" s="174">
        <v>515880</v>
      </c>
      <c r="O549" s="178">
        <v>495880</v>
      </c>
    </row>
    <row r="550" spans="1:15">
      <c r="A550" s="177">
        <v>7960</v>
      </c>
      <c r="B550" s="177">
        <v>7980</v>
      </c>
      <c r="C550" s="173">
        <v>7960000</v>
      </c>
      <c r="D550" s="174">
        <v>950430</v>
      </c>
      <c r="E550" s="174">
        <v>900870</v>
      </c>
      <c r="F550" s="174">
        <v>760100</v>
      </c>
      <c r="G550" s="174">
        <v>730100</v>
      </c>
      <c r="H550" s="174">
        <v>700100</v>
      </c>
      <c r="I550" s="175">
        <v>670100</v>
      </c>
      <c r="J550" s="174">
        <v>640100</v>
      </c>
      <c r="K550" s="174">
        <v>610100</v>
      </c>
      <c r="L550" s="174">
        <v>580100</v>
      </c>
      <c r="M550" s="174">
        <v>550100</v>
      </c>
      <c r="N550" s="174">
        <v>520100</v>
      </c>
      <c r="O550" s="178">
        <v>500100</v>
      </c>
    </row>
    <row r="551" spans="1:15">
      <c r="A551" s="177">
        <v>7980</v>
      </c>
      <c r="B551" s="177">
        <v>8000</v>
      </c>
      <c r="C551" s="173">
        <v>7980000</v>
      </c>
      <c r="D551" s="174">
        <v>954970</v>
      </c>
      <c r="E551" s="174">
        <v>905380</v>
      </c>
      <c r="F551" s="174">
        <v>764320</v>
      </c>
      <c r="G551" s="174">
        <v>734320</v>
      </c>
      <c r="H551" s="174">
        <v>704320</v>
      </c>
      <c r="I551" s="175">
        <v>674320</v>
      </c>
      <c r="J551" s="174">
        <v>644320</v>
      </c>
      <c r="K551" s="174">
        <v>614320</v>
      </c>
      <c r="L551" s="174">
        <v>584320</v>
      </c>
      <c r="M551" s="174">
        <v>554320</v>
      </c>
      <c r="N551" s="174">
        <v>524320</v>
      </c>
      <c r="O551" s="178">
        <v>504320</v>
      </c>
    </row>
    <row r="552" spans="1:15">
      <c r="A552" s="177">
        <v>8000</v>
      </c>
      <c r="B552" s="177">
        <v>8020</v>
      </c>
      <c r="C552" s="173">
        <v>8000000</v>
      </c>
      <c r="D552" s="174">
        <v>959500</v>
      </c>
      <c r="E552" s="174">
        <v>909890</v>
      </c>
      <c r="F552" s="174">
        <v>768550</v>
      </c>
      <c r="G552" s="174">
        <v>738550</v>
      </c>
      <c r="H552" s="174">
        <v>708550</v>
      </c>
      <c r="I552" s="175">
        <v>678550</v>
      </c>
      <c r="J552" s="174">
        <v>648550</v>
      </c>
      <c r="K552" s="174">
        <v>618550</v>
      </c>
      <c r="L552" s="174">
        <v>588550</v>
      </c>
      <c r="M552" s="174">
        <v>558550</v>
      </c>
      <c r="N552" s="174">
        <v>528550</v>
      </c>
      <c r="O552" s="178">
        <v>508550</v>
      </c>
    </row>
    <row r="553" spans="1:15">
      <c r="A553" s="177">
        <v>8020</v>
      </c>
      <c r="B553" s="177">
        <v>8040</v>
      </c>
      <c r="C553" s="173">
        <v>8020000</v>
      </c>
      <c r="D553" s="174">
        <v>964040</v>
      </c>
      <c r="E553" s="174">
        <v>914400</v>
      </c>
      <c r="F553" s="174">
        <v>772770</v>
      </c>
      <c r="G553" s="174">
        <v>742770</v>
      </c>
      <c r="H553" s="174">
        <v>712770</v>
      </c>
      <c r="I553" s="175">
        <v>682770</v>
      </c>
      <c r="J553" s="174">
        <v>652770</v>
      </c>
      <c r="K553" s="174">
        <v>622770</v>
      </c>
      <c r="L553" s="174">
        <v>592770</v>
      </c>
      <c r="M553" s="174">
        <v>562770</v>
      </c>
      <c r="N553" s="174">
        <v>532770</v>
      </c>
      <c r="O553" s="178">
        <v>512770</v>
      </c>
    </row>
    <row r="554" spans="1:15">
      <c r="A554" s="177">
        <v>8040</v>
      </c>
      <c r="B554" s="177">
        <v>8060</v>
      </c>
      <c r="C554" s="173">
        <v>8040000</v>
      </c>
      <c r="D554" s="174">
        <v>968580</v>
      </c>
      <c r="E554" s="174">
        <v>918920</v>
      </c>
      <c r="F554" s="174">
        <v>777000</v>
      </c>
      <c r="G554" s="174">
        <v>747000</v>
      </c>
      <c r="H554" s="174">
        <v>717000</v>
      </c>
      <c r="I554" s="175">
        <v>687000</v>
      </c>
      <c r="J554" s="174">
        <v>657000</v>
      </c>
      <c r="K554" s="174">
        <v>627000</v>
      </c>
      <c r="L554" s="174">
        <v>597000</v>
      </c>
      <c r="M554" s="174">
        <v>567000</v>
      </c>
      <c r="N554" s="174">
        <v>537000</v>
      </c>
      <c r="O554" s="178">
        <v>517000</v>
      </c>
    </row>
    <row r="555" spans="1:15">
      <c r="A555" s="177">
        <v>8060</v>
      </c>
      <c r="B555" s="177">
        <v>8080</v>
      </c>
      <c r="C555" s="173">
        <v>8060000</v>
      </c>
      <c r="D555" s="174">
        <v>973110</v>
      </c>
      <c r="E555" s="174">
        <v>923430</v>
      </c>
      <c r="F555" s="174">
        <v>781220</v>
      </c>
      <c r="G555" s="174">
        <v>751220</v>
      </c>
      <c r="H555" s="174">
        <v>721220</v>
      </c>
      <c r="I555" s="175">
        <v>691220</v>
      </c>
      <c r="J555" s="174">
        <v>661220</v>
      </c>
      <c r="K555" s="174">
        <v>631220</v>
      </c>
      <c r="L555" s="174">
        <v>601220</v>
      </c>
      <c r="M555" s="174">
        <v>571220</v>
      </c>
      <c r="N555" s="174">
        <v>541220</v>
      </c>
      <c r="O555" s="178">
        <v>521220</v>
      </c>
    </row>
    <row r="556" spans="1:15">
      <c r="A556" s="177">
        <v>8080</v>
      </c>
      <c r="B556" s="177">
        <v>8100</v>
      </c>
      <c r="C556" s="173">
        <v>8080000</v>
      </c>
      <c r="D556" s="174">
        <v>977650</v>
      </c>
      <c r="E556" s="174">
        <v>927940</v>
      </c>
      <c r="F556" s="174">
        <v>785440</v>
      </c>
      <c r="G556" s="174">
        <v>755440</v>
      </c>
      <c r="H556" s="174">
        <v>725440</v>
      </c>
      <c r="I556" s="175">
        <v>695440</v>
      </c>
      <c r="J556" s="174">
        <v>665440</v>
      </c>
      <c r="K556" s="174">
        <v>635440</v>
      </c>
      <c r="L556" s="174">
        <v>605440</v>
      </c>
      <c r="M556" s="174">
        <v>575440</v>
      </c>
      <c r="N556" s="174">
        <v>545440</v>
      </c>
      <c r="O556" s="178">
        <v>525440</v>
      </c>
    </row>
    <row r="557" spans="1:15">
      <c r="A557" s="177">
        <v>8100</v>
      </c>
      <c r="B557" s="177">
        <v>8120</v>
      </c>
      <c r="C557" s="173">
        <v>8100000</v>
      </c>
      <c r="D557" s="174">
        <v>982180</v>
      </c>
      <c r="E557" s="174">
        <v>932450</v>
      </c>
      <c r="F557" s="174">
        <v>789670</v>
      </c>
      <c r="G557" s="174">
        <v>759670</v>
      </c>
      <c r="H557" s="174">
        <v>729670</v>
      </c>
      <c r="I557" s="175">
        <v>699670</v>
      </c>
      <c r="J557" s="174">
        <v>669670</v>
      </c>
      <c r="K557" s="174">
        <v>639670</v>
      </c>
      <c r="L557" s="174">
        <v>609670</v>
      </c>
      <c r="M557" s="174">
        <v>579670</v>
      </c>
      <c r="N557" s="174">
        <v>549670</v>
      </c>
      <c r="O557" s="178">
        <v>529670</v>
      </c>
    </row>
    <row r="558" spans="1:15">
      <c r="A558" s="177">
        <v>8120</v>
      </c>
      <c r="B558" s="177">
        <v>8140</v>
      </c>
      <c r="C558" s="173">
        <v>8120000</v>
      </c>
      <c r="D558" s="174">
        <v>986720</v>
      </c>
      <c r="E558" s="174">
        <v>936960</v>
      </c>
      <c r="F558" s="174">
        <v>793890</v>
      </c>
      <c r="G558" s="174">
        <v>763890</v>
      </c>
      <c r="H558" s="174">
        <v>733890</v>
      </c>
      <c r="I558" s="175">
        <v>703890</v>
      </c>
      <c r="J558" s="174">
        <v>673890</v>
      </c>
      <c r="K558" s="174">
        <v>643890</v>
      </c>
      <c r="L558" s="174">
        <v>613890</v>
      </c>
      <c r="M558" s="174">
        <v>583890</v>
      </c>
      <c r="N558" s="174">
        <v>553890</v>
      </c>
      <c r="O558" s="178">
        <v>533890</v>
      </c>
    </row>
    <row r="559" spans="1:15">
      <c r="A559" s="177">
        <v>8140</v>
      </c>
      <c r="B559" s="177">
        <v>8160</v>
      </c>
      <c r="C559" s="173">
        <v>8140000</v>
      </c>
      <c r="D559" s="174">
        <v>991260</v>
      </c>
      <c r="E559" s="174">
        <v>941480</v>
      </c>
      <c r="F559" s="174">
        <v>798120</v>
      </c>
      <c r="G559" s="174">
        <v>768120</v>
      </c>
      <c r="H559" s="174">
        <v>738120</v>
      </c>
      <c r="I559" s="175">
        <v>708120</v>
      </c>
      <c r="J559" s="174">
        <v>678120</v>
      </c>
      <c r="K559" s="174">
        <v>648120</v>
      </c>
      <c r="L559" s="174">
        <v>618120</v>
      </c>
      <c r="M559" s="174">
        <v>588120</v>
      </c>
      <c r="N559" s="174">
        <v>558120</v>
      </c>
      <c r="O559" s="178">
        <v>538120</v>
      </c>
    </row>
    <row r="560" spans="1:15">
      <c r="A560" s="177">
        <v>8160</v>
      </c>
      <c r="B560" s="177">
        <v>8180</v>
      </c>
      <c r="C560" s="173">
        <v>8160000</v>
      </c>
      <c r="D560" s="174">
        <v>995790</v>
      </c>
      <c r="E560" s="174">
        <v>945990</v>
      </c>
      <c r="F560" s="174">
        <v>802340</v>
      </c>
      <c r="G560" s="174">
        <v>772340</v>
      </c>
      <c r="H560" s="174">
        <v>742340</v>
      </c>
      <c r="I560" s="175">
        <v>712340</v>
      </c>
      <c r="J560" s="174">
        <v>682340</v>
      </c>
      <c r="K560" s="174">
        <v>652340</v>
      </c>
      <c r="L560" s="174">
        <v>622340</v>
      </c>
      <c r="M560" s="174">
        <v>592340</v>
      </c>
      <c r="N560" s="174">
        <v>562340</v>
      </c>
      <c r="O560" s="178">
        <v>542340</v>
      </c>
    </row>
    <row r="561" spans="1:15">
      <c r="A561" s="177">
        <v>8180</v>
      </c>
      <c r="B561" s="177">
        <v>8200</v>
      </c>
      <c r="C561" s="173">
        <v>8180000</v>
      </c>
      <c r="D561" s="174">
        <v>1000330</v>
      </c>
      <c r="E561" s="174">
        <v>950500</v>
      </c>
      <c r="F561" s="174">
        <v>806560</v>
      </c>
      <c r="G561" s="174">
        <v>776560</v>
      </c>
      <c r="H561" s="174">
        <v>746560</v>
      </c>
      <c r="I561" s="175">
        <v>716560</v>
      </c>
      <c r="J561" s="174">
        <v>686560</v>
      </c>
      <c r="K561" s="174">
        <v>656560</v>
      </c>
      <c r="L561" s="174">
        <v>626560</v>
      </c>
      <c r="M561" s="174">
        <v>596560</v>
      </c>
      <c r="N561" s="174">
        <v>566560</v>
      </c>
      <c r="O561" s="178">
        <v>546560</v>
      </c>
    </row>
    <row r="562" spans="1:15">
      <c r="A562" s="177">
        <v>8200</v>
      </c>
      <c r="B562" s="177">
        <v>8220</v>
      </c>
      <c r="C562" s="173">
        <v>8200000</v>
      </c>
      <c r="D562" s="174">
        <v>1004860</v>
      </c>
      <c r="E562" s="174">
        <v>955010</v>
      </c>
      <c r="F562" s="174">
        <v>810790</v>
      </c>
      <c r="G562" s="174">
        <v>780790</v>
      </c>
      <c r="H562" s="174">
        <v>750790</v>
      </c>
      <c r="I562" s="175">
        <v>720790</v>
      </c>
      <c r="J562" s="174">
        <v>690790</v>
      </c>
      <c r="K562" s="174">
        <v>660790</v>
      </c>
      <c r="L562" s="174">
        <v>630790</v>
      </c>
      <c r="M562" s="174">
        <v>600790</v>
      </c>
      <c r="N562" s="174">
        <v>570790</v>
      </c>
      <c r="O562" s="178">
        <v>550790</v>
      </c>
    </row>
    <row r="563" spans="1:15">
      <c r="A563" s="177">
        <v>8220</v>
      </c>
      <c r="B563" s="177">
        <v>8240</v>
      </c>
      <c r="C563" s="173">
        <v>8220000</v>
      </c>
      <c r="D563" s="174">
        <v>1009400</v>
      </c>
      <c r="E563" s="174">
        <v>959520</v>
      </c>
      <c r="F563" s="174">
        <v>815010</v>
      </c>
      <c r="G563" s="174">
        <v>785010</v>
      </c>
      <c r="H563" s="174">
        <v>755010</v>
      </c>
      <c r="I563" s="175">
        <v>725010</v>
      </c>
      <c r="J563" s="174">
        <v>695010</v>
      </c>
      <c r="K563" s="174">
        <v>665010</v>
      </c>
      <c r="L563" s="174">
        <v>635010</v>
      </c>
      <c r="M563" s="174">
        <v>605010</v>
      </c>
      <c r="N563" s="174">
        <v>575010</v>
      </c>
      <c r="O563" s="178">
        <v>555010</v>
      </c>
    </row>
    <row r="564" spans="1:15">
      <c r="A564" s="177">
        <v>8240</v>
      </c>
      <c r="B564" s="177">
        <v>8260</v>
      </c>
      <c r="C564" s="173">
        <v>8240000</v>
      </c>
      <c r="D564" s="174">
        <v>1013940</v>
      </c>
      <c r="E564" s="174">
        <v>964040</v>
      </c>
      <c r="F564" s="174">
        <v>819240</v>
      </c>
      <c r="G564" s="174">
        <v>789240</v>
      </c>
      <c r="H564" s="174">
        <v>759240</v>
      </c>
      <c r="I564" s="175">
        <v>729240</v>
      </c>
      <c r="J564" s="174">
        <v>699240</v>
      </c>
      <c r="K564" s="174">
        <v>669240</v>
      </c>
      <c r="L564" s="174">
        <v>639240</v>
      </c>
      <c r="M564" s="174">
        <v>609240</v>
      </c>
      <c r="N564" s="174">
        <v>579240</v>
      </c>
      <c r="O564" s="178">
        <v>559240</v>
      </c>
    </row>
    <row r="565" spans="1:15">
      <c r="A565" s="177">
        <v>8260</v>
      </c>
      <c r="B565" s="177">
        <v>8280</v>
      </c>
      <c r="C565" s="173">
        <v>8260000</v>
      </c>
      <c r="D565" s="174">
        <v>1018470</v>
      </c>
      <c r="E565" s="174">
        <v>968550</v>
      </c>
      <c r="F565" s="174">
        <v>823460</v>
      </c>
      <c r="G565" s="174">
        <v>793460</v>
      </c>
      <c r="H565" s="174">
        <v>763460</v>
      </c>
      <c r="I565" s="175">
        <v>733460</v>
      </c>
      <c r="J565" s="174">
        <v>703460</v>
      </c>
      <c r="K565" s="174">
        <v>673460</v>
      </c>
      <c r="L565" s="174">
        <v>643460</v>
      </c>
      <c r="M565" s="174">
        <v>613460</v>
      </c>
      <c r="N565" s="174">
        <v>583460</v>
      </c>
      <c r="O565" s="178">
        <v>563460</v>
      </c>
    </row>
    <row r="566" spans="1:15">
      <c r="A566" s="177">
        <v>8280</v>
      </c>
      <c r="B566" s="177">
        <v>8300</v>
      </c>
      <c r="C566" s="173">
        <v>8280000</v>
      </c>
      <c r="D566" s="174">
        <v>1023010</v>
      </c>
      <c r="E566" s="174">
        <v>973060</v>
      </c>
      <c r="F566" s="174">
        <v>827680</v>
      </c>
      <c r="G566" s="174">
        <v>797680</v>
      </c>
      <c r="H566" s="174">
        <v>767680</v>
      </c>
      <c r="I566" s="175">
        <v>737680</v>
      </c>
      <c r="J566" s="174">
        <v>707680</v>
      </c>
      <c r="K566" s="174">
        <v>677680</v>
      </c>
      <c r="L566" s="174">
        <v>647680</v>
      </c>
      <c r="M566" s="174">
        <v>617680</v>
      </c>
      <c r="N566" s="174">
        <v>587680</v>
      </c>
      <c r="O566" s="178">
        <v>567680</v>
      </c>
    </row>
    <row r="567" spans="1:15">
      <c r="A567" s="177">
        <v>8300</v>
      </c>
      <c r="B567" s="177">
        <v>8320</v>
      </c>
      <c r="C567" s="173">
        <v>8300000</v>
      </c>
      <c r="D567" s="174">
        <v>1027540</v>
      </c>
      <c r="E567" s="174">
        <v>977570</v>
      </c>
      <c r="F567" s="174">
        <v>831910</v>
      </c>
      <c r="G567" s="174">
        <v>801910</v>
      </c>
      <c r="H567" s="174">
        <v>771910</v>
      </c>
      <c r="I567" s="175">
        <v>741910</v>
      </c>
      <c r="J567" s="174">
        <v>711910</v>
      </c>
      <c r="K567" s="174">
        <v>681910</v>
      </c>
      <c r="L567" s="174">
        <v>651910</v>
      </c>
      <c r="M567" s="174">
        <v>621910</v>
      </c>
      <c r="N567" s="174">
        <v>591910</v>
      </c>
      <c r="O567" s="178">
        <v>571910</v>
      </c>
    </row>
    <row r="568" spans="1:15">
      <c r="A568" s="177">
        <v>8320</v>
      </c>
      <c r="B568" s="177">
        <v>8340</v>
      </c>
      <c r="C568" s="173">
        <v>8320000</v>
      </c>
      <c r="D568" s="174">
        <v>1032080</v>
      </c>
      <c r="E568" s="174">
        <v>982080</v>
      </c>
      <c r="F568" s="174">
        <v>836130</v>
      </c>
      <c r="G568" s="174">
        <v>806130</v>
      </c>
      <c r="H568" s="174">
        <v>776130</v>
      </c>
      <c r="I568" s="175">
        <v>746130</v>
      </c>
      <c r="J568" s="174">
        <v>716130</v>
      </c>
      <c r="K568" s="174">
        <v>686130</v>
      </c>
      <c r="L568" s="174">
        <v>656130</v>
      </c>
      <c r="M568" s="174">
        <v>626130</v>
      </c>
      <c r="N568" s="174">
        <v>596130</v>
      </c>
      <c r="O568" s="178">
        <v>576130</v>
      </c>
    </row>
    <row r="569" spans="1:15">
      <c r="A569" s="177">
        <v>8340</v>
      </c>
      <c r="B569" s="177">
        <v>8360</v>
      </c>
      <c r="C569" s="173">
        <v>8340000</v>
      </c>
      <c r="D569" s="174">
        <v>1036740</v>
      </c>
      <c r="E569" s="174">
        <v>986720</v>
      </c>
      <c r="F569" s="174">
        <v>840480</v>
      </c>
      <c r="G569" s="174">
        <v>810480</v>
      </c>
      <c r="H569" s="174">
        <v>780480</v>
      </c>
      <c r="I569" s="175">
        <v>750480</v>
      </c>
      <c r="J569" s="174">
        <v>720480</v>
      </c>
      <c r="K569" s="174">
        <v>690480</v>
      </c>
      <c r="L569" s="174">
        <v>660480</v>
      </c>
      <c r="M569" s="174">
        <v>630480</v>
      </c>
      <c r="N569" s="174">
        <v>600480</v>
      </c>
      <c r="O569" s="178">
        <v>580480</v>
      </c>
    </row>
    <row r="570" spans="1:15">
      <c r="A570" s="177">
        <v>8360</v>
      </c>
      <c r="B570" s="177">
        <v>8380</v>
      </c>
      <c r="C570" s="173">
        <v>8360000</v>
      </c>
      <c r="D570" s="174">
        <v>1041420</v>
      </c>
      <c r="E570" s="174">
        <v>991370</v>
      </c>
      <c r="F570" s="174">
        <v>844840</v>
      </c>
      <c r="G570" s="174">
        <v>814840</v>
      </c>
      <c r="H570" s="174">
        <v>784840</v>
      </c>
      <c r="I570" s="175">
        <v>754840</v>
      </c>
      <c r="J570" s="174">
        <v>724840</v>
      </c>
      <c r="K570" s="174">
        <v>694840</v>
      </c>
      <c r="L570" s="174">
        <v>664840</v>
      </c>
      <c r="M570" s="174">
        <v>634840</v>
      </c>
      <c r="N570" s="174">
        <v>604840</v>
      </c>
      <c r="O570" s="178">
        <v>584840</v>
      </c>
    </row>
    <row r="571" spans="1:15">
      <c r="A571" s="177">
        <v>8380</v>
      </c>
      <c r="B571" s="177">
        <v>8400</v>
      </c>
      <c r="C571" s="173">
        <v>8380000</v>
      </c>
      <c r="D571" s="174">
        <v>1046100</v>
      </c>
      <c r="E571" s="174">
        <v>996030</v>
      </c>
      <c r="F571" s="174">
        <v>849210</v>
      </c>
      <c r="G571" s="174">
        <v>819210</v>
      </c>
      <c r="H571" s="174">
        <v>789210</v>
      </c>
      <c r="I571" s="175">
        <v>759210</v>
      </c>
      <c r="J571" s="174">
        <v>729210</v>
      </c>
      <c r="K571" s="174">
        <v>699210</v>
      </c>
      <c r="L571" s="174">
        <v>669210</v>
      </c>
      <c r="M571" s="174">
        <v>639210</v>
      </c>
      <c r="N571" s="174">
        <v>609210</v>
      </c>
      <c r="O571" s="178">
        <v>589210</v>
      </c>
    </row>
    <row r="572" spans="1:15">
      <c r="A572" s="177">
        <v>8400</v>
      </c>
      <c r="B572" s="177">
        <v>8420</v>
      </c>
      <c r="C572" s="173">
        <v>8400000</v>
      </c>
      <c r="D572" s="174">
        <v>1050780</v>
      </c>
      <c r="E572" s="174">
        <v>1000680</v>
      </c>
      <c r="F572" s="174">
        <v>853580</v>
      </c>
      <c r="G572" s="174">
        <v>823580</v>
      </c>
      <c r="H572" s="174">
        <v>793580</v>
      </c>
      <c r="I572" s="175">
        <v>763580</v>
      </c>
      <c r="J572" s="174">
        <v>733580</v>
      </c>
      <c r="K572" s="174">
        <v>703580</v>
      </c>
      <c r="L572" s="174">
        <v>673580</v>
      </c>
      <c r="M572" s="174">
        <v>643580</v>
      </c>
      <c r="N572" s="174">
        <v>613580</v>
      </c>
      <c r="O572" s="178">
        <v>593580</v>
      </c>
    </row>
    <row r="573" spans="1:15">
      <c r="A573" s="177">
        <v>8420</v>
      </c>
      <c r="B573" s="177">
        <v>8440</v>
      </c>
      <c r="C573" s="173">
        <v>8420000</v>
      </c>
      <c r="D573" s="174">
        <v>1055460</v>
      </c>
      <c r="E573" s="174">
        <v>1005340</v>
      </c>
      <c r="F573" s="174">
        <v>857950</v>
      </c>
      <c r="G573" s="174">
        <v>827950</v>
      </c>
      <c r="H573" s="174">
        <v>797950</v>
      </c>
      <c r="I573" s="175">
        <v>767950</v>
      </c>
      <c r="J573" s="174">
        <v>737950</v>
      </c>
      <c r="K573" s="174">
        <v>707950</v>
      </c>
      <c r="L573" s="174">
        <v>677950</v>
      </c>
      <c r="M573" s="174">
        <v>647950</v>
      </c>
      <c r="N573" s="174">
        <v>617950</v>
      </c>
      <c r="O573" s="178">
        <v>597950</v>
      </c>
    </row>
    <row r="574" spans="1:15">
      <c r="A574" s="177">
        <v>8440</v>
      </c>
      <c r="B574" s="177">
        <v>8460</v>
      </c>
      <c r="C574" s="173">
        <v>8440000</v>
      </c>
      <c r="D574" s="174">
        <v>1060140</v>
      </c>
      <c r="E574" s="174">
        <v>1010000</v>
      </c>
      <c r="F574" s="174">
        <v>862320</v>
      </c>
      <c r="G574" s="174">
        <v>832320</v>
      </c>
      <c r="H574" s="174">
        <v>802320</v>
      </c>
      <c r="I574" s="175">
        <v>772320</v>
      </c>
      <c r="J574" s="174">
        <v>742320</v>
      </c>
      <c r="K574" s="174">
        <v>712320</v>
      </c>
      <c r="L574" s="174">
        <v>682320</v>
      </c>
      <c r="M574" s="174">
        <v>652320</v>
      </c>
      <c r="N574" s="174">
        <v>622320</v>
      </c>
      <c r="O574" s="178">
        <v>602320</v>
      </c>
    </row>
    <row r="575" spans="1:15">
      <c r="A575" s="177">
        <v>8460</v>
      </c>
      <c r="B575" s="177">
        <v>8480</v>
      </c>
      <c r="C575" s="173">
        <v>8460000</v>
      </c>
      <c r="D575" s="174">
        <v>1064820</v>
      </c>
      <c r="E575" s="174">
        <v>1014650</v>
      </c>
      <c r="F575" s="174">
        <v>866680</v>
      </c>
      <c r="G575" s="174">
        <v>836680</v>
      </c>
      <c r="H575" s="174">
        <v>806680</v>
      </c>
      <c r="I575" s="175">
        <v>776680</v>
      </c>
      <c r="J575" s="174">
        <v>746680</v>
      </c>
      <c r="K575" s="174">
        <v>716680</v>
      </c>
      <c r="L575" s="174">
        <v>686680</v>
      </c>
      <c r="M575" s="174">
        <v>656680</v>
      </c>
      <c r="N575" s="174">
        <v>626680</v>
      </c>
      <c r="O575" s="178">
        <v>606680</v>
      </c>
    </row>
    <row r="576" spans="1:15">
      <c r="A576" s="177">
        <v>8480</v>
      </c>
      <c r="B576" s="177">
        <v>8500</v>
      </c>
      <c r="C576" s="173">
        <v>8480000</v>
      </c>
      <c r="D576" s="174">
        <v>1069500</v>
      </c>
      <c r="E576" s="174">
        <v>1019310</v>
      </c>
      <c r="F576" s="174">
        <v>871050</v>
      </c>
      <c r="G576" s="174">
        <v>841050</v>
      </c>
      <c r="H576" s="174">
        <v>811050</v>
      </c>
      <c r="I576" s="175">
        <v>781050</v>
      </c>
      <c r="J576" s="174">
        <v>751050</v>
      </c>
      <c r="K576" s="174">
        <v>721050</v>
      </c>
      <c r="L576" s="174">
        <v>691050</v>
      </c>
      <c r="M576" s="174">
        <v>661050</v>
      </c>
      <c r="N576" s="174">
        <v>631050</v>
      </c>
      <c r="O576" s="178">
        <v>611050</v>
      </c>
    </row>
    <row r="577" spans="1:15">
      <c r="A577" s="177">
        <v>8500</v>
      </c>
      <c r="B577" s="177">
        <v>8520</v>
      </c>
      <c r="C577" s="173">
        <v>8500000</v>
      </c>
      <c r="D577" s="174">
        <v>1074180</v>
      </c>
      <c r="E577" s="174">
        <v>1023960</v>
      </c>
      <c r="F577" s="174">
        <v>875420</v>
      </c>
      <c r="G577" s="174">
        <v>845420</v>
      </c>
      <c r="H577" s="174">
        <v>815420</v>
      </c>
      <c r="I577" s="175">
        <v>785420</v>
      </c>
      <c r="J577" s="174">
        <v>755420</v>
      </c>
      <c r="K577" s="174">
        <v>725420</v>
      </c>
      <c r="L577" s="174">
        <v>695420</v>
      </c>
      <c r="M577" s="174">
        <v>665420</v>
      </c>
      <c r="N577" s="174">
        <v>635420</v>
      </c>
      <c r="O577" s="178">
        <v>615420</v>
      </c>
    </row>
    <row r="578" spans="1:15">
      <c r="A578" s="177">
        <v>8520</v>
      </c>
      <c r="B578" s="177">
        <v>8540</v>
      </c>
      <c r="C578" s="173">
        <v>8520000</v>
      </c>
      <c r="D578" s="174">
        <v>1078860</v>
      </c>
      <c r="E578" s="174">
        <v>1028620</v>
      </c>
      <c r="F578" s="174">
        <v>879790</v>
      </c>
      <c r="G578" s="174">
        <v>849790</v>
      </c>
      <c r="H578" s="174">
        <v>819790</v>
      </c>
      <c r="I578" s="175">
        <v>789790</v>
      </c>
      <c r="J578" s="174">
        <v>759790</v>
      </c>
      <c r="K578" s="174">
        <v>729790</v>
      </c>
      <c r="L578" s="174">
        <v>699790</v>
      </c>
      <c r="M578" s="174">
        <v>669790</v>
      </c>
      <c r="N578" s="174">
        <v>639790</v>
      </c>
      <c r="O578" s="178">
        <v>619790</v>
      </c>
    </row>
    <row r="579" spans="1:15">
      <c r="A579" s="177">
        <v>8540</v>
      </c>
      <c r="B579" s="177">
        <v>8560</v>
      </c>
      <c r="C579" s="173">
        <v>8540000</v>
      </c>
      <c r="D579" s="174">
        <v>1083540</v>
      </c>
      <c r="E579" s="174">
        <v>1033280</v>
      </c>
      <c r="F579" s="174">
        <v>884160</v>
      </c>
      <c r="G579" s="174">
        <v>854160</v>
      </c>
      <c r="H579" s="174">
        <v>824160</v>
      </c>
      <c r="I579" s="175">
        <v>794160</v>
      </c>
      <c r="J579" s="174">
        <v>764160</v>
      </c>
      <c r="K579" s="174">
        <v>734160</v>
      </c>
      <c r="L579" s="174">
        <v>704160</v>
      </c>
      <c r="M579" s="174">
        <v>674160</v>
      </c>
      <c r="N579" s="174">
        <v>644160</v>
      </c>
      <c r="O579" s="178">
        <v>624160</v>
      </c>
    </row>
    <row r="580" spans="1:15">
      <c r="A580" s="177">
        <v>8560</v>
      </c>
      <c r="B580" s="177">
        <v>8580</v>
      </c>
      <c r="C580" s="173">
        <v>8560000</v>
      </c>
      <c r="D580" s="174">
        <v>1088220</v>
      </c>
      <c r="E580" s="174">
        <v>1037930</v>
      </c>
      <c r="F580" s="174">
        <v>888520</v>
      </c>
      <c r="G580" s="174">
        <v>858520</v>
      </c>
      <c r="H580" s="174">
        <v>828520</v>
      </c>
      <c r="I580" s="175">
        <v>798520</v>
      </c>
      <c r="J580" s="174">
        <v>768520</v>
      </c>
      <c r="K580" s="174">
        <v>738520</v>
      </c>
      <c r="L580" s="174">
        <v>708520</v>
      </c>
      <c r="M580" s="174">
        <v>678520</v>
      </c>
      <c r="N580" s="174">
        <v>648520</v>
      </c>
      <c r="O580" s="178">
        <v>628520</v>
      </c>
    </row>
    <row r="581" spans="1:15">
      <c r="A581" s="177">
        <v>8580</v>
      </c>
      <c r="B581" s="177">
        <v>8600</v>
      </c>
      <c r="C581" s="173">
        <v>8580000</v>
      </c>
      <c r="D581" s="174">
        <v>1092900</v>
      </c>
      <c r="E581" s="174">
        <v>1042590</v>
      </c>
      <c r="F581" s="174">
        <v>892890</v>
      </c>
      <c r="G581" s="174">
        <v>862890</v>
      </c>
      <c r="H581" s="174">
        <v>832890</v>
      </c>
      <c r="I581" s="175">
        <v>802890</v>
      </c>
      <c r="J581" s="174">
        <v>772890</v>
      </c>
      <c r="K581" s="174">
        <v>742890</v>
      </c>
      <c r="L581" s="174">
        <v>712890</v>
      </c>
      <c r="M581" s="174">
        <v>682890</v>
      </c>
      <c r="N581" s="174">
        <v>652890</v>
      </c>
      <c r="O581" s="178">
        <v>632890</v>
      </c>
    </row>
    <row r="582" spans="1:15">
      <c r="A582" s="177">
        <v>8600</v>
      </c>
      <c r="B582" s="177">
        <v>8620</v>
      </c>
      <c r="C582" s="173">
        <v>8600000</v>
      </c>
      <c r="D582" s="174">
        <v>1097580</v>
      </c>
      <c r="E582" s="174">
        <v>1047240</v>
      </c>
      <c r="F582" s="174">
        <v>897260</v>
      </c>
      <c r="G582" s="174">
        <v>867260</v>
      </c>
      <c r="H582" s="174">
        <v>837260</v>
      </c>
      <c r="I582" s="175">
        <v>807260</v>
      </c>
      <c r="J582" s="174">
        <v>777260</v>
      </c>
      <c r="K582" s="174">
        <v>747260</v>
      </c>
      <c r="L582" s="174">
        <v>717260</v>
      </c>
      <c r="M582" s="174">
        <v>687260</v>
      </c>
      <c r="N582" s="174">
        <v>657260</v>
      </c>
      <c r="O582" s="178">
        <v>637260</v>
      </c>
    </row>
    <row r="583" spans="1:15">
      <c r="A583" s="177">
        <v>8620</v>
      </c>
      <c r="B583" s="177">
        <v>8640</v>
      </c>
      <c r="C583" s="173">
        <v>8620000</v>
      </c>
      <c r="D583" s="174">
        <v>1102260</v>
      </c>
      <c r="E583" s="174">
        <v>1051900</v>
      </c>
      <c r="F583" s="174">
        <v>901630</v>
      </c>
      <c r="G583" s="174">
        <v>871630</v>
      </c>
      <c r="H583" s="174">
        <v>841630</v>
      </c>
      <c r="I583" s="175">
        <v>811630</v>
      </c>
      <c r="J583" s="174">
        <v>781630</v>
      </c>
      <c r="K583" s="174">
        <v>751630</v>
      </c>
      <c r="L583" s="174">
        <v>721630</v>
      </c>
      <c r="M583" s="174">
        <v>691630</v>
      </c>
      <c r="N583" s="174">
        <v>661630</v>
      </c>
      <c r="O583" s="178">
        <v>641630</v>
      </c>
    </row>
    <row r="584" spans="1:15">
      <c r="A584" s="177">
        <v>8640</v>
      </c>
      <c r="B584" s="177">
        <v>8660</v>
      </c>
      <c r="C584" s="173">
        <v>8640000</v>
      </c>
      <c r="D584" s="174">
        <v>1106940</v>
      </c>
      <c r="E584" s="174">
        <v>1056560</v>
      </c>
      <c r="F584" s="174">
        <v>906000</v>
      </c>
      <c r="G584" s="174">
        <v>876000</v>
      </c>
      <c r="H584" s="174">
        <v>846000</v>
      </c>
      <c r="I584" s="175">
        <v>816000</v>
      </c>
      <c r="J584" s="174">
        <v>786000</v>
      </c>
      <c r="K584" s="174">
        <v>756000</v>
      </c>
      <c r="L584" s="174">
        <v>726000</v>
      </c>
      <c r="M584" s="174">
        <v>696000</v>
      </c>
      <c r="N584" s="174">
        <v>666000</v>
      </c>
      <c r="O584" s="178">
        <v>646000</v>
      </c>
    </row>
    <row r="585" spans="1:15">
      <c r="A585" s="177">
        <v>8660</v>
      </c>
      <c r="B585" s="177">
        <v>8680</v>
      </c>
      <c r="C585" s="173">
        <v>8660000</v>
      </c>
      <c r="D585" s="174">
        <v>1111620</v>
      </c>
      <c r="E585" s="174">
        <v>1061210</v>
      </c>
      <c r="F585" s="174">
        <v>910360</v>
      </c>
      <c r="G585" s="174">
        <v>880360</v>
      </c>
      <c r="H585" s="174">
        <v>850360</v>
      </c>
      <c r="I585" s="175">
        <v>820360</v>
      </c>
      <c r="J585" s="174">
        <v>790360</v>
      </c>
      <c r="K585" s="174">
        <v>760360</v>
      </c>
      <c r="L585" s="174">
        <v>730360</v>
      </c>
      <c r="M585" s="174">
        <v>700360</v>
      </c>
      <c r="N585" s="174">
        <v>670360</v>
      </c>
      <c r="O585" s="178">
        <v>650360</v>
      </c>
    </row>
    <row r="586" spans="1:15">
      <c r="A586" s="177">
        <v>8680</v>
      </c>
      <c r="B586" s="177">
        <v>8700</v>
      </c>
      <c r="C586" s="173">
        <v>8680000</v>
      </c>
      <c r="D586" s="174">
        <v>1116300</v>
      </c>
      <c r="E586" s="174">
        <v>1065870</v>
      </c>
      <c r="F586" s="174">
        <v>914730</v>
      </c>
      <c r="G586" s="174">
        <v>884730</v>
      </c>
      <c r="H586" s="174">
        <v>854730</v>
      </c>
      <c r="I586" s="175">
        <v>824730</v>
      </c>
      <c r="J586" s="174">
        <v>794730</v>
      </c>
      <c r="K586" s="174">
        <v>764730</v>
      </c>
      <c r="L586" s="174">
        <v>734730</v>
      </c>
      <c r="M586" s="174">
        <v>704730</v>
      </c>
      <c r="N586" s="174">
        <v>674730</v>
      </c>
      <c r="O586" s="178">
        <v>654730</v>
      </c>
    </row>
    <row r="587" spans="1:15">
      <c r="A587" s="177">
        <v>8700</v>
      </c>
      <c r="B587" s="177">
        <v>8720</v>
      </c>
      <c r="C587" s="173">
        <v>8700000</v>
      </c>
      <c r="D587" s="174">
        <v>1120980</v>
      </c>
      <c r="E587" s="174">
        <v>1070520</v>
      </c>
      <c r="F587" s="174">
        <v>919100</v>
      </c>
      <c r="G587" s="174">
        <v>889100</v>
      </c>
      <c r="H587" s="174">
        <v>859100</v>
      </c>
      <c r="I587" s="175">
        <v>829100</v>
      </c>
      <c r="J587" s="174">
        <v>799100</v>
      </c>
      <c r="K587" s="174">
        <v>769100</v>
      </c>
      <c r="L587" s="174">
        <v>739100</v>
      </c>
      <c r="M587" s="174">
        <v>709100</v>
      </c>
      <c r="N587" s="174">
        <v>679100</v>
      </c>
      <c r="O587" s="178">
        <v>659100</v>
      </c>
    </row>
    <row r="588" spans="1:15">
      <c r="A588" s="177">
        <v>8720</v>
      </c>
      <c r="B588" s="177">
        <v>8740</v>
      </c>
      <c r="C588" s="173">
        <v>8720000</v>
      </c>
      <c r="D588" s="174">
        <v>1125660</v>
      </c>
      <c r="E588" s="174">
        <v>1075180</v>
      </c>
      <c r="F588" s="174">
        <v>923470</v>
      </c>
      <c r="G588" s="174">
        <v>893470</v>
      </c>
      <c r="H588" s="174">
        <v>863470</v>
      </c>
      <c r="I588" s="175">
        <v>833470</v>
      </c>
      <c r="J588" s="174">
        <v>803470</v>
      </c>
      <c r="K588" s="174">
        <v>773470</v>
      </c>
      <c r="L588" s="174">
        <v>743470</v>
      </c>
      <c r="M588" s="174">
        <v>713470</v>
      </c>
      <c r="N588" s="174">
        <v>683470</v>
      </c>
      <c r="O588" s="178">
        <v>663470</v>
      </c>
    </row>
    <row r="589" spans="1:15">
      <c r="A589" s="177">
        <v>8740</v>
      </c>
      <c r="B589" s="177">
        <v>8760</v>
      </c>
      <c r="C589" s="173">
        <v>8740000</v>
      </c>
      <c r="D589" s="174">
        <v>1130340</v>
      </c>
      <c r="E589" s="174">
        <v>1079840</v>
      </c>
      <c r="F589" s="174">
        <v>927840</v>
      </c>
      <c r="G589" s="174">
        <v>897840</v>
      </c>
      <c r="H589" s="174">
        <v>867840</v>
      </c>
      <c r="I589" s="175">
        <v>837840</v>
      </c>
      <c r="J589" s="174">
        <v>807840</v>
      </c>
      <c r="K589" s="174">
        <v>777840</v>
      </c>
      <c r="L589" s="174">
        <v>747840</v>
      </c>
      <c r="M589" s="174">
        <v>717840</v>
      </c>
      <c r="N589" s="174">
        <v>687840</v>
      </c>
      <c r="O589" s="178">
        <v>667840</v>
      </c>
    </row>
    <row r="590" spans="1:15">
      <c r="A590" s="177">
        <v>8760</v>
      </c>
      <c r="B590" s="177">
        <v>8780</v>
      </c>
      <c r="C590" s="173">
        <v>8760000</v>
      </c>
      <c r="D590" s="174">
        <v>1135020</v>
      </c>
      <c r="E590" s="174">
        <v>1084490</v>
      </c>
      <c r="F590" s="174">
        <v>932200</v>
      </c>
      <c r="G590" s="174">
        <v>902200</v>
      </c>
      <c r="H590" s="174">
        <v>872200</v>
      </c>
      <c r="I590" s="175">
        <v>842200</v>
      </c>
      <c r="J590" s="174">
        <v>812200</v>
      </c>
      <c r="K590" s="174">
        <v>782200</v>
      </c>
      <c r="L590" s="174">
        <v>752200</v>
      </c>
      <c r="M590" s="174">
        <v>722200</v>
      </c>
      <c r="N590" s="174">
        <v>692200</v>
      </c>
      <c r="O590" s="178">
        <v>672200</v>
      </c>
    </row>
    <row r="591" spans="1:15">
      <c r="A591" s="177">
        <v>8780</v>
      </c>
      <c r="B591" s="177">
        <v>8800</v>
      </c>
      <c r="C591" s="173">
        <v>8780000</v>
      </c>
      <c r="D591" s="174">
        <v>1139700</v>
      </c>
      <c r="E591" s="174">
        <v>1089150</v>
      </c>
      <c r="F591" s="174">
        <v>936570</v>
      </c>
      <c r="G591" s="174">
        <v>906570</v>
      </c>
      <c r="H591" s="174">
        <v>876570</v>
      </c>
      <c r="I591" s="175">
        <v>846570</v>
      </c>
      <c r="J591" s="174">
        <v>816570</v>
      </c>
      <c r="K591" s="174">
        <v>786570</v>
      </c>
      <c r="L591" s="174">
        <v>756570</v>
      </c>
      <c r="M591" s="174">
        <v>726570</v>
      </c>
      <c r="N591" s="174">
        <v>696570</v>
      </c>
      <c r="O591" s="178">
        <v>676570</v>
      </c>
    </row>
    <row r="592" spans="1:15">
      <c r="A592" s="177">
        <v>8800</v>
      </c>
      <c r="B592" s="177">
        <v>8820</v>
      </c>
      <c r="C592" s="173">
        <v>8800000</v>
      </c>
      <c r="D592" s="174">
        <v>1144380</v>
      </c>
      <c r="E592" s="174">
        <v>1093800</v>
      </c>
      <c r="F592" s="174">
        <v>940940</v>
      </c>
      <c r="G592" s="174">
        <v>910940</v>
      </c>
      <c r="H592" s="174">
        <v>880940</v>
      </c>
      <c r="I592" s="175">
        <v>850940</v>
      </c>
      <c r="J592" s="174">
        <v>820940</v>
      </c>
      <c r="K592" s="174">
        <v>790940</v>
      </c>
      <c r="L592" s="174">
        <v>760940</v>
      </c>
      <c r="M592" s="174">
        <v>730940</v>
      </c>
      <c r="N592" s="174">
        <v>700940</v>
      </c>
      <c r="O592" s="178">
        <v>680940</v>
      </c>
    </row>
    <row r="593" spans="1:15">
      <c r="A593" s="177">
        <v>8820</v>
      </c>
      <c r="B593" s="177">
        <v>8840</v>
      </c>
      <c r="C593" s="173">
        <v>8820000</v>
      </c>
      <c r="D593" s="174">
        <v>1149060</v>
      </c>
      <c r="E593" s="174">
        <v>1098460</v>
      </c>
      <c r="F593" s="174">
        <v>945310</v>
      </c>
      <c r="G593" s="174">
        <v>915310</v>
      </c>
      <c r="H593" s="174">
        <v>885310</v>
      </c>
      <c r="I593" s="175">
        <v>855310</v>
      </c>
      <c r="J593" s="174">
        <v>825310</v>
      </c>
      <c r="K593" s="174">
        <v>795310</v>
      </c>
      <c r="L593" s="174">
        <v>765310</v>
      </c>
      <c r="M593" s="174">
        <v>735310</v>
      </c>
      <c r="N593" s="174">
        <v>705310</v>
      </c>
      <c r="O593" s="178">
        <v>685310</v>
      </c>
    </row>
    <row r="594" spans="1:15">
      <c r="A594" s="177">
        <v>8840</v>
      </c>
      <c r="B594" s="177">
        <v>8860</v>
      </c>
      <c r="C594" s="173">
        <v>8840000</v>
      </c>
      <c r="D594" s="174">
        <v>1153740</v>
      </c>
      <c r="E594" s="174">
        <v>1103120</v>
      </c>
      <c r="F594" s="174">
        <v>949680</v>
      </c>
      <c r="G594" s="174">
        <v>919680</v>
      </c>
      <c r="H594" s="174">
        <v>889680</v>
      </c>
      <c r="I594" s="175">
        <v>859680</v>
      </c>
      <c r="J594" s="174">
        <v>829680</v>
      </c>
      <c r="K594" s="174">
        <v>799680</v>
      </c>
      <c r="L594" s="174">
        <v>769680</v>
      </c>
      <c r="M594" s="174">
        <v>739680</v>
      </c>
      <c r="N594" s="174">
        <v>709680</v>
      </c>
      <c r="O594" s="178">
        <v>689680</v>
      </c>
    </row>
    <row r="595" spans="1:15">
      <c r="A595" s="177">
        <v>8860</v>
      </c>
      <c r="B595" s="177">
        <v>8880</v>
      </c>
      <c r="C595" s="173">
        <v>8860000</v>
      </c>
      <c r="D595" s="174">
        <v>1158420</v>
      </c>
      <c r="E595" s="174">
        <v>1107770</v>
      </c>
      <c r="F595" s="174">
        <v>954040</v>
      </c>
      <c r="G595" s="174">
        <v>924040</v>
      </c>
      <c r="H595" s="174">
        <v>894040</v>
      </c>
      <c r="I595" s="175">
        <v>864040</v>
      </c>
      <c r="J595" s="174">
        <v>834040</v>
      </c>
      <c r="K595" s="174">
        <v>804040</v>
      </c>
      <c r="L595" s="174">
        <v>774040</v>
      </c>
      <c r="M595" s="174">
        <v>744040</v>
      </c>
      <c r="N595" s="174">
        <v>714040</v>
      </c>
      <c r="O595" s="178">
        <v>694040</v>
      </c>
    </row>
    <row r="596" spans="1:15">
      <c r="A596" s="177">
        <v>8880</v>
      </c>
      <c r="B596" s="177">
        <v>8900</v>
      </c>
      <c r="C596" s="173">
        <v>8880000</v>
      </c>
      <c r="D596" s="174">
        <v>1163100</v>
      </c>
      <c r="E596" s="174">
        <v>1112430</v>
      </c>
      <c r="F596" s="174">
        <v>958410</v>
      </c>
      <c r="G596" s="174">
        <v>928410</v>
      </c>
      <c r="H596" s="174">
        <v>898410</v>
      </c>
      <c r="I596" s="175">
        <v>868410</v>
      </c>
      <c r="J596" s="174">
        <v>838410</v>
      </c>
      <c r="K596" s="174">
        <v>808410</v>
      </c>
      <c r="L596" s="174">
        <v>778410</v>
      </c>
      <c r="M596" s="174">
        <v>748410</v>
      </c>
      <c r="N596" s="174">
        <v>718410</v>
      </c>
      <c r="O596" s="178">
        <v>698410</v>
      </c>
    </row>
    <row r="597" spans="1:15">
      <c r="A597" s="177">
        <v>8900</v>
      </c>
      <c r="B597" s="177">
        <v>8920</v>
      </c>
      <c r="C597" s="173">
        <v>8900000</v>
      </c>
      <c r="D597" s="174">
        <v>1167780</v>
      </c>
      <c r="E597" s="174">
        <v>1117080</v>
      </c>
      <c r="F597" s="174">
        <v>962780</v>
      </c>
      <c r="G597" s="174">
        <v>932780</v>
      </c>
      <c r="H597" s="174">
        <v>902780</v>
      </c>
      <c r="I597" s="175">
        <v>872780</v>
      </c>
      <c r="J597" s="174">
        <v>842780</v>
      </c>
      <c r="K597" s="174">
        <v>812780</v>
      </c>
      <c r="L597" s="174">
        <v>782780</v>
      </c>
      <c r="M597" s="174">
        <v>752780</v>
      </c>
      <c r="N597" s="174">
        <v>722780</v>
      </c>
      <c r="O597" s="178">
        <v>702780</v>
      </c>
    </row>
    <row r="598" spans="1:15">
      <c r="A598" s="177">
        <v>8920</v>
      </c>
      <c r="B598" s="177">
        <v>8940</v>
      </c>
      <c r="C598" s="173">
        <v>8920000</v>
      </c>
      <c r="D598" s="174">
        <v>1172460</v>
      </c>
      <c r="E598" s="174">
        <v>1121740</v>
      </c>
      <c r="F598" s="174">
        <v>967150</v>
      </c>
      <c r="G598" s="174">
        <v>937150</v>
      </c>
      <c r="H598" s="174">
        <v>907150</v>
      </c>
      <c r="I598" s="175">
        <v>877150</v>
      </c>
      <c r="J598" s="174">
        <v>847150</v>
      </c>
      <c r="K598" s="174">
        <v>817150</v>
      </c>
      <c r="L598" s="174">
        <v>787150</v>
      </c>
      <c r="M598" s="174">
        <v>757150</v>
      </c>
      <c r="N598" s="174">
        <v>727150</v>
      </c>
      <c r="O598" s="178">
        <v>707150</v>
      </c>
    </row>
    <row r="599" spans="1:15">
      <c r="A599" s="177">
        <v>8940</v>
      </c>
      <c r="B599" s="177">
        <v>8960</v>
      </c>
      <c r="C599" s="173">
        <v>8940000</v>
      </c>
      <c r="D599" s="174">
        <v>1177140</v>
      </c>
      <c r="E599" s="174">
        <v>1126400</v>
      </c>
      <c r="F599" s="174">
        <v>971520</v>
      </c>
      <c r="G599" s="174">
        <v>941520</v>
      </c>
      <c r="H599" s="174">
        <v>911520</v>
      </c>
      <c r="I599" s="175">
        <v>881520</v>
      </c>
      <c r="J599" s="174">
        <v>851520</v>
      </c>
      <c r="K599" s="174">
        <v>821520</v>
      </c>
      <c r="L599" s="174">
        <v>791520</v>
      </c>
      <c r="M599" s="174">
        <v>761520</v>
      </c>
      <c r="N599" s="174">
        <v>731520</v>
      </c>
      <c r="O599" s="178">
        <v>711520</v>
      </c>
    </row>
    <row r="600" spans="1:15">
      <c r="A600" s="177">
        <v>8960</v>
      </c>
      <c r="B600" s="177">
        <v>8980</v>
      </c>
      <c r="C600" s="173">
        <v>8960000</v>
      </c>
      <c r="D600" s="174">
        <v>1181820</v>
      </c>
      <c r="E600" s="174">
        <v>1131050</v>
      </c>
      <c r="F600" s="174">
        <v>975880</v>
      </c>
      <c r="G600" s="174">
        <v>945880</v>
      </c>
      <c r="H600" s="174">
        <v>915880</v>
      </c>
      <c r="I600" s="175">
        <v>885880</v>
      </c>
      <c r="J600" s="174">
        <v>855880</v>
      </c>
      <c r="K600" s="174">
        <v>825880</v>
      </c>
      <c r="L600" s="174">
        <v>795880</v>
      </c>
      <c r="M600" s="174">
        <v>765880</v>
      </c>
      <c r="N600" s="174">
        <v>735880</v>
      </c>
      <c r="O600" s="178">
        <v>715880</v>
      </c>
    </row>
    <row r="601" spans="1:15">
      <c r="A601" s="177">
        <v>8980</v>
      </c>
      <c r="B601" s="177">
        <v>9000</v>
      </c>
      <c r="C601" s="173">
        <v>8980000</v>
      </c>
      <c r="D601" s="174">
        <v>1186500</v>
      </c>
      <c r="E601" s="174">
        <v>1135710</v>
      </c>
      <c r="F601" s="174">
        <v>980250</v>
      </c>
      <c r="G601" s="174">
        <v>950250</v>
      </c>
      <c r="H601" s="174">
        <v>920250</v>
      </c>
      <c r="I601" s="175">
        <v>890250</v>
      </c>
      <c r="J601" s="174">
        <v>860250</v>
      </c>
      <c r="K601" s="174">
        <v>830250</v>
      </c>
      <c r="L601" s="174">
        <v>800250</v>
      </c>
      <c r="M601" s="174">
        <v>770250</v>
      </c>
      <c r="N601" s="174">
        <v>740250</v>
      </c>
      <c r="O601" s="178">
        <v>720250</v>
      </c>
    </row>
    <row r="602" spans="1:15">
      <c r="A602" s="177">
        <v>9000</v>
      </c>
      <c r="B602" s="177">
        <v>9020</v>
      </c>
      <c r="C602" s="173">
        <v>9000000</v>
      </c>
      <c r="D602" s="174">
        <v>1191180</v>
      </c>
      <c r="E602" s="174">
        <v>1140360</v>
      </c>
      <c r="F602" s="174">
        <v>984620</v>
      </c>
      <c r="G602" s="174">
        <v>954620</v>
      </c>
      <c r="H602" s="174">
        <v>924620</v>
      </c>
      <c r="I602" s="175">
        <v>894620</v>
      </c>
      <c r="J602" s="174">
        <v>864620</v>
      </c>
      <c r="K602" s="174">
        <v>834620</v>
      </c>
      <c r="L602" s="174">
        <v>804620</v>
      </c>
      <c r="M602" s="174">
        <v>774620</v>
      </c>
      <c r="N602" s="174">
        <v>744620</v>
      </c>
      <c r="O602" s="178">
        <v>724620</v>
      </c>
    </row>
    <row r="603" spans="1:15">
      <c r="A603" s="177">
        <v>9020</v>
      </c>
      <c r="B603" s="177">
        <v>9040</v>
      </c>
      <c r="C603" s="173">
        <v>9020000</v>
      </c>
      <c r="D603" s="174">
        <v>1195860</v>
      </c>
      <c r="E603" s="174">
        <v>1145020</v>
      </c>
      <c r="F603" s="174">
        <v>988990</v>
      </c>
      <c r="G603" s="174">
        <v>958990</v>
      </c>
      <c r="H603" s="174">
        <v>928990</v>
      </c>
      <c r="I603" s="175">
        <v>898990</v>
      </c>
      <c r="J603" s="174">
        <v>868990</v>
      </c>
      <c r="K603" s="174">
        <v>838990</v>
      </c>
      <c r="L603" s="174">
        <v>808990</v>
      </c>
      <c r="M603" s="174">
        <v>778990</v>
      </c>
      <c r="N603" s="174">
        <v>748990</v>
      </c>
      <c r="O603" s="178">
        <v>728990</v>
      </c>
    </row>
    <row r="604" spans="1:15">
      <c r="A604" s="177">
        <v>9040</v>
      </c>
      <c r="B604" s="177">
        <v>9060</v>
      </c>
      <c r="C604" s="173">
        <v>9040000</v>
      </c>
      <c r="D604" s="174">
        <v>1200540</v>
      </c>
      <c r="E604" s="174">
        <v>1149680</v>
      </c>
      <c r="F604" s="174">
        <v>993360</v>
      </c>
      <c r="G604" s="174">
        <v>963360</v>
      </c>
      <c r="H604" s="174">
        <v>933360</v>
      </c>
      <c r="I604" s="175">
        <v>903360</v>
      </c>
      <c r="J604" s="174">
        <v>873360</v>
      </c>
      <c r="K604" s="174">
        <v>843360</v>
      </c>
      <c r="L604" s="174">
        <v>813360</v>
      </c>
      <c r="M604" s="174">
        <v>783360</v>
      </c>
      <c r="N604" s="174">
        <v>753360</v>
      </c>
      <c r="O604" s="178">
        <v>733360</v>
      </c>
    </row>
    <row r="605" spans="1:15">
      <c r="A605" s="177">
        <v>9060</v>
      </c>
      <c r="B605" s="177">
        <v>9080</v>
      </c>
      <c r="C605" s="173">
        <v>9060000</v>
      </c>
      <c r="D605" s="174">
        <v>1205220</v>
      </c>
      <c r="E605" s="174">
        <v>1154330</v>
      </c>
      <c r="F605" s="174">
        <v>997720</v>
      </c>
      <c r="G605" s="174">
        <v>967720</v>
      </c>
      <c r="H605" s="174">
        <v>937720</v>
      </c>
      <c r="I605" s="175">
        <v>907720</v>
      </c>
      <c r="J605" s="174">
        <v>877720</v>
      </c>
      <c r="K605" s="174">
        <v>847720</v>
      </c>
      <c r="L605" s="174">
        <v>817720</v>
      </c>
      <c r="M605" s="174">
        <v>787720</v>
      </c>
      <c r="N605" s="174">
        <v>757720</v>
      </c>
      <c r="O605" s="178">
        <v>737720</v>
      </c>
    </row>
    <row r="606" spans="1:15">
      <c r="A606" s="177">
        <v>9080</v>
      </c>
      <c r="B606" s="177">
        <v>9100</v>
      </c>
      <c r="C606" s="173">
        <v>9080000</v>
      </c>
      <c r="D606" s="174">
        <v>1209900</v>
      </c>
      <c r="E606" s="174">
        <v>1158990</v>
      </c>
      <c r="F606" s="174">
        <v>1002090</v>
      </c>
      <c r="G606" s="174">
        <v>972090</v>
      </c>
      <c r="H606" s="174">
        <v>942090</v>
      </c>
      <c r="I606" s="175">
        <v>912090</v>
      </c>
      <c r="J606" s="174">
        <v>882090</v>
      </c>
      <c r="K606" s="174">
        <v>852090</v>
      </c>
      <c r="L606" s="174">
        <v>822090</v>
      </c>
      <c r="M606" s="174">
        <v>792090</v>
      </c>
      <c r="N606" s="174">
        <v>762090</v>
      </c>
      <c r="O606" s="178">
        <v>742090</v>
      </c>
    </row>
    <row r="607" spans="1:15">
      <c r="A607" s="177">
        <v>9100</v>
      </c>
      <c r="B607" s="177">
        <v>9120</v>
      </c>
      <c r="C607" s="173">
        <v>9100000</v>
      </c>
      <c r="D607" s="174">
        <v>1214580</v>
      </c>
      <c r="E607" s="174">
        <v>1163640</v>
      </c>
      <c r="F607" s="174">
        <v>1006460</v>
      </c>
      <c r="G607" s="174">
        <v>976460</v>
      </c>
      <c r="H607" s="174">
        <v>946460</v>
      </c>
      <c r="I607" s="175">
        <v>916460</v>
      </c>
      <c r="J607" s="174">
        <v>886460</v>
      </c>
      <c r="K607" s="174">
        <v>856460</v>
      </c>
      <c r="L607" s="174">
        <v>826460</v>
      </c>
      <c r="M607" s="174">
        <v>796460</v>
      </c>
      <c r="N607" s="174">
        <v>766460</v>
      </c>
      <c r="O607" s="178">
        <v>746460</v>
      </c>
    </row>
    <row r="608" spans="1:15">
      <c r="A608" s="177">
        <v>9120</v>
      </c>
      <c r="B608" s="177">
        <v>9140</v>
      </c>
      <c r="C608" s="173">
        <v>9120000</v>
      </c>
      <c r="D608" s="174">
        <v>1219260</v>
      </c>
      <c r="E608" s="174">
        <v>1168300</v>
      </c>
      <c r="F608" s="174">
        <v>1010830</v>
      </c>
      <c r="G608" s="174">
        <v>980830</v>
      </c>
      <c r="H608" s="174">
        <v>950830</v>
      </c>
      <c r="I608" s="175">
        <v>920830</v>
      </c>
      <c r="J608" s="174">
        <v>890830</v>
      </c>
      <c r="K608" s="174">
        <v>860830</v>
      </c>
      <c r="L608" s="174">
        <v>830830</v>
      </c>
      <c r="M608" s="174">
        <v>800830</v>
      </c>
      <c r="N608" s="174">
        <v>770830</v>
      </c>
      <c r="O608" s="178">
        <v>750830</v>
      </c>
    </row>
    <row r="609" spans="1:15">
      <c r="A609" s="177">
        <v>9140</v>
      </c>
      <c r="B609" s="177">
        <v>9160</v>
      </c>
      <c r="C609" s="173">
        <v>9140000</v>
      </c>
      <c r="D609" s="174">
        <v>1223940</v>
      </c>
      <c r="E609" s="174">
        <v>1172960</v>
      </c>
      <c r="F609" s="174">
        <v>1015200</v>
      </c>
      <c r="G609" s="174">
        <v>985200</v>
      </c>
      <c r="H609" s="174">
        <v>955200</v>
      </c>
      <c r="I609" s="175">
        <v>925200</v>
      </c>
      <c r="J609" s="174">
        <v>895200</v>
      </c>
      <c r="K609" s="174">
        <v>865200</v>
      </c>
      <c r="L609" s="174">
        <v>835200</v>
      </c>
      <c r="M609" s="174">
        <v>805200</v>
      </c>
      <c r="N609" s="174">
        <v>775200</v>
      </c>
      <c r="O609" s="178">
        <v>755200</v>
      </c>
    </row>
    <row r="610" spans="1:15">
      <c r="A610" s="177">
        <v>9160</v>
      </c>
      <c r="B610" s="177">
        <v>9180</v>
      </c>
      <c r="C610" s="173">
        <v>9160000</v>
      </c>
      <c r="D610" s="174">
        <v>1228620</v>
      </c>
      <c r="E610" s="174">
        <v>1177610</v>
      </c>
      <c r="F610" s="174">
        <v>1019560</v>
      </c>
      <c r="G610" s="174">
        <v>989560</v>
      </c>
      <c r="H610" s="174">
        <v>959560</v>
      </c>
      <c r="I610" s="175">
        <v>929560</v>
      </c>
      <c r="J610" s="174">
        <v>899560</v>
      </c>
      <c r="K610" s="174">
        <v>869560</v>
      </c>
      <c r="L610" s="174">
        <v>839560</v>
      </c>
      <c r="M610" s="174">
        <v>809560</v>
      </c>
      <c r="N610" s="174">
        <v>779560</v>
      </c>
      <c r="O610" s="178">
        <v>759560</v>
      </c>
    </row>
    <row r="611" spans="1:15">
      <c r="A611" s="177">
        <v>9180</v>
      </c>
      <c r="B611" s="177">
        <v>9200</v>
      </c>
      <c r="C611" s="173">
        <v>9180000</v>
      </c>
      <c r="D611" s="174">
        <v>1233300</v>
      </c>
      <c r="E611" s="174">
        <v>1182270</v>
      </c>
      <c r="F611" s="174">
        <v>1023930</v>
      </c>
      <c r="G611" s="174">
        <v>993930</v>
      </c>
      <c r="H611" s="174">
        <v>963930</v>
      </c>
      <c r="I611" s="175">
        <v>933930</v>
      </c>
      <c r="J611" s="174">
        <v>903930</v>
      </c>
      <c r="K611" s="174">
        <v>873930</v>
      </c>
      <c r="L611" s="174">
        <v>843930</v>
      </c>
      <c r="M611" s="174">
        <v>813930</v>
      </c>
      <c r="N611" s="174">
        <v>783930</v>
      </c>
      <c r="O611" s="178">
        <v>763930</v>
      </c>
    </row>
    <row r="612" spans="1:15">
      <c r="A612" s="177">
        <v>9200</v>
      </c>
      <c r="B612" s="177">
        <v>9220</v>
      </c>
      <c r="C612" s="173">
        <v>9200000</v>
      </c>
      <c r="D612" s="174">
        <v>1237980</v>
      </c>
      <c r="E612" s="174">
        <v>1186920</v>
      </c>
      <c r="F612" s="174">
        <v>1028300</v>
      </c>
      <c r="G612" s="174">
        <v>998300</v>
      </c>
      <c r="H612" s="174">
        <v>968300</v>
      </c>
      <c r="I612" s="175">
        <v>938300</v>
      </c>
      <c r="J612" s="174">
        <v>908300</v>
      </c>
      <c r="K612" s="174">
        <v>878300</v>
      </c>
      <c r="L612" s="174">
        <v>848300</v>
      </c>
      <c r="M612" s="174">
        <v>818300</v>
      </c>
      <c r="N612" s="174">
        <v>788300</v>
      </c>
      <c r="O612" s="178">
        <v>768300</v>
      </c>
    </row>
    <row r="613" spans="1:15">
      <c r="A613" s="177">
        <v>9220</v>
      </c>
      <c r="B613" s="177">
        <v>9240</v>
      </c>
      <c r="C613" s="173">
        <v>9220000</v>
      </c>
      <c r="D613" s="174">
        <v>1244640</v>
      </c>
      <c r="E613" s="174">
        <v>1191580</v>
      </c>
      <c r="F613" s="174">
        <v>1032670</v>
      </c>
      <c r="G613" s="174">
        <v>1002670</v>
      </c>
      <c r="H613" s="174">
        <v>972670</v>
      </c>
      <c r="I613" s="175">
        <v>942670</v>
      </c>
      <c r="J613" s="174">
        <v>912670</v>
      </c>
      <c r="K613" s="174">
        <v>882670</v>
      </c>
      <c r="L613" s="174">
        <v>852670</v>
      </c>
      <c r="M613" s="174">
        <v>822670</v>
      </c>
      <c r="N613" s="174">
        <v>792670</v>
      </c>
      <c r="O613" s="178">
        <v>772670</v>
      </c>
    </row>
    <row r="614" spans="1:15">
      <c r="A614" s="177">
        <v>9240</v>
      </c>
      <c r="B614" s="177">
        <v>9260</v>
      </c>
      <c r="C614" s="173">
        <v>9240000</v>
      </c>
      <c r="D614" s="174">
        <v>1251470</v>
      </c>
      <c r="E614" s="174">
        <v>1196240</v>
      </c>
      <c r="F614" s="174">
        <v>1037040</v>
      </c>
      <c r="G614" s="174">
        <v>1007040</v>
      </c>
      <c r="H614" s="174">
        <v>977040</v>
      </c>
      <c r="I614" s="175">
        <v>947040</v>
      </c>
      <c r="J614" s="174">
        <v>917040</v>
      </c>
      <c r="K614" s="174">
        <v>887040</v>
      </c>
      <c r="L614" s="174">
        <v>857040</v>
      </c>
      <c r="M614" s="174">
        <v>827040</v>
      </c>
      <c r="N614" s="174">
        <v>797040</v>
      </c>
      <c r="O614" s="178">
        <v>777040</v>
      </c>
    </row>
    <row r="615" spans="1:15">
      <c r="A615" s="177">
        <v>9260</v>
      </c>
      <c r="B615" s="177">
        <v>9280</v>
      </c>
      <c r="C615" s="173">
        <v>9260000</v>
      </c>
      <c r="D615" s="174">
        <v>1258290</v>
      </c>
      <c r="E615" s="174">
        <v>1200890</v>
      </c>
      <c r="F615" s="174">
        <v>1041400</v>
      </c>
      <c r="G615" s="174">
        <v>1011400</v>
      </c>
      <c r="H615" s="174">
        <v>981400</v>
      </c>
      <c r="I615" s="175">
        <v>951400</v>
      </c>
      <c r="J615" s="174">
        <v>921400</v>
      </c>
      <c r="K615" s="174">
        <v>891400</v>
      </c>
      <c r="L615" s="174">
        <v>861400</v>
      </c>
      <c r="M615" s="174">
        <v>831400</v>
      </c>
      <c r="N615" s="174">
        <v>801400</v>
      </c>
      <c r="O615" s="178">
        <v>781400</v>
      </c>
    </row>
    <row r="616" spans="1:15">
      <c r="A616" s="177">
        <v>9280</v>
      </c>
      <c r="B616" s="177">
        <v>9300</v>
      </c>
      <c r="C616" s="173">
        <v>9280000</v>
      </c>
      <c r="D616" s="174">
        <v>1265120</v>
      </c>
      <c r="E616" s="174">
        <v>1205550</v>
      </c>
      <c r="F616" s="174">
        <v>1045770</v>
      </c>
      <c r="G616" s="174">
        <v>1015770</v>
      </c>
      <c r="H616" s="174">
        <v>985770</v>
      </c>
      <c r="I616" s="175">
        <v>955770</v>
      </c>
      <c r="J616" s="174">
        <v>925770</v>
      </c>
      <c r="K616" s="174">
        <v>895770</v>
      </c>
      <c r="L616" s="174">
        <v>865770</v>
      </c>
      <c r="M616" s="174">
        <v>835770</v>
      </c>
      <c r="N616" s="174">
        <v>805770</v>
      </c>
      <c r="O616" s="178">
        <v>785770</v>
      </c>
    </row>
    <row r="617" spans="1:15">
      <c r="A617" s="177">
        <v>9300</v>
      </c>
      <c r="B617" s="177">
        <v>9320</v>
      </c>
      <c r="C617" s="173">
        <v>9300000</v>
      </c>
      <c r="D617" s="174">
        <v>1271940</v>
      </c>
      <c r="E617" s="174">
        <v>1210200</v>
      </c>
      <c r="F617" s="174">
        <v>1050140</v>
      </c>
      <c r="G617" s="174">
        <v>1020140</v>
      </c>
      <c r="H617" s="174">
        <v>990140</v>
      </c>
      <c r="I617" s="175">
        <v>960140</v>
      </c>
      <c r="J617" s="174">
        <v>930140</v>
      </c>
      <c r="K617" s="174">
        <v>900140</v>
      </c>
      <c r="L617" s="174">
        <v>870140</v>
      </c>
      <c r="M617" s="174">
        <v>840140</v>
      </c>
      <c r="N617" s="174">
        <v>810140</v>
      </c>
      <c r="O617" s="178">
        <v>790140</v>
      </c>
    </row>
    <row r="618" spans="1:15">
      <c r="A618" s="177">
        <v>9320</v>
      </c>
      <c r="B618" s="177">
        <v>9340</v>
      </c>
      <c r="C618" s="173">
        <v>9320000</v>
      </c>
      <c r="D618" s="174">
        <v>1278770</v>
      </c>
      <c r="E618" s="174">
        <v>1214860</v>
      </c>
      <c r="F618" s="174">
        <v>1054510</v>
      </c>
      <c r="G618" s="174">
        <v>1024510</v>
      </c>
      <c r="H618" s="174">
        <v>994510</v>
      </c>
      <c r="I618" s="175">
        <v>964510</v>
      </c>
      <c r="J618" s="174">
        <v>934510</v>
      </c>
      <c r="K618" s="174">
        <v>904510</v>
      </c>
      <c r="L618" s="174">
        <v>874510</v>
      </c>
      <c r="M618" s="174">
        <v>844510</v>
      </c>
      <c r="N618" s="174">
        <v>814510</v>
      </c>
      <c r="O618" s="178">
        <v>794510</v>
      </c>
    </row>
    <row r="619" spans="1:15">
      <c r="A619" s="177">
        <v>9340</v>
      </c>
      <c r="B619" s="177">
        <v>9360</v>
      </c>
      <c r="C619" s="173">
        <v>9340000</v>
      </c>
      <c r="D619" s="174">
        <v>1285590</v>
      </c>
      <c r="E619" s="174">
        <v>1219520</v>
      </c>
      <c r="F619" s="174">
        <v>1058880</v>
      </c>
      <c r="G619" s="174">
        <v>1028880</v>
      </c>
      <c r="H619" s="174">
        <v>998880</v>
      </c>
      <c r="I619" s="175">
        <v>968880</v>
      </c>
      <c r="J619" s="174">
        <v>938880</v>
      </c>
      <c r="K619" s="174">
        <v>908880</v>
      </c>
      <c r="L619" s="174">
        <v>878880</v>
      </c>
      <c r="M619" s="174">
        <v>848880</v>
      </c>
      <c r="N619" s="174">
        <v>818880</v>
      </c>
      <c r="O619" s="178">
        <v>798880</v>
      </c>
    </row>
    <row r="620" spans="1:15">
      <c r="A620" s="177">
        <v>9360</v>
      </c>
      <c r="B620" s="177">
        <v>9380</v>
      </c>
      <c r="C620" s="173">
        <v>9360000</v>
      </c>
      <c r="D620" s="174">
        <v>1292420</v>
      </c>
      <c r="E620" s="174">
        <v>1224170</v>
      </c>
      <c r="F620" s="174">
        <v>1063240</v>
      </c>
      <c r="G620" s="174">
        <v>1033240</v>
      </c>
      <c r="H620" s="174">
        <v>1003240</v>
      </c>
      <c r="I620" s="175">
        <v>973240</v>
      </c>
      <c r="J620" s="174">
        <v>943240</v>
      </c>
      <c r="K620" s="174">
        <v>913240</v>
      </c>
      <c r="L620" s="174">
        <v>883240</v>
      </c>
      <c r="M620" s="174">
        <v>853240</v>
      </c>
      <c r="N620" s="174">
        <v>823240</v>
      </c>
      <c r="O620" s="178">
        <v>803240</v>
      </c>
    </row>
    <row r="621" spans="1:15">
      <c r="A621" s="177">
        <v>9380</v>
      </c>
      <c r="B621" s="177">
        <v>9400</v>
      </c>
      <c r="C621" s="173">
        <v>9380000</v>
      </c>
      <c r="D621" s="174">
        <v>1299240</v>
      </c>
      <c r="E621" s="174">
        <v>1228830</v>
      </c>
      <c r="F621" s="174">
        <v>1067610</v>
      </c>
      <c r="G621" s="174">
        <v>1037610</v>
      </c>
      <c r="H621" s="174">
        <v>1007610</v>
      </c>
      <c r="I621" s="175">
        <v>977610</v>
      </c>
      <c r="J621" s="174">
        <v>947610</v>
      </c>
      <c r="K621" s="174">
        <v>917610</v>
      </c>
      <c r="L621" s="174">
        <v>887610</v>
      </c>
      <c r="M621" s="174">
        <v>857610</v>
      </c>
      <c r="N621" s="174">
        <v>827610</v>
      </c>
      <c r="O621" s="178">
        <v>807610</v>
      </c>
    </row>
    <row r="622" spans="1:15">
      <c r="A622" s="177">
        <v>9400</v>
      </c>
      <c r="B622" s="177">
        <v>9420</v>
      </c>
      <c r="C622" s="173">
        <v>9400000</v>
      </c>
      <c r="D622" s="174">
        <v>1306070</v>
      </c>
      <c r="E622" s="174">
        <v>1233480</v>
      </c>
      <c r="F622" s="174">
        <v>1071980</v>
      </c>
      <c r="G622" s="174">
        <v>1041980</v>
      </c>
      <c r="H622" s="174">
        <v>1011980</v>
      </c>
      <c r="I622" s="175">
        <v>981980</v>
      </c>
      <c r="J622" s="174">
        <v>951980</v>
      </c>
      <c r="K622" s="174">
        <v>921980</v>
      </c>
      <c r="L622" s="174">
        <v>891980</v>
      </c>
      <c r="M622" s="174">
        <v>861980</v>
      </c>
      <c r="N622" s="174">
        <v>831980</v>
      </c>
      <c r="O622" s="178">
        <v>811980</v>
      </c>
    </row>
    <row r="623" spans="1:15">
      <c r="A623" s="177">
        <v>9420</v>
      </c>
      <c r="B623" s="177">
        <v>9440</v>
      </c>
      <c r="C623" s="173">
        <v>9420000</v>
      </c>
      <c r="D623" s="174">
        <v>1312890</v>
      </c>
      <c r="E623" s="174">
        <v>1238140</v>
      </c>
      <c r="F623" s="174">
        <v>1076350</v>
      </c>
      <c r="G623" s="174">
        <v>1046350</v>
      </c>
      <c r="H623" s="174">
        <v>1016350</v>
      </c>
      <c r="I623" s="175">
        <v>986350</v>
      </c>
      <c r="J623" s="174">
        <v>956350</v>
      </c>
      <c r="K623" s="174">
        <v>926350</v>
      </c>
      <c r="L623" s="174">
        <v>896350</v>
      </c>
      <c r="M623" s="174">
        <v>866350</v>
      </c>
      <c r="N623" s="174">
        <v>836350</v>
      </c>
      <c r="O623" s="178">
        <v>816350</v>
      </c>
    </row>
    <row r="624" spans="1:15">
      <c r="A624" s="177">
        <v>9440</v>
      </c>
      <c r="B624" s="177">
        <v>9460</v>
      </c>
      <c r="C624" s="173">
        <v>9440000</v>
      </c>
      <c r="D624" s="174">
        <v>1319720</v>
      </c>
      <c r="E624" s="174">
        <v>1244840</v>
      </c>
      <c r="F624" s="174">
        <v>1080720</v>
      </c>
      <c r="G624" s="174">
        <v>1050720</v>
      </c>
      <c r="H624" s="174">
        <v>1020720</v>
      </c>
      <c r="I624" s="175">
        <v>990720</v>
      </c>
      <c r="J624" s="174">
        <v>960720</v>
      </c>
      <c r="K624" s="174">
        <v>930720</v>
      </c>
      <c r="L624" s="174">
        <v>900720</v>
      </c>
      <c r="M624" s="174">
        <v>870720</v>
      </c>
      <c r="N624" s="174">
        <v>840720</v>
      </c>
      <c r="O624" s="178">
        <v>820720</v>
      </c>
    </row>
    <row r="625" spans="1:15">
      <c r="A625" s="177">
        <v>9460</v>
      </c>
      <c r="B625" s="177">
        <v>9480</v>
      </c>
      <c r="C625" s="173">
        <v>9460000</v>
      </c>
      <c r="D625" s="174">
        <v>1326540</v>
      </c>
      <c r="E625" s="174">
        <v>1251630</v>
      </c>
      <c r="F625" s="174">
        <v>1085080</v>
      </c>
      <c r="G625" s="174">
        <v>1055080</v>
      </c>
      <c r="H625" s="174">
        <v>1025080</v>
      </c>
      <c r="I625" s="175">
        <v>995080</v>
      </c>
      <c r="J625" s="174">
        <v>965080</v>
      </c>
      <c r="K625" s="174">
        <v>935080</v>
      </c>
      <c r="L625" s="174">
        <v>905080</v>
      </c>
      <c r="M625" s="174">
        <v>875080</v>
      </c>
      <c r="N625" s="174">
        <v>845080</v>
      </c>
      <c r="O625" s="178">
        <v>825080</v>
      </c>
    </row>
    <row r="626" spans="1:15">
      <c r="A626" s="177">
        <v>9480</v>
      </c>
      <c r="B626" s="177">
        <v>9500</v>
      </c>
      <c r="C626" s="173">
        <v>9480000</v>
      </c>
      <c r="D626" s="174">
        <v>1333370</v>
      </c>
      <c r="E626" s="174">
        <v>1258420</v>
      </c>
      <c r="F626" s="174">
        <v>1089450</v>
      </c>
      <c r="G626" s="174">
        <v>1059450</v>
      </c>
      <c r="H626" s="174">
        <v>1029450</v>
      </c>
      <c r="I626" s="175">
        <v>999450</v>
      </c>
      <c r="J626" s="174">
        <v>969450</v>
      </c>
      <c r="K626" s="174">
        <v>939450</v>
      </c>
      <c r="L626" s="174">
        <v>909450</v>
      </c>
      <c r="M626" s="174">
        <v>879450</v>
      </c>
      <c r="N626" s="174">
        <v>849450</v>
      </c>
      <c r="O626" s="178">
        <v>829450</v>
      </c>
    </row>
    <row r="627" spans="1:15">
      <c r="A627" s="177">
        <v>9500</v>
      </c>
      <c r="B627" s="177">
        <v>9520</v>
      </c>
      <c r="C627" s="173">
        <v>9500000</v>
      </c>
      <c r="D627" s="174">
        <v>1340190</v>
      </c>
      <c r="E627" s="174">
        <v>1265210</v>
      </c>
      <c r="F627" s="174">
        <v>1093820</v>
      </c>
      <c r="G627" s="174">
        <v>1063820</v>
      </c>
      <c r="H627" s="174">
        <v>1033820</v>
      </c>
      <c r="I627" s="175">
        <v>1003820</v>
      </c>
      <c r="J627" s="174">
        <v>973820</v>
      </c>
      <c r="K627" s="174">
        <v>943820</v>
      </c>
      <c r="L627" s="174">
        <v>913820</v>
      </c>
      <c r="M627" s="174">
        <v>883820</v>
      </c>
      <c r="N627" s="174">
        <v>853820</v>
      </c>
      <c r="O627" s="178">
        <v>833820</v>
      </c>
    </row>
    <row r="628" spans="1:15">
      <c r="A628" s="177">
        <v>9520</v>
      </c>
      <c r="B628" s="177">
        <v>9540</v>
      </c>
      <c r="C628" s="173">
        <v>9520000</v>
      </c>
      <c r="D628" s="174">
        <v>1347020</v>
      </c>
      <c r="E628" s="174">
        <v>1272000</v>
      </c>
      <c r="F628" s="174">
        <v>1098190</v>
      </c>
      <c r="G628" s="174">
        <v>1068190</v>
      </c>
      <c r="H628" s="174">
        <v>1038190</v>
      </c>
      <c r="I628" s="175">
        <v>1008190</v>
      </c>
      <c r="J628" s="174">
        <v>978190</v>
      </c>
      <c r="K628" s="174">
        <v>948190</v>
      </c>
      <c r="L628" s="174">
        <v>918190</v>
      </c>
      <c r="M628" s="174">
        <v>888190</v>
      </c>
      <c r="N628" s="174">
        <v>858190</v>
      </c>
      <c r="O628" s="178">
        <v>838190</v>
      </c>
    </row>
    <row r="629" spans="1:15">
      <c r="A629" s="177">
        <v>9540</v>
      </c>
      <c r="B629" s="177">
        <v>9560</v>
      </c>
      <c r="C629" s="173">
        <v>9540000</v>
      </c>
      <c r="D629" s="174">
        <v>1353840</v>
      </c>
      <c r="E629" s="174">
        <v>1278790</v>
      </c>
      <c r="F629" s="174">
        <v>1102560</v>
      </c>
      <c r="G629" s="174">
        <v>1072560</v>
      </c>
      <c r="H629" s="174">
        <v>1042560</v>
      </c>
      <c r="I629" s="175">
        <v>1012560</v>
      </c>
      <c r="J629" s="174">
        <v>982560</v>
      </c>
      <c r="K629" s="174">
        <v>952560</v>
      </c>
      <c r="L629" s="174">
        <v>922560</v>
      </c>
      <c r="M629" s="174">
        <v>892560</v>
      </c>
      <c r="N629" s="174">
        <v>862560</v>
      </c>
      <c r="O629" s="178">
        <v>842560</v>
      </c>
    </row>
    <row r="630" spans="1:15">
      <c r="A630" s="177">
        <v>9560</v>
      </c>
      <c r="B630" s="177">
        <v>9580</v>
      </c>
      <c r="C630" s="173">
        <v>9560000</v>
      </c>
      <c r="D630" s="174">
        <v>1360670</v>
      </c>
      <c r="E630" s="174">
        <v>1285580</v>
      </c>
      <c r="F630" s="174">
        <v>1106920</v>
      </c>
      <c r="G630" s="174">
        <v>1076920</v>
      </c>
      <c r="H630" s="174">
        <v>1046920</v>
      </c>
      <c r="I630" s="175">
        <v>1016920</v>
      </c>
      <c r="J630" s="174">
        <v>986920</v>
      </c>
      <c r="K630" s="174">
        <v>956920</v>
      </c>
      <c r="L630" s="174">
        <v>926920</v>
      </c>
      <c r="M630" s="174">
        <v>896920</v>
      </c>
      <c r="N630" s="174">
        <v>866920</v>
      </c>
      <c r="O630" s="178">
        <v>846920</v>
      </c>
    </row>
    <row r="631" spans="1:15">
      <c r="A631" s="177">
        <v>9580</v>
      </c>
      <c r="B631" s="177">
        <v>9600</v>
      </c>
      <c r="C631" s="173">
        <v>9580000</v>
      </c>
      <c r="D631" s="174">
        <v>1367490</v>
      </c>
      <c r="E631" s="174">
        <v>1292370</v>
      </c>
      <c r="F631" s="174">
        <v>1111290</v>
      </c>
      <c r="G631" s="174">
        <v>1081290</v>
      </c>
      <c r="H631" s="174">
        <v>1051290</v>
      </c>
      <c r="I631" s="175">
        <v>1021290</v>
      </c>
      <c r="J631" s="174">
        <v>991290</v>
      </c>
      <c r="K631" s="174">
        <v>961290</v>
      </c>
      <c r="L631" s="174">
        <v>931290</v>
      </c>
      <c r="M631" s="174">
        <v>901290</v>
      </c>
      <c r="N631" s="174">
        <v>871290</v>
      </c>
      <c r="O631" s="178">
        <v>851290</v>
      </c>
    </row>
    <row r="632" spans="1:15">
      <c r="A632" s="177">
        <v>9600</v>
      </c>
      <c r="B632" s="177">
        <v>9620</v>
      </c>
      <c r="C632" s="173">
        <v>9600000</v>
      </c>
      <c r="D632" s="174">
        <v>1374320</v>
      </c>
      <c r="E632" s="174">
        <v>1299160</v>
      </c>
      <c r="F632" s="174">
        <v>1115660</v>
      </c>
      <c r="G632" s="174">
        <v>1085660</v>
      </c>
      <c r="H632" s="174">
        <v>1055660</v>
      </c>
      <c r="I632" s="175">
        <v>1025660</v>
      </c>
      <c r="J632" s="174">
        <v>995660</v>
      </c>
      <c r="K632" s="174">
        <v>965660</v>
      </c>
      <c r="L632" s="174">
        <v>935660</v>
      </c>
      <c r="M632" s="174">
        <v>905660</v>
      </c>
      <c r="N632" s="174">
        <v>875660</v>
      </c>
      <c r="O632" s="178">
        <v>855660</v>
      </c>
    </row>
    <row r="633" spans="1:15">
      <c r="A633" s="177">
        <v>9620</v>
      </c>
      <c r="B633" s="177">
        <v>9640</v>
      </c>
      <c r="C633" s="173">
        <v>9620000</v>
      </c>
      <c r="D633" s="174">
        <v>1381140</v>
      </c>
      <c r="E633" s="174">
        <v>1305950</v>
      </c>
      <c r="F633" s="174">
        <v>1120030</v>
      </c>
      <c r="G633" s="174">
        <v>1090030</v>
      </c>
      <c r="H633" s="174">
        <v>1060030</v>
      </c>
      <c r="I633" s="175">
        <v>1030030</v>
      </c>
      <c r="J633" s="174">
        <v>1000030</v>
      </c>
      <c r="K633" s="174">
        <v>970030</v>
      </c>
      <c r="L633" s="174">
        <v>940030</v>
      </c>
      <c r="M633" s="174">
        <v>910030</v>
      </c>
      <c r="N633" s="174">
        <v>880030</v>
      </c>
      <c r="O633" s="178">
        <v>860030</v>
      </c>
    </row>
    <row r="634" spans="1:15">
      <c r="A634" s="177">
        <v>9640</v>
      </c>
      <c r="B634" s="177">
        <v>9660</v>
      </c>
      <c r="C634" s="173">
        <v>9640000</v>
      </c>
      <c r="D634" s="174">
        <v>1387970</v>
      </c>
      <c r="E634" s="174">
        <v>1312740</v>
      </c>
      <c r="F634" s="174">
        <v>1124400</v>
      </c>
      <c r="G634" s="174">
        <v>1094400</v>
      </c>
      <c r="H634" s="174">
        <v>1064400</v>
      </c>
      <c r="I634" s="175">
        <v>1034400</v>
      </c>
      <c r="J634" s="174">
        <v>1004400</v>
      </c>
      <c r="K634" s="174">
        <v>974400</v>
      </c>
      <c r="L634" s="174">
        <v>944400</v>
      </c>
      <c r="M634" s="174">
        <v>914400</v>
      </c>
      <c r="N634" s="174">
        <v>884400</v>
      </c>
      <c r="O634" s="178">
        <v>864400</v>
      </c>
    </row>
    <row r="635" spans="1:15">
      <c r="A635" s="177">
        <v>9660</v>
      </c>
      <c r="B635" s="177">
        <v>9680</v>
      </c>
      <c r="C635" s="173">
        <v>9660000</v>
      </c>
      <c r="D635" s="174">
        <v>1394790</v>
      </c>
      <c r="E635" s="174">
        <v>1319530</v>
      </c>
      <c r="F635" s="174">
        <v>1128760</v>
      </c>
      <c r="G635" s="174">
        <v>1098760</v>
      </c>
      <c r="H635" s="174">
        <v>1068760</v>
      </c>
      <c r="I635" s="175">
        <v>1038760</v>
      </c>
      <c r="J635" s="174">
        <v>1008760</v>
      </c>
      <c r="K635" s="174">
        <v>978760</v>
      </c>
      <c r="L635" s="174">
        <v>948760</v>
      </c>
      <c r="M635" s="174">
        <v>918760</v>
      </c>
      <c r="N635" s="174">
        <v>888760</v>
      </c>
      <c r="O635" s="178">
        <v>868760</v>
      </c>
    </row>
    <row r="636" spans="1:15">
      <c r="A636" s="177">
        <v>9680</v>
      </c>
      <c r="B636" s="177">
        <v>9700</v>
      </c>
      <c r="C636" s="173">
        <v>9680000</v>
      </c>
      <c r="D636" s="174">
        <v>1401620</v>
      </c>
      <c r="E636" s="174">
        <v>1326320</v>
      </c>
      <c r="F636" s="174">
        <v>1133130</v>
      </c>
      <c r="G636" s="174">
        <v>1103130</v>
      </c>
      <c r="H636" s="174">
        <v>1073130</v>
      </c>
      <c r="I636" s="175">
        <v>1043130</v>
      </c>
      <c r="J636" s="174">
        <v>1013130</v>
      </c>
      <c r="K636" s="174">
        <v>983130</v>
      </c>
      <c r="L636" s="174">
        <v>953130</v>
      </c>
      <c r="M636" s="174">
        <v>923130</v>
      </c>
      <c r="N636" s="174">
        <v>893130</v>
      </c>
      <c r="O636" s="178">
        <v>873130</v>
      </c>
    </row>
    <row r="637" spans="1:15">
      <c r="A637" s="177">
        <v>9700</v>
      </c>
      <c r="B637" s="177">
        <v>9720</v>
      </c>
      <c r="C637" s="173">
        <v>9700000</v>
      </c>
      <c r="D637" s="174">
        <v>1408440</v>
      </c>
      <c r="E637" s="174">
        <v>1333110</v>
      </c>
      <c r="F637" s="174">
        <v>1137500</v>
      </c>
      <c r="G637" s="174">
        <v>1107500</v>
      </c>
      <c r="H637" s="174">
        <v>1077500</v>
      </c>
      <c r="I637" s="175">
        <v>1047500</v>
      </c>
      <c r="J637" s="174">
        <v>1017500</v>
      </c>
      <c r="K637" s="174">
        <v>987500</v>
      </c>
      <c r="L637" s="174">
        <v>957500</v>
      </c>
      <c r="M637" s="174">
        <v>927500</v>
      </c>
      <c r="N637" s="174">
        <v>897500</v>
      </c>
      <c r="O637" s="178">
        <v>877500</v>
      </c>
    </row>
    <row r="638" spans="1:15">
      <c r="A638" s="177">
        <v>9720</v>
      </c>
      <c r="B638" s="177">
        <v>9740</v>
      </c>
      <c r="C638" s="173">
        <v>9720000</v>
      </c>
      <c r="D638" s="174">
        <v>1415270</v>
      </c>
      <c r="E638" s="174">
        <v>1339900</v>
      </c>
      <c r="F638" s="174">
        <v>1141870</v>
      </c>
      <c r="G638" s="174">
        <v>1111870</v>
      </c>
      <c r="H638" s="174">
        <v>1081870</v>
      </c>
      <c r="I638" s="175">
        <v>1051870</v>
      </c>
      <c r="J638" s="174">
        <v>1021870</v>
      </c>
      <c r="K638" s="174">
        <v>991870</v>
      </c>
      <c r="L638" s="174">
        <v>961870</v>
      </c>
      <c r="M638" s="174">
        <v>931870</v>
      </c>
      <c r="N638" s="174">
        <v>901870</v>
      </c>
      <c r="O638" s="178">
        <v>881870</v>
      </c>
    </row>
    <row r="639" spans="1:15">
      <c r="A639" s="177">
        <v>9740</v>
      </c>
      <c r="B639" s="177">
        <v>9760</v>
      </c>
      <c r="C639" s="173">
        <v>9740000</v>
      </c>
      <c r="D639" s="174">
        <v>1422090</v>
      </c>
      <c r="E639" s="174">
        <v>1346690</v>
      </c>
      <c r="F639" s="174">
        <v>1146240</v>
      </c>
      <c r="G639" s="174">
        <v>1116240</v>
      </c>
      <c r="H639" s="174">
        <v>1086240</v>
      </c>
      <c r="I639" s="175">
        <v>1056240</v>
      </c>
      <c r="J639" s="174">
        <v>1026240</v>
      </c>
      <c r="K639" s="174">
        <v>996240</v>
      </c>
      <c r="L639" s="174">
        <v>966240</v>
      </c>
      <c r="M639" s="174">
        <v>936240</v>
      </c>
      <c r="N639" s="174">
        <v>906240</v>
      </c>
      <c r="O639" s="178">
        <v>886240</v>
      </c>
    </row>
    <row r="640" spans="1:15">
      <c r="A640" s="177">
        <v>9760</v>
      </c>
      <c r="B640" s="177">
        <v>9780</v>
      </c>
      <c r="C640" s="173">
        <v>9760000</v>
      </c>
      <c r="D640" s="174">
        <v>1428920</v>
      </c>
      <c r="E640" s="174">
        <v>1353480</v>
      </c>
      <c r="F640" s="174">
        <v>1150600</v>
      </c>
      <c r="G640" s="174">
        <v>1120600</v>
      </c>
      <c r="H640" s="174">
        <v>1090600</v>
      </c>
      <c r="I640" s="175">
        <v>1060600</v>
      </c>
      <c r="J640" s="174">
        <v>1030600</v>
      </c>
      <c r="K640" s="174">
        <v>1000600</v>
      </c>
      <c r="L640" s="174">
        <v>970600</v>
      </c>
      <c r="M640" s="174">
        <v>940600</v>
      </c>
      <c r="N640" s="174">
        <v>910600</v>
      </c>
      <c r="O640" s="178">
        <v>890600</v>
      </c>
    </row>
    <row r="641" spans="1:15">
      <c r="A641" s="177">
        <v>9780</v>
      </c>
      <c r="B641" s="177">
        <v>9800</v>
      </c>
      <c r="C641" s="173">
        <v>9780000</v>
      </c>
      <c r="D641" s="174">
        <v>1435740</v>
      </c>
      <c r="E641" s="174">
        <v>1360270</v>
      </c>
      <c r="F641" s="174">
        <v>1154970</v>
      </c>
      <c r="G641" s="174">
        <v>1124970</v>
      </c>
      <c r="H641" s="174">
        <v>1094970</v>
      </c>
      <c r="I641" s="175">
        <v>1064970</v>
      </c>
      <c r="J641" s="174">
        <v>1034970</v>
      </c>
      <c r="K641" s="174">
        <v>1004970</v>
      </c>
      <c r="L641" s="174">
        <v>974970</v>
      </c>
      <c r="M641" s="174">
        <v>944970</v>
      </c>
      <c r="N641" s="174">
        <v>914970</v>
      </c>
      <c r="O641" s="178">
        <v>894970</v>
      </c>
    </row>
    <row r="642" spans="1:15">
      <c r="A642" s="177">
        <v>9800</v>
      </c>
      <c r="B642" s="177">
        <v>9820</v>
      </c>
      <c r="C642" s="173">
        <v>9800000</v>
      </c>
      <c r="D642" s="174">
        <v>1442570</v>
      </c>
      <c r="E642" s="174">
        <v>1367060</v>
      </c>
      <c r="F642" s="174">
        <v>1159340</v>
      </c>
      <c r="G642" s="174">
        <v>1129340</v>
      </c>
      <c r="H642" s="174">
        <v>1099340</v>
      </c>
      <c r="I642" s="175">
        <v>1069340</v>
      </c>
      <c r="J642" s="174">
        <v>1039340</v>
      </c>
      <c r="K642" s="174">
        <v>1009340</v>
      </c>
      <c r="L642" s="174">
        <v>979340</v>
      </c>
      <c r="M642" s="174">
        <v>949340</v>
      </c>
      <c r="N642" s="174">
        <v>919340</v>
      </c>
      <c r="O642" s="178">
        <v>899340</v>
      </c>
    </row>
    <row r="643" spans="1:15">
      <c r="A643" s="177">
        <v>9820</v>
      </c>
      <c r="B643" s="177">
        <v>9840</v>
      </c>
      <c r="C643" s="173">
        <v>9820000</v>
      </c>
      <c r="D643" s="174">
        <v>1449390</v>
      </c>
      <c r="E643" s="174">
        <v>1373850</v>
      </c>
      <c r="F643" s="174">
        <v>1163710</v>
      </c>
      <c r="G643" s="174">
        <v>1133710</v>
      </c>
      <c r="H643" s="174">
        <v>1103710</v>
      </c>
      <c r="I643" s="175">
        <v>1073710</v>
      </c>
      <c r="J643" s="174">
        <v>1043710</v>
      </c>
      <c r="K643" s="174">
        <v>1013710</v>
      </c>
      <c r="L643" s="174">
        <v>983710</v>
      </c>
      <c r="M643" s="174">
        <v>953710</v>
      </c>
      <c r="N643" s="174">
        <v>923710</v>
      </c>
      <c r="O643" s="178">
        <v>903710</v>
      </c>
    </row>
    <row r="644" spans="1:15">
      <c r="A644" s="177">
        <v>9840</v>
      </c>
      <c r="B644" s="177">
        <v>9860</v>
      </c>
      <c r="C644" s="173">
        <v>9840000</v>
      </c>
      <c r="D644" s="174">
        <v>1456220</v>
      </c>
      <c r="E644" s="174">
        <v>1380640</v>
      </c>
      <c r="F644" s="174">
        <v>1168080</v>
      </c>
      <c r="G644" s="174">
        <v>1138080</v>
      </c>
      <c r="H644" s="174">
        <v>1108080</v>
      </c>
      <c r="I644" s="175">
        <v>1078080</v>
      </c>
      <c r="J644" s="174">
        <v>1048080</v>
      </c>
      <c r="K644" s="174">
        <v>1018080</v>
      </c>
      <c r="L644" s="174">
        <v>988080</v>
      </c>
      <c r="M644" s="174">
        <v>958080</v>
      </c>
      <c r="N644" s="174">
        <v>928080</v>
      </c>
      <c r="O644" s="178">
        <v>908080</v>
      </c>
    </row>
    <row r="645" spans="1:15">
      <c r="A645" s="177">
        <v>9860</v>
      </c>
      <c r="B645" s="177">
        <v>9880</v>
      </c>
      <c r="C645" s="173">
        <v>9860000</v>
      </c>
      <c r="D645" s="174">
        <v>1463040</v>
      </c>
      <c r="E645" s="174">
        <v>1387430</v>
      </c>
      <c r="F645" s="174">
        <v>1172440</v>
      </c>
      <c r="G645" s="174">
        <v>1142440</v>
      </c>
      <c r="H645" s="174">
        <v>1112440</v>
      </c>
      <c r="I645" s="175">
        <v>1082440</v>
      </c>
      <c r="J645" s="174">
        <v>1052440</v>
      </c>
      <c r="K645" s="174">
        <v>1022440</v>
      </c>
      <c r="L645" s="174">
        <v>992440</v>
      </c>
      <c r="M645" s="174">
        <v>962440</v>
      </c>
      <c r="N645" s="174">
        <v>932440</v>
      </c>
      <c r="O645" s="178">
        <v>912440</v>
      </c>
    </row>
    <row r="646" spans="1:15">
      <c r="A646" s="177">
        <v>9880</v>
      </c>
      <c r="B646" s="177">
        <v>9900</v>
      </c>
      <c r="C646" s="173">
        <v>9880000</v>
      </c>
      <c r="D646" s="174">
        <v>1469870</v>
      </c>
      <c r="E646" s="174">
        <v>1394220</v>
      </c>
      <c r="F646" s="174">
        <v>1176810</v>
      </c>
      <c r="G646" s="174">
        <v>1146810</v>
      </c>
      <c r="H646" s="174">
        <v>1116810</v>
      </c>
      <c r="I646" s="175">
        <v>1086810</v>
      </c>
      <c r="J646" s="174">
        <v>1056810</v>
      </c>
      <c r="K646" s="174">
        <v>1026810</v>
      </c>
      <c r="L646" s="174">
        <v>996810</v>
      </c>
      <c r="M646" s="174">
        <v>966810</v>
      </c>
      <c r="N646" s="174">
        <v>936810</v>
      </c>
      <c r="O646" s="178">
        <v>916810</v>
      </c>
    </row>
    <row r="647" spans="1:15">
      <c r="A647" s="177">
        <v>9900</v>
      </c>
      <c r="B647" s="177">
        <v>9920</v>
      </c>
      <c r="C647" s="173">
        <v>9900000</v>
      </c>
      <c r="D647" s="174">
        <v>1476690</v>
      </c>
      <c r="E647" s="174">
        <v>1401010</v>
      </c>
      <c r="F647" s="174">
        <v>1181180</v>
      </c>
      <c r="G647" s="174">
        <v>1151180</v>
      </c>
      <c r="H647" s="174">
        <v>1121180</v>
      </c>
      <c r="I647" s="175">
        <v>1091180</v>
      </c>
      <c r="J647" s="174">
        <v>1061180</v>
      </c>
      <c r="K647" s="174">
        <v>1031180</v>
      </c>
      <c r="L647" s="174">
        <v>1001180</v>
      </c>
      <c r="M647" s="174">
        <v>971180</v>
      </c>
      <c r="N647" s="174">
        <v>941180</v>
      </c>
      <c r="O647" s="178">
        <v>921180</v>
      </c>
    </row>
    <row r="648" spans="1:15">
      <c r="A648" s="177">
        <v>9920</v>
      </c>
      <c r="B648" s="177">
        <v>9940</v>
      </c>
      <c r="C648" s="173">
        <v>9920000</v>
      </c>
      <c r="D648" s="174">
        <v>1483520</v>
      </c>
      <c r="E648" s="174">
        <v>1407800</v>
      </c>
      <c r="F648" s="174">
        <v>1185550</v>
      </c>
      <c r="G648" s="174">
        <v>1155550</v>
      </c>
      <c r="H648" s="174">
        <v>1125550</v>
      </c>
      <c r="I648" s="175">
        <v>1095550</v>
      </c>
      <c r="J648" s="174">
        <v>1065550</v>
      </c>
      <c r="K648" s="174">
        <v>1035550</v>
      </c>
      <c r="L648" s="174">
        <v>1005550</v>
      </c>
      <c r="M648" s="174">
        <v>975550</v>
      </c>
      <c r="N648" s="174">
        <v>945550</v>
      </c>
      <c r="O648" s="178">
        <v>925550</v>
      </c>
    </row>
    <row r="649" spans="1:15">
      <c r="A649" s="177">
        <v>9940</v>
      </c>
      <c r="B649" s="177">
        <v>9960</v>
      </c>
      <c r="C649" s="173">
        <v>9940000</v>
      </c>
      <c r="D649" s="174">
        <v>1490340</v>
      </c>
      <c r="E649" s="174">
        <v>1414590</v>
      </c>
      <c r="F649" s="174">
        <v>1189920</v>
      </c>
      <c r="G649" s="174">
        <v>1159920</v>
      </c>
      <c r="H649" s="174">
        <v>1129920</v>
      </c>
      <c r="I649" s="175">
        <v>1099920</v>
      </c>
      <c r="J649" s="174">
        <v>1069920</v>
      </c>
      <c r="K649" s="174">
        <v>1039920</v>
      </c>
      <c r="L649" s="174">
        <v>1009920</v>
      </c>
      <c r="M649" s="174">
        <v>979920</v>
      </c>
      <c r="N649" s="174">
        <v>949920</v>
      </c>
      <c r="O649" s="178">
        <v>929920</v>
      </c>
    </row>
    <row r="650" spans="1:15">
      <c r="A650" s="177">
        <v>9960</v>
      </c>
      <c r="B650" s="177">
        <v>9980</v>
      </c>
      <c r="C650" s="173">
        <v>9960000</v>
      </c>
      <c r="D650" s="174">
        <v>1497170</v>
      </c>
      <c r="E650" s="174">
        <v>1421380</v>
      </c>
      <c r="F650" s="174">
        <v>1194280</v>
      </c>
      <c r="G650" s="174">
        <v>1164280</v>
      </c>
      <c r="H650" s="174">
        <v>1134280</v>
      </c>
      <c r="I650" s="175">
        <v>1104280</v>
      </c>
      <c r="J650" s="174">
        <v>1074280</v>
      </c>
      <c r="K650" s="174">
        <v>1044280</v>
      </c>
      <c r="L650" s="174">
        <v>1014280</v>
      </c>
      <c r="M650" s="174">
        <v>984280</v>
      </c>
      <c r="N650" s="174">
        <v>954280</v>
      </c>
      <c r="O650" s="178">
        <v>934280</v>
      </c>
    </row>
    <row r="651" spans="1:15">
      <c r="A651" s="177">
        <v>9980</v>
      </c>
      <c r="B651" s="177">
        <v>10000</v>
      </c>
      <c r="C651" s="173">
        <v>9980000</v>
      </c>
      <c r="D651" s="174">
        <v>1503990</v>
      </c>
      <c r="E651" s="174">
        <v>1428170</v>
      </c>
      <c r="F651" s="174">
        <v>1198650</v>
      </c>
      <c r="G651" s="174">
        <v>1168650</v>
      </c>
      <c r="H651" s="174">
        <v>1138650</v>
      </c>
      <c r="I651" s="175">
        <v>1108650</v>
      </c>
      <c r="J651" s="174">
        <v>1078650</v>
      </c>
      <c r="K651" s="174">
        <v>1048650</v>
      </c>
      <c r="L651" s="174">
        <v>1018650</v>
      </c>
      <c r="M651" s="174">
        <v>988650</v>
      </c>
      <c r="N651" s="174">
        <v>958650</v>
      </c>
      <c r="O651" s="178">
        <v>938650</v>
      </c>
    </row>
    <row r="652" spans="1:15">
      <c r="A652" s="177">
        <v>10000</v>
      </c>
      <c r="B652" s="177">
        <v>10000</v>
      </c>
      <c r="C652" s="173">
        <v>10000000</v>
      </c>
      <c r="D652" s="174">
        <v>1507400</v>
      </c>
      <c r="E652" s="174">
        <v>1431570</v>
      </c>
      <c r="F652" s="174">
        <v>1200840</v>
      </c>
      <c r="G652" s="174">
        <v>1170840</v>
      </c>
      <c r="H652" s="174">
        <v>1140840</v>
      </c>
      <c r="I652" s="175">
        <v>1110840</v>
      </c>
      <c r="J652" s="174">
        <v>1080840</v>
      </c>
      <c r="K652" s="174">
        <v>1050840</v>
      </c>
      <c r="L652" s="174">
        <v>1020840</v>
      </c>
      <c r="M652" s="174">
        <v>990840</v>
      </c>
      <c r="N652" s="174">
        <v>960840</v>
      </c>
      <c r="O652" s="178">
        <v>940840</v>
      </c>
    </row>
    <row r="653" spans="1:15">
      <c r="A653" s="574" t="s">
        <v>353</v>
      </c>
      <c r="B653" s="575"/>
      <c r="C653" s="179"/>
      <c r="D653" s="576" t="s">
        <v>354</v>
      </c>
      <c r="E653" s="577"/>
      <c r="F653" s="577"/>
      <c r="G653" s="577"/>
      <c r="H653" s="577"/>
      <c r="I653" s="577"/>
      <c r="J653" s="577"/>
      <c r="K653" s="577"/>
      <c r="L653" s="577"/>
      <c r="M653" s="577"/>
      <c r="N653" s="577"/>
      <c r="O653" s="578"/>
    </row>
    <row r="654" spans="1:15">
      <c r="A654" s="574" t="s">
        <v>355</v>
      </c>
      <c r="B654" s="575"/>
      <c r="C654" s="180"/>
      <c r="D654" s="581" t="s">
        <v>356</v>
      </c>
      <c r="E654" s="582"/>
      <c r="F654" s="582"/>
      <c r="G654" s="582"/>
      <c r="H654" s="582"/>
      <c r="I654" s="582"/>
      <c r="J654" s="582"/>
      <c r="K654" s="582"/>
      <c r="L654" s="582"/>
      <c r="M654" s="582"/>
      <c r="N654" s="582"/>
      <c r="O654" s="583"/>
    </row>
    <row r="655" spans="1:15">
      <c r="A655" s="574" t="s">
        <v>357</v>
      </c>
      <c r="B655" s="575"/>
      <c r="C655" s="181"/>
      <c r="D655" s="584"/>
      <c r="E655" s="585"/>
      <c r="F655" s="585"/>
      <c r="G655" s="585"/>
      <c r="H655" s="585"/>
      <c r="I655" s="585"/>
      <c r="J655" s="585"/>
      <c r="K655" s="585"/>
      <c r="L655" s="585"/>
      <c r="M655" s="585"/>
      <c r="N655" s="585"/>
      <c r="O655" s="586"/>
    </row>
    <row r="656" spans="1:15">
      <c r="A656" s="574" t="s">
        <v>358</v>
      </c>
      <c r="B656" s="575"/>
      <c r="C656" s="181"/>
      <c r="D656" s="581" t="s">
        <v>359</v>
      </c>
      <c r="E656" s="582"/>
      <c r="F656" s="582"/>
      <c r="G656" s="582"/>
      <c r="H656" s="582"/>
      <c r="I656" s="582"/>
      <c r="J656" s="582"/>
      <c r="K656" s="582"/>
      <c r="L656" s="582"/>
      <c r="M656" s="582"/>
      <c r="N656" s="582"/>
      <c r="O656" s="583"/>
    </row>
    <row r="657" spans="1:15">
      <c r="A657" s="574" t="s">
        <v>360</v>
      </c>
      <c r="B657" s="575"/>
      <c r="C657" s="181"/>
      <c r="D657" s="584"/>
      <c r="E657" s="585"/>
      <c r="F657" s="585"/>
      <c r="G657" s="585"/>
      <c r="H657" s="585"/>
      <c r="I657" s="585"/>
      <c r="J657" s="585"/>
      <c r="K657" s="585"/>
      <c r="L657" s="585"/>
      <c r="M657" s="585"/>
      <c r="N657" s="585"/>
      <c r="O657" s="586"/>
    </row>
    <row r="658" spans="1:15">
      <c r="A658" s="579" t="s">
        <v>361</v>
      </c>
      <c r="B658" s="580"/>
      <c r="C658" s="181"/>
      <c r="D658" s="581" t="s">
        <v>362</v>
      </c>
      <c r="E658" s="582"/>
      <c r="F658" s="582"/>
      <c r="G658" s="582"/>
      <c r="H658" s="582"/>
      <c r="I658" s="582"/>
      <c r="J658" s="582"/>
      <c r="K658" s="582"/>
      <c r="L658" s="582"/>
      <c r="M658" s="582"/>
      <c r="N658" s="582"/>
      <c r="O658" s="583"/>
    </row>
    <row r="659" spans="1:15">
      <c r="A659" s="579" t="s">
        <v>363</v>
      </c>
      <c r="B659" s="580"/>
      <c r="C659" s="181"/>
      <c r="D659" s="584"/>
      <c r="E659" s="585"/>
      <c r="F659" s="585"/>
      <c r="G659" s="585"/>
      <c r="H659" s="585"/>
      <c r="I659" s="585"/>
      <c r="J659" s="585"/>
      <c r="K659" s="585"/>
      <c r="L659" s="585"/>
      <c r="M659" s="585"/>
      <c r="N659" s="585"/>
      <c r="O659" s="586"/>
    </row>
    <row r="660" spans="1:15">
      <c r="A660" s="579" t="s">
        <v>364</v>
      </c>
      <c r="B660" s="580"/>
      <c r="C660" s="181"/>
      <c r="D660" s="581" t="s">
        <v>365</v>
      </c>
      <c r="E660" s="582"/>
      <c r="F660" s="582"/>
      <c r="G660" s="582"/>
      <c r="H660" s="582"/>
      <c r="I660" s="582"/>
      <c r="J660" s="582"/>
      <c r="K660" s="582"/>
      <c r="L660" s="582"/>
      <c r="M660" s="582"/>
      <c r="N660" s="582"/>
      <c r="O660" s="583"/>
    </row>
    <row r="661" spans="1:15">
      <c r="A661" s="579" t="s">
        <v>366</v>
      </c>
      <c r="B661" s="580"/>
      <c r="C661" s="181"/>
      <c r="D661" s="584"/>
      <c r="E661" s="585"/>
      <c r="F661" s="585"/>
      <c r="G661" s="585"/>
      <c r="H661" s="585"/>
      <c r="I661" s="585"/>
      <c r="J661" s="585"/>
      <c r="K661" s="585"/>
      <c r="L661" s="585"/>
      <c r="M661" s="585"/>
      <c r="N661" s="585"/>
      <c r="O661" s="586"/>
    </row>
    <row r="662" spans="1:15">
      <c r="D662" s="581" t="s">
        <v>367</v>
      </c>
      <c r="E662" s="582"/>
      <c r="F662" s="582"/>
      <c r="G662" s="582"/>
      <c r="H662" s="582"/>
      <c r="I662" s="582"/>
      <c r="J662" s="582"/>
      <c r="K662" s="582"/>
      <c r="L662" s="582"/>
      <c r="M662" s="582"/>
      <c r="N662" s="582"/>
      <c r="O662" s="583"/>
    </row>
    <row r="663" spans="1:15">
      <c r="D663" s="584"/>
      <c r="E663" s="585"/>
      <c r="F663" s="585"/>
      <c r="G663" s="585"/>
      <c r="H663" s="585"/>
      <c r="I663" s="585"/>
      <c r="J663" s="585"/>
      <c r="K663" s="585"/>
      <c r="L663" s="585"/>
      <c r="M663" s="585"/>
      <c r="N663" s="585"/>
      <c r="O663" s="586"/>
    </row>
  </sheetData>
  <mergeCells count="28">
    <mergeCell ref="D662:O663"/>
    <mergeCell ref="A656:B656"/>
    <mergeCell ref="D656:O657"/>
    <mergeCell ref="A657:B657"/>
    <mergeCell ref="A658:B658"/>
    <mergeCell ref="D658:O659"/>
    <mergeCell ref="A659:B659"/>
    <mergeCell ref="A653:B653"/>
    <mergeCell ref="D653:O653"/>
    <mergeCell ref="A660:B660"/>
    <mergeCell ref="D660:O661"/>
    <mergeCell ref="A661:B661"/>
    <mergeCell ref="A654:B654"/>
    <mergeCell ref="D654:O655"/>
    <mergeCell ref="A655:B655"/>
    <mergeCell ref="A1:N1"/>
    <mergeCell ref="A3:B4"/>
    <mergeCell ref="D3:D4"/>
    <mergeCell ref="E3:E4"/>
    <mergeCell ref="F3:F4"/>
    <mergeCell ref="G3:G4"/>
    <mergeCell ref="H3:H4"/>
    <mergeCell ref="I3:I4"/>
    <mergeCell ref="J3:J4"/>
    <mergeCell ref="K3:K4"/>
    <mergeCell ref="L3:L4"/>
    <mergeCell ref="M3:M4"/>
    <mergeCell ref="N3:N4"/>
  </mergeCells>
  <phoneticPr fontId="4" type="noConversion"/>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7613-3FCA-4C9B-BEAF-065F862040DC}">
  <sheetPr>
    <pageSetUpPr fitToPage="1"/>
  </sheetPr>
  <dimension ref="A1:BD34"/>
  <sheetViews>
    <sheetView showRuler="0" view="pageBreakPreview" topLeftCell="A3" zoomScale="70" zoomScaleNormal="100" zoomScaleSheetLayoutView="70" workbookViewId="0">
      <selection activeCell="A3" sqref="A3:H3"/>
    </sheetView>
  </sheetViews>
  <sheetFormatPr defaultColWidth="10.25" defaultRowHeight="22.5" customHeight="1"/>
  <cols>
    <col min="2" max="2" width="12.375" bestFit="1" customWidth="1"/>
    <col min="7" max="8" width="10.25" customWidth="1"/>
    <col min="10" max="10" width="12.375" bestFit="1" customWidth="1"/>
    <col min="18" max="18" width="12.375" bestFit="1" customWidth="1"/>
    <col min="21" max="21" width="10.25" customWidth="1"/>
    <col min="23" max="23" width="12.875" customWidth="1"/>
    <col min="24" max="24" width="11.125" customWidth="1"/>
    <col min="25" max="25" width="0" hidden="1" customWidth="1"/>
    <col min="26" max="26" width="12.375" hidden="1" customWidth="1"/>
    <col min="27" max="28" width="0" hidden="1" customWidth="1"/>
    <col min="29" max="29" width="9" hidden="1" customWidth="1"/>
    <col min="30" max="33" width="0" hidden="1" customWidth="1"/>
    <col min="34" max="34" width="12.375" hidden="1" customWidth="1"/>
    <col min="35" max="35" width="0" hidden="1" customWidth="1"/>
    <col min="36" max="36" width="10.25" hidden="1" customWidth="1"/>
    <col min="37" max="37" width="8.625" hidden="1" customWidth="1"/>
    <col min="38" max="40" width="0" hidden="1" customWidth="1"/>
    <col min="41" max="56" width="10.25" hidden="1" customWidth="1"/>
  </cols>
  <sheetData>
    <row r="1" spans="1:56" ht="36.75" hidden="1" customHeight="1">
      <c r="A1" s="540">
        <v>8</v>
      </c>
      <c r="B1" s="540"/>
      <c r="C1" s="540"/>
      <c r="D1" s="540"/>
      <c r="E1" s="540"/>
      <c r="F1" s="540"/>
      <c r="G1" s="540"/>
      <c r="H1" s="540"/>
      <c r="I1" s="540">
        <f>A1+1</f>
        <v>9</v>
      </c>
      <c r="J1" s="540"/>
      <c r="K1" s="540"/>
      <c r="L1" s="540"/>
      <c r="M1" s="540"/>
      <c r="N1" s="540"/>
      <c r="O1" s="540"/>
      <c r="P1" s="540"/>
      <c r="Q1" s="540">
        <f>I1+1</f>
        <v>10</v>
      </c>
      <c r="R1" s="540"/>
      <c r="S1" s="540"/>
      <c r="T1" s="540"/>
      <c r="U1" s="540"/>
      <c r="V1" s="540"/>
      <c r="W1" s="540"/>
      <c r="X1" s="540"/>
      <c r="Y1" s="540">
        <f>Q1+1</f>
        <v>11</v>
      </c>
      <c r="Z1" s="540"/>
      <c r="AA1" s="540"/>
      <c r="AB1" s="540"/>
      <c r="AC1" s="540"/>
      <c r="AD1" s="540"/>
      <c r="AE1" s="540"/>
      <c r="AF1" s="540"/>
      <c r="AG1" s="540">
        <f>Y1+1</f>
        <v>12</v>
      </c>
      <c r="AH1" s="540"/>
      <c r="AI1" s="540"/>
      <c r="AJ1" s="540"/>
      <c r="AK1" s="540"/>
      <c r="AL1" s="540"/>
      <c r="AM1" s="540"/>
      <c r="AN1" s="540"/>
      <c r="AO1" s="540">
        <f>AG1+1</f>
        <v>13</v>
      </c>
      <c r="AP1" s="540"/>
      <c r="AQ1" s="540"/>
      <c r="AR1" s="540"/>
      <c r="AS1" s="540"/>
      <c r="AT1" s="540"/>
      <c r="AU1" s="540"/>
      <c r="AV1" s="540"/>
      <c r="AW1" s="540">
        <f>AO1+1</f>
        <v>14</v>
      </c>
      <c r="AX1" s="540"/>
      <c r="AY1" s="540"/>
      <c r="AZ1" s="540"/>
      <c r="BA1" s="540"/>
      <c r="BB1" s="540"/>
      <c r="BC1" s="540"/>
      <c r="BD1" s="540"/>
    </row>
    <row r="2" spans="1:56" ht="9"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2.5" customHeight="1">
      <c r="A3" s="541" t="s">
        <v>13</v>
      </c>
      <c r="B3" s="542"/>
      <c r="C3" s="542"/>
      <c r="D3" s="542"/>
      <c r="E3" s="542"/>
      <c r="F3" s="542"/>
      <c r="G3" s="542"/>
      <c r="H3" s="543"/>
      <c r="I3" s="541" t="s">
        <v>13</v>
      </c>
      <c r="J3" s="542"/>
      <c r="K3" s="542"/>
      <c r="L3" s="542"/>
      <c r="M3" s="542"/>
      <c r="N3" s="542"/>
      <c r="O3" s="542"/>
      <c r="P3" s="543"/>
      <c r="Q3" s="541" t="s">
        <v>13</v>
      </c>
      <c r="R3" s="542"/>
      <c r="S3" s="542"/>
      <c r="T3" s="542"/>
      <c r="U3" s="542"/>
      <c r="V3" s="542"/>
      <c r="W3" s="542"/>
      <c r="X3" s="543"/>
      <c r="Y3" s="541" t="s">
        <v>13</v>
      </c>
      <c r="Z3" s="542"/>
      <c r="AA3" s="542"/>
      <c r="AB3" s="542"/>
      <c r="AC3" s="542"/>
      <c r="AD3" s="542"/>
      <c r="AE3" s="542"/>
      <c r="AF3" s="543"/>
      <c r="AG3" s="541" t="s">
        <v>13</v>
      </c>
      <c r="AH3" s="542"/>
      <c r="AI3" s="542"/>
      <c r="AJ3" s="542"/>
      <c r="AK3" s="542"/>
      <c r="AL3" s="542"/>
      <c r="AM3" s="542"/>
      <c r="AN3" s="543"/>
      <c r="AO3" s="541" t="s">
        <v>13</v>
      </c>
      <c r="AP3" s="542"/>
      <c r="AQ3" s="542"/>
      <c r="AR3" s="542"/>
      <c r="AS3" s="542"/>
      <c r="AT3" s="542"/>
      <c r="AU3" s="542"/>
      <c r="AV3" s="543"/>
      <c r="AW3" s="541" t="s">
        <v>13</v>
      </c>
      <c r="AX3" s="542"/>
      <c r="AY3" s="542"/>
      <c r="AZ3" s="542"/>
      <c r="BA3" s="542"/>
      <c r="BB3" s="542"/>
      <c r="BC3" s="542"/>
      <c r="BD3" s="543"/>
    </row>
    <row r="4" spans="1:56" ht="22.5"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2.5" customHeight="1">
      <c r="A5" s="544" t="s">
        <v>40</v>
      </c>
      <c r="B5" s="526"/>
      <c r="C5" s="509" t="str">
        <f>급여대장!$A$4</f>
        <v>제이엠건축인테리어 주식회사</v>
      </c>
      <c r="D5" s="545"/>
      <c r="E5" s="545"/>
      <c r="F5" s="545"/>
      <c r="G5" s="545"/>
      <c r="H5" s="546"/>
      <c r="I5" s="544" t="s">
        <v>40</v>
      </c>
      <c r="J5" s="526"/>
      <c r="K5" s="509" t="str">
        <f>급여대장!$A$4</f>
        <v>제이엠건축인테리어 주식회사</v>
      </c>
      <c r="L5" s="545"/>
      <c r="M5" s="545"/>
      <c r="N5" s="545"/>
      <c r="O5" s="545"/>
      <c r="P5" s="546"/>
      <c r="Q5" s="544" t="s">
        <v>40</v>
      </c>
      <c r="R5" s="526"/>
      <c r="S5" s="509" t="str">
        <f>급여대장!$A$4</f>
        <v>제이엠건축인테리어 주식회사</v>
      </c>
      <c r="T5" s="545"/>
      <c r="U5" s="545"/>
      <c r="V5" s="545"/>
      <c r="W5" s="545"/>
      <c r="X5" s="546"/>
      <c r="Y5" s="544" t="s">
        <v>40</v>
      </c>
      <c r="Z5" s="526"/>
      <c r="AA5" s="509" t="str">
        <f>급여대장!$A$4</f>
        <v>제이엠건축인테리어 주식회사</v>
      </c>
      <c r="AB5" s="545"/>
      <c r="AC5" s="545"/>
      <c r="AD5" s="545"/>
      <c r="AE5" s="545"/>
      <c r="AF5" s="546"/>
      <c r="AG5" s="544" t="s">
        <v>40</v>
      </c>
      <c r="AH5" s="526"/>
      <c r="AI5" s="509" t="str">
        <f>급여대장!$A$4</f>
        <v>제이엠건축인테리어 주식회사</v>
      </c>
      <c r="AJ5" s="545"/>
      <c r="AK5" s="545"/>
      <c r="AL5" s="545"/>
      <c r="AM5" s="545"/>
      <c r="AN5" s="546"/>
      <c r="AO5" s="544" t="s">
        <v>40</v>
      </c>
      <c r="AP5" s="526"/>
      <c r="AQ5" s="509" t="str">
        <f>급여대장!$A$4</f>
        <v>제이엠건축인테리어 주식회사</v>
      </c>
      <c r="AR5" s="545"/>
      <c r="AS5" s="545"/>
      <c r="AT5" s="545"/>
      <c r="AU5" s="545"/>
      <c r="AV5" s="546"/>
      <c r="AW5" s="544" t="s">
        <v>40</v>
      </c>
      <c r="AX5" s="526"/>
      <c r="AY5" s="509" t="str">
        <f>급여대장!$A$4</f>
        <v>제이엠건축인테리어 주식회사</v>
      </c>
      <c r="AZ5" s="545"/>
      <c r="BA5" s="545"/>
      <c r="BB5" s="545"/>
      <c r="BC5" s="545"/>
      <c r="BD5" s="546"/>
    </row>
    <row r="6" spans="1:56" ht="22.5" customHeight="1">
      <c r="A6" s="501" t="s">
        <v>14</v>
      </c>
      <c r="B6" s="502"/>
      <c r="C6" s="505">
        <f>급여대장!$AD$3</f>
        <v>46082</v>
      </c>
      <c r="D6" s="505"/>
      <c r="E6" s="525" t="s">
        <v>15</v>
      </c>
      <c r="F6" s="526"/>
      <c r="G6" s="547" t="str">
        <f>급여대장!$AD$4</f>
        <v>매월 5일</v>
      </c>
      <c r="H6" s="548"/>
      <c r="I6" s="501" t="s">
        <v>14</v>
      </c>
      <c r="J6" s="502"/>
      <c r="K6" s="505">
        <f>급여대장!$AD$3</f>
        <v>46082</v>
      </c>
      <c r="L6" s="505"/>
      <c r="M6" s="525" t="s">
        <v>15</v>
      </c>
      <c r="N6" s="526"/>
      <c r="O6" s="547" t="str">
        <f>급여대장!$AD$4</f>
        <v>매월 5일</v>
      </c>
      <c r="P6" s="548"/>
      <c r="Q6" s="501" t="s">
        <v>14</v>
      </c>
      <c r="R6" s="502"/>
      <c r="S6" s="505">
        <f>급여대장!$AD$3</f>
        <v>46082</v>
      </c>
      <c r="T6" s="505"/>
      <c r="U6" s="525" t="s">
        <v>15</v>
      </c>
      <c r="V6" s="526"/>
      <c r="W6" s="547" t="str">
        <f>급여대장!$AD$4</f>
        <v>매월 5일</v>
      </c>
      <c r="X6" s="548"/>
      <c r="Y6" s="501" t="s">
        <v>14</v>
      </c>
      <c r="Z6" s="502"/>
      <c r="AA6" s="505">
        <f>급여대장!$AD$3</f>
        <v>46082</v>
      </c>
      <c r="AB6" s="505"/>
      <c r="AC6" s="511" t="s">
        <v>15</v>
      </c>
      <c r="AD6" s="512"/>
      <c r="AE6" s="547" t="str">
        <f>급여대장!$AD$4</f>
        <v>매월 5일</v>
      </c>
      <c r="AF6" s="548"/>
      <c r="AG6" s="501" t="s">
        <v>14</v>
      </c>
      <c r="AH6" s="502"/>
      <c r="AI6" s="505">
        <f>급여대장!$AD$3</f>
        <v>46082</v>
      </c>
      <c r="AJ6" s="505"/>
      <c r="AK6" s="525" t="s">
        <v>15</v>
      </c>
      <c r="AL6" s="526"/>
      <c r="AM6" s="547" t="str">
        <f>급여대장!$AD$4</f>
        <v>매월 5일</v>
      </c>
      <c r="AN6" s="548"/>
      <c r="AO6" s="501" t="s">
        <v>14</v>
      </c>
      <c r="AP6" s="502"/>
      <c r="AQ6" s="505">
        <f>급여대장!$AD$3</f>
        <v>46082</v>
      </c>
      <c r="AR6" s="505"/>
      <c r="AS6" s="525" t="s">
        <v>15</v>
      </c>
      <c r="AT6" s="526"/>
      <c r="AU6" s="547" t="str">
        <f>급여대장!$AD$4</f>
        <v>매월 5일</v>
      </c>
      <c r="AV6" s="548"/>
      <c r="AW6" s="501" t="s">
        <v>14</v>
      </c>
      <c r="AX6" s="502"/>
      <c r="AY6" s="505">
        <f>급여대장!$AD$3</f>
        <v>46082</v>
      </c>
      <c r="AZ6" s="505"/>
      <c r="BA6" s="525" t="s">
        <v>15</v>
      </c>
      <c r="BB6" s="526"/>
      <c r="BC6" s="547" t="str">
        <f>급여대장!$AD$4</f>
        <v>매월 5일</v>
      </c>
      <c r="BD6" s="548"/>
    </row>
    <row r="7" spans="1:56" ht="22.5" customHeight="1">
      <c r="A7" s="501" t="s">
        <v>16</v>
      </c>
      <c r="B7" s="502"/>
      <c r="C7" s="549">
        <f>VLOOKUP(A1,급여대장!$A$6:$B$13,2,0)</f>
        <v>0</v>
      </c>
      <c r="D7" s="550"/>
      <c r="E7" s="525" t="s">
        <v>17</v>
      </c>
      <c r="F7" s="526"/>
      <c r="G7" s="554">
        <f>급여대장!AG13</f>
        <v>0</v>
      </c>
      <c r="H7" s="555"/>
      <c r="I7" s="501" t="s">
        <v>16</v>
      </c>
      <c r="J7" s="502"/>
      <c r="K7" s="549">
        <f>급여대장!$B$14</f>
        <v>0</v>
      </c>
      <c r="L7" s="550"/>
      <c r="M7" s="525" t="s">
        <v>17</v>
      </c>
      <c r="N7" s="526"/>
      <c r="O7" s="554">
        <f>급여대장!C14</f>
        <v>0</v>
      </c>
      <c r="P7" s="555"/>
      <c r="Q7" s="501" t="s">
        <v>16</v>
      </c>
      <c r="R7" s="502"/>
      <c r="S7" s="549">
        <f>급여대장!B15</f>
        <v>0</v>
      </c>
      <c r="T7" s="550"/>
      <c r="U7" s="525" t="s">
        <v>17</v>
      </c>
      <c r="V7" s="526"/>
      <c r="W7" s="554">
        <f>급여대장!C15</f>
        <v>0</v>
      </c>
      <c r="X7" s="555"/>
      <c r="Y7" s="501" t="s">
        <v>16</v>
      </c>
      <c r="Z7" s="502"/>
      <c r="AA7" s="549" t="e">
        <f>급여대장!#REF!</f>
        <v>#REF!</v>
      </c>
      <c r="AB7" s="550"/>
      <c r="AC7" s="511" t="s">
        <v>17</v>
      </c>
      <c r="AD7" s="512"/>
      <c r="AE7" s="554" t="e">
        <f>급여대장!#REF!</f>
        <v>#REF!</v>
      </c>
      <c r="AF7" s="555"/>
      <c r="AG7" s="501" t="s">
        <v>16</v>
      </c>
      <c r="AH7" s="502"/>
      <c r="AI7" s="549" t="e">
        <f>급여대장!#REF!</f>
        <v>#REF!</v>
      </c>
      <c r="AJ7" s="550"/>
      <c r="AK7" s="525" t="s">
        <v>17</v>
      </c>
      <c r="AL7" s="526"/>
      <c r="AM7" s="554" t="e">
        <f>급여대장!#REF!</f>
        <v>#REF!</v>
      </c>
      <c r="AN7" s="555"/>
      <c r="AO7" s="501" t="s">
        <v>16</v>
      </c>
      <c r="AP7" s="502"/>
      <c r="AQ7" s="549" t="e">
        <f>VLOOKUP(AO1,급여대장!$A$6:$B$15,2,0)</f>
        <v>#N/A</v>
      </c>
      <c r="AR7" s="550"/>
      <c r="AS7" s="525" t="s">
        <v>17</v>
      </c>
      <c r="AT7" s="526"/>
      <c r="AU7" s="554" t="e">
        <f>급여대장!#REF!</f>
        <v>#REF!</v>
      </c>
      <c r="AV7" s="555"/>
      <c r="AW7" s="501" t="s">
        <v>16</v>
      </c>
      <c r="AX7" s="502"/>
      <c r="AY7" s="549" t="e">
        <f>VLOOKUP(AW1,급여대장!$A$6:$B$15,2,0)</f>
        <v>#N/A</v>
      </c>
      <c r="AZ7" s="550"/>
      <c r="BA7" s="525" t="s">
        <v>17</v>
      </c>
      <c r="BB7" s="526"/>
      <c r="BC7" s="554" t="e">
        <f>급여대장!#REF!</f>
        <v>#REF!</v>
      </c>
      <c r="BD7" s="555"/>
    </row>
    <row r="8" spans="1:56" ht="22.5" customHeight="1">
      <c r="A8" s="492" t="s">
        <v>18</v>
      </c>
      <c r="B8" s="493"/>
      <c r="C8" s="493"/>
      <c r="D8" s="493"/>
      <c r="E8" s="493"/>
      <c r="F8" s="493"/>
      <c r="G8" s="493"/>
      <c r="H8" s="494"/>
      <c r="I8" s="492" t="s">
        <v>18</v>
      </c>
      <c r="J8" s="493"/>
      <c r="K8" s="493"/>
      <c r="L8" s="493"/>
      <c r="M8" s="493"/>
      <c r="N8" s="493"/>
      <c r="O8" s="493"/>
      <c r="P8" s="494"/>
      <c r="Q8" s="492" t="s">
        <v>18</v>
      </c>
      <c r="R8" s="493"/>
      <c r="S8" s="493"/>
      <c r="T8" s="493"/>
      <c r="U8" s="493"/>
      <c r="V8" s="493"/>
      <c r="W8" s="493"/>
      <c r="X8" s="494"/>
      <c r="Y8" s="492" t="s">
        <v>18</v>
      </c>
      <c r="Z8" s="493"/>
      <c r="AA8" s="493"/>
      <c r="AB8" s="493"/>
      <c r="AC8" s="493"/>
      <c r="AD8" s="493"/>
      <c r="AE8" s="493"/>
      <c r="AF8" s="494"/>
      <c r="AG8" s="492" t="s">
        <v>18</v>
      </c>
      <c r="AH8" s="493"/>
      <c r="AI8" s="493"/>
      <c r="AJ8" s="493"/>
      <c r="AK8" s="493"/>
      <c r="AL8" s="493"/>
      <c r="AM8" s="493"/>
      <c r="AN8" s="494"/>
      <c r="AO8" s="492" t="s">
        <v>18</v>
      </c>
      <c r="AP8" s="493"/>
      <c r="AQ8" s="493"/>
      <c r="AR8" s="493"/>
      <c r="AS8" s="493"/>
      <c r="AT8" s="493"/>
      <c r="AU8" s="493"/>
      <c r="AV8" s="494"/>
      <c r="AW8" s="492" t="s">
        <v>18</v>
      </c>
      <c r="AX8" s="493"/>
      <c r="AY8" s="493"/>
      <c r="AZ8" s="493"/>
      <c r="BA8" s="493"/>
      <c r="BB8" s="493"/>
      <c r="BC8" s="493"/>
      <c r="BD8" s="494"/>
    </row>
    <row r="9" spans="1:56" ht="22.5" customHeight="1">
      <c r="A9" s="495"/>
      <c r="B9" s="496"/>
      <c r="C9" s="496"/>
      <c r="D9" s="496"/>
      <c r="E9" s="496"/>
      <c r="F9" s="496"/>
      <c r="G9" s="496"/>
      <c r="H9" s="497"/>
      <c r="I9" s="495"/>
      <c r="J9" s="496"/>
      <c r="K9" s="496"/>
      <c r="L9" s="496"/>
      <c r="M9" s="496"/>
      <c r="N9" s="496"/>
      <c r="O9" s="496"/>
      <c r="P9" s="497"/>
      <c r="Q9" s="495"/>
      <c r="R9" s="496"/>
      <c r="S9" s="496"/>
      <c r="T9" s="496"/>
      <c r="U9" s="496"/>
      <c r="V9" s="496"/>
      <c r="W9" s="496"/>
      <c r="X9" s="497"/>
      <c r="Y9" s="495"/>
      <c r="Z9" s="496"/>
      <c r="AA9" s="496"/>
      <c r="AB9" s="496"/>
      <c r="AC9" s="496"/>
      <c r="AD9" s="496"/>
      <c r="AE9" s="496"/>
      <c r="AF9" s="497"/>
      <c r="AG9" s="495"/>
      <c r="AH9" s="496"/>
      <c r="AI9" s="496"/>
      <c r="AJ9" s="496"/>
      <c r="AK9" s="496"/>
      <c r="AL9" s="496"/>
      <c r="AM9" s="496"/>
      <c r="AN9" s="497"/>
      <c r="AO9" s="495"/>
      <c r="AP9" s="496"/>
      <c r="AQ9" s="496"/>
      <c r="AR9" s="496"/>
      <c r="AS9" s="496"/>
      <c r="AT9" s="496"/>
      <c r="AU9" s="496"/>
      <c r="AV9" s="497"/>
      <c r="AW9" s="495"/>
      <c r="AX9" s="496"/>
      <c r="AY9" s="496"/>
      <c r="AZ9" s="496"/>
      <c r="BA9" s="496"/>
      <c r="BB9" s="496"/>
      <c r="BC9" s="496"/>
      <c r="BD9" s="497"/>
    </row>
    <row r="10" spans="1:56" s="21" customFormat="1" ht="22.5" customHeight="1">
      <c r="A10" s="515" t="s">
        <v>19</v>
      </c>
      <c r="B10" s="516"/>
      <c r="C10" s="516"/>
      <c r="D10" s="516"/>
      <c r="E10" s="517" t="s">
        <v>20</v>
      </c>
      <c r="F10" s="518"/>
      <c r="G10" s="518"/>
      <c r="H10" s="519"/>
      <c r="I10" s="515" t="s">
        <v>19</v>
      </c>
      <c r="J10" s="516"/>
      <c r="K10" s="516"/>
      <c r="L10" s="516"/>
      <c r="M10" s="517" t="s">
        <v>20</v>
      </c>
      <c r="N10" s="518"/>
      <c r="O10" s="518"/>
      <c r="P10" s="519"/>
      <c r="Q10" s="515" t="s">
        <v>19</v>
      </c>
      <c r="R10" s="516"/>
      <c r="S10" s="516"/>
      <c r="T10" s="516"/>
      <c r="U10" s="517" t="s">
        <v>20</v>
      </c>
      <c r="V10" s="518"/>
      <c r="W10" s="518"/>
      <c r="X10" s="519"/>
      <c r="Y10" s="515" t="s">
        <v>19</v>
      </c>
      <c r="Z10" s="516"/>
      <c r="AA10" s="516"/>
      <c r="AB10" s="516"/>
      <c r="AC10" s="517" t="s">
        <v>20</v>
      </c>
      <c r="AD10" s="518"/>
      <c r="AE10" s="518"/>
      <c r="AF10" s="519"/>
      <c r="AG10" s="515" t="s">
        <v>19</v>
      </c>
      <c r="AH10" s="516"/>
      <c r="AI10" s="516"/>
      <c r="AJ10" s="516"/>
      <c r="AK10" s="517" t="s">
        <v>20</v>
      </c>
      <c r="AL10" s="518"/>
      <c r="AM10" s="518"/>
      <c r="AN10" s="519"/>
      <c r="AO10" s="515" t="s">
        <v>19</v>
      </c>
      <c r="AP10" s="516"/>
      <c r="AQ10" s="516"/>
      <c r="AR10" s="516"/>
      <c r="AS10" s="517" t="s">
        <v>20</v>
      </c>
      <c r="AT10" s="518"/>
      <c r="AU10" s="518"/>
      <c r="AV10" s="519"/>
      <c r="AW10" s="515" t="s">
        <v>19</v>
      </c>
      <c r="AX10" s="516"/>
      <c r="AY10" s="516"/>
      <c r="AZ10" s="516"/>
      <c r="BA10" s="517" t="s">
        <v>20</v>
      </c>
      <c r="BB10" s="518"/>
      <c r="BC10" s="518"/>
      <c r="BD10" s="519"/>
    </row>
    <row r="11" spans="1:56" ht="22.5" customHeight="1">
      <c r="A11" s="501" t="s">
        <v>79</v>
      </c>
      <c r="B11" s="502"/>
      <c r="C11" s="505" t="s">
        <v>82</v>
      </c>
      <c r="D11" s="505"/>
      <c r="E11" s="525" t="s">
        <v>23</v>
      </c>
      <c r="F11" s="526"/>
      <c r="G11" s="505" t="s">
        <v>78</v>
      </c>
      <c r="H11" s="506"/>
      <c r="I11" s="501" t="s">
        <v>79</v>
      </c>
      <c r="J11" s="502"/>
      <c r="K11" s="505" t="s">
        <v>82</v>
      </c>
      <c r="L11" s="505"/>
      <c r="M11" s="525" t="s">
        <v>23</v>
      </c>
      <c r="N11" s="526"/>
      <c r="O11" s="505" t="s">
        <v>78</v>
      </c>
      <c r="P11" s="506"/>
      <c r="Q11" s="501" t="s">
        <v>79</v>
      </c>
      <c r="R11" s="502"/>
      <c r="S11" s="505" t="s">
        <v>82</v>
      </c>
      <c r="T11" s="505"/>
      <c r="U11" s="525" t="s">
        <v>23</v>
      </c>
      <c r="V11" s="526"/>
      <c r="W11" s="505" t="s">
        <v>78</v>
      </c>
      <c r="X11" s="506"/>
      <c r="Y11" s="501" t="s">
        <v>79</v>
      </c>
      <c r="Z11" s="502"/>
      <c r="AA11" s="505" t="s">
        <v>82</v>
      </c>
      <c r="AB11" s="505"/>
      <c r="AC11" s="525" t="s">
        <v>23</v>
      </c>
      <c r="AD11" s="526"/>
      <c r="AE11" s="505" t="s">
        <v>78</v>
      </c>
      <c r="AF11" s="506"/>
      <c r="AG11" s="501" t="s">
        <v>79</v>
      </c>
      <c r="AH11" s="502"/>
      <c r="AI11" s="505" t="s">
        <v>82</v>
      </c>
      <c r="AJ11" s="505"/>
      <c r="AK11" s="525" t="s">
        <v>23</v>
      </c>
      <c r="AL11" s="526"/>
      <c r="AM11" s="505" t="s">
        <v>78</v>
      </c>
      <c r="AN11" s="506"/>
      <c r="AO11" s="501" t="s">
        <v>79</v>
      </c>
      <c r="AP11" s="502"/>
      <c r="AQ11" s="505" t="s">
        <v>82</v>
      </c>
      <c r="AR11" s="505"/>
      <c r="AS11" s="525" t="s">
        <v>23</v>
      </c>
      <c r="AT11" s="526"/>
      <c r="AU11" s="505" t="s">
        <v>78</v>
      </c>
      <c r="AV11" s="506"/>
      <c r="AW11" s="501" t="s">
        <v>79</v>
      </c>
      <c r="AX11" s="502"/>
      <c r="AY11" s="505" t="s">
        <v>82</v>
      </c>
      <c r="AZ11" s="505"/>
      <c r="BA11" s="525" t="s">
        <v>23</v>
      </c>
      <c r="BB11" s="526"/>
      <c r="BC11" s="505" t="s">
        <v>78</v>
      </c>
      <c r="BD11" s="506"/>
    </row>
    <row r="12" spans="1:56" ht="22.5" customHeight="1">
      <c r="A12" s="520" t="s">
        <v>25</v>
      </c>
      <c r="B12" s="24" t="s">
        <v>26</v>
      </c>
      <c r="C12" s="503" t="str">
        <f>VLOOKUP(A1,급여대장!$A$6:$AD$13,7,0)</f>
        <v/>
      </c>
      <c r="D12" s="503"/>
      <c r="E12" s="525" t="s">
        <v>27</v>
      </c>
      <c r="F12" s="526"/>
      <c r="G12" s="503">
        <f>VLOOKUP(A1,급여대장!$A$6:$AD$13,16,0)</f>
        <v>0</v>
      </c>
      <c r="H12" s="539"/>
      <c r="I12" s="520" t="s">
        <v>25</v>
      </c>
      <c r="J12" s="24" t="s">
        <v>26</v>
      </c>
      <c r="K12" s="503" t="str">
        <f>VLOOKUP(I1,급여대장!$A$6:$AD$15,7,0)</f>
        <v/>
      </c>
      <c r="L12" s="503"/>
      <c r="M12" s="525" t="s">
        <v>27</v>
      </c>
      <c r="N12" s="526"/>
      <c r="O12" s="503">
        <f>VLOOKUP($I$1,급여대장!$A$6:$AD$15,16,0)</f>
        <v>0</v>
      </c>
      <c r="P12" s="503"/>
      <c r="Q12" s="520" t="s">
        <v>25</v>
      </c>
      <c r="R12" s="24" t="s">
        <v>26</v>
      </c>
      <c r="S12" s="503" t="str">
        <f>VLOOKUP($Q$1,급여대장!$A$6:$AD$15,7,0)</f>
        <v/>
      </c>
      <c r="T12" s="503"/>
      <c r="U12" s="553" t="s">
        <v>27</v>
      </c>
      <c r="V12" s="526"/>
      <c r="W12" s="503">
        <f>VLOOKUP($Q$1,급여대장!$A$6:$AD$15,16,0)</f>
        <v>0</v>
      </c>
      <c r="X12" s="503"/>
      <c r="Y12" s="520" t="s">
        <v>25</v>
      </c>
      <c r="Z12" s="24" t="s">
        <v>26</v>
      </c>
      <c r="AA12" s="503" t="e">
        <f>VLOOKUP($Y$1,급여대장!$A$6:$AD$15,7,0)</f>
        <v>#N/A</v>
      </c>
      <c r="AB12" s="503"/>
      <c r="AC12" s="553" t="s">
        <v>27</v>
      </c>
      <c r="AD12" s="526"/>
      <c r="AE12" s="503" t="e">
        <f>VLOOKUP($Y$1,급여대장!$A$6:$AD$15,16,0)</f>
        <v>#N/A</v>
      </c>
      <c r="AF12" s="503"/>
      <c r="AG12" s="520" t="s">
        <v>25</v>
      </c>
      <c r="AH12" s="24" t="s">
        <v>26</v>
      </c>
      <c r="AI12" s="503" t="e">
        <f>VLOOKUP(AG1,급여대장!$A$6:$AD$15,7,0)</f>
        <v>#N/A</v>
      </c>
      <c r="AJ12" s="503"/>
      <c r="AK12" s="553" t="s">
        <v>27</v>
      </c>
      <c r="AL12" s="526"/>
      <c r="AM12" s="503" t="e">
        <f>VLOOKUP($AG$1,급여대장!$A$6:$AD$15,16,0)</f>
        <v>#N/A</v>
      </c>
      <c r="AN12" s="503"/>
      <c r="AO12" s="520" t="s">
        <v>25</v>
      </c>
      <c r="AP12" s="24" t="s">
        <v>26</v>
      </c>
      <c r="AQ12" s="503" t="e">
        <f>VLOOKUP(AO1,급여대장!$A$6:$AD$15,7,0)</f>
        <v>#N/A</v>
      </c>
      <c r="AR12" s="503"/>
      <c r="AS12" s="553" t="s">
        <v>27</v>
      </c>
      <c r="AT12" s="526"/>
      <c r="AU12" s="503" t="e">
        <f>VLOOKUP(AO1,급여대장!$A$6:$AD$15,16,0)</f>
        <v>#N/A</v>
      </c>
      <c r="AV12" s="539"/>
      <c r="AW12" s="520" t="s">
        <v>25</v>
      </c>
      <c r="AX12" s="24" t="s">
        <v>26</v>
      </c>
      <c r="AY12" s="503" t="e">
        <f>VLOOKUP(AW1,급여대장!$A$6:$AD$15,7,0)</f>
        <v>#N/A</v>
      </c>
      <c r="AZ12" s="503"/>
      <c r="BA12" s="553" t="s">
        <v>27</v>
      </c>
      <c r="BB12" s="526"/>
      <c r="BC12" s="503" t="e">
        <f>VLOOKUP(AW1,급여대장!$A$6:$AD$15,16,0)</f>
        <v>#N/A</v>
      </c>
      <c r="BD12" s="539"/>
    </row>
    <row r="13" spans="1:56" ht="22.5" customHeight="1">
      <c r="A13" s="521"/>
      <c r="B13" s="24" t="s">
        <v>28</v>
      </c>
      <c r="C13" s="503">
        <f>VLOOKUP(A1,급여대장!$A$6:$AD$13,8,0)</f>
        <v>0</v>
      </c>
      <c r="D13" s="503"/>
      <c r="E13" s="525" t="s">
        <v>42</v>
      </c>
      <c r="F13" s="526"/>
      <c r="G13" s="503">
        <f>VLOOKUP(A1,급여대장!$A$6:$AD$13,17,0)</f>
        <v>0</v>
      </c>
      <c r="H13" s="539"/>
      <c r="I13" s="521"/>
      <c r="J13" s="24" t="s">
        <v>28</v>
      </c>
      <c r="K13" s="503">
        <f>VLOOKUP(I1,급여대장!$A$6:$AD$15,8,0)</f>
        <v>0</v>
      </c>
      <c r="L13" s="503"/>
      <c r="M13" s="525" t="s">
        <v>42</v>
      </c>
      <c r="N13" s="526"/>
      <c r="O13" s="503">
        <f>VLOOKUP($I$1,급여대장!$A$6:$AD$15,17,0)</f>
        <v>0</v>
      </c>
      <c r="P13" s="503"/>
      <c r="Q13" s="521"/>
      <c r="R13" s="24" t="s">
        <v>28</v>
      </c>
      <c r="S13" s="503">
        <f>VLOOKUP($Q$1,급여대장!$A$6:$AD$15,8,0)</f>
        <v>0</v>
      </c>
      <c r="T13" s="503"/>
      <c r="U13" s="553" t="s">
        <v>42</v>
      </c>
      <c r="V13" s="526"/>
      <c r="W13" s="503">
        <f>VLOOKUP($Q$1,급여대장!$A$6:$AD$15,17,0)</f>
        <v>0</v>
      </c>
      <c r="X13" s="503"/>
      <c r="Y13" s="521"/>
      <c r="Z13" s="24" t="s">
        <v>28</v>
      </c>
      <c r="AA13" s="503" t="e">
        <f>VLOOKUP($Y$1,급여대장!$A$6:$AD$15,8,0)</f>
        <v>#N/A</v>
      </c>
      <c r="AB13" s="503"/>
      <c r="AC13" s="553" t="s">
        <v>42</v>
      </c>
      <c r="AD13" s="526"/>
      <c r="AE13" s="503" t="e">
        <f>VLOOKUP($Y$1,급여대장!$A$6:$AD$15,17,0)</f>
        <v>#N/A</v>
      </c>
      <c r="AF13" s="503"/>
      <c r="AG13" s="521"/>
      <c r="AH13" s="24" t="s">
        <v>28</v>
      </c>
      <c r="AI13" s="503" t="e">
        <f>VLOOKUP($AG$1,급여대장!$A$6:$AD$15,8,0)</f>
        <v>#N/A</v>
      </c>
      <c r="AJ13" s="503"/>
      <c r="AK13" s="553" t="s">
        <v>42</v>
      </c>
      <c r="AL13" s="526"/>
      <c r="AM13" s="503" t="e">
        <f>VLOOKUP($AG$1,급여대장!$A$6:$AD$15,17,0)</f>
        <v>#N/A</v>
      </c>
      <c r="AN13" s="503"/>
      <c r="AO13" s="521"/>
      <c r="AP13" s="24" t="s">
        <v>28</v>
      </c>
      <c r="AQ13" s="503" t="e">
        <f>VLOOKUP(AO1,급여대장!$A$6:$AD$15,8,0)</f>
        <v>#N/A</v>
      </c>
      <c r="AR13" s="503"/>
      <c r="AS13" s="553" t="s">
        <v>42</v>
      </c>
      <c r="AT13" s="526"/>
      <c r="AU13" s="503" t="e">
        <f>VLOOKUP(AO1,급여대장!$A$6:$AD$15,17,0)</f>
        <v>#N/A</v>
      </c>
      <c r="AV13" s="539"/>
      <c r="AW13" s="521"/>
      <c r="AX13" s="24" t="s">
        <v>28</v>
      </c>
      <c r="AY13" s="503" t="e">
        <f>VLOOKUP(AW1,급여대장!$A$6:$AD$15,8,0)</f>
        <v>#N/A</v>
      </c>
      <c r="AZ13" s="503"/>
      <c r="BA13" s="525" t="s">
        <v>42</v>
      </c>
      <c r="BB13" s="526"/>
      <c r="BC13" s="503" t="e">
        <f>VLOOKUP(AW1,급여대장!$A$6:$AD$15,17,0)</f>
        <v>#N/A</v>
      </c>
      <c r="BD13" s="539"/>
    </row>
    <row r="14" spans="1:56" ht="22.5" customHeight="1">
      <c r="A14" s="521"/>
      <c r="B14" s="24" t="s">
        <v>46</v>
      </c>
      <c r="C14" s="503">
        <f>VLOOKUP(A1,급여대장!$A$6:$AD$13,9,0)</f>
        <v>0</v>
      </c>
      <c r="D14" s="503"/>
      <c r="E14" s="525" t="s">
        <v>41</v>
      </c>
      <c r="F14" s="526"/>
      <c r="G14" s="503">
        <f ca="1">VLOOKUP(A1,급여대장!$A$6:$AD$13,18,0)</f>
        <v>0</v>
      </c>
      <c r="H14" s="539"/>
      <c r="I14" s="521"/>
      <c r="J14" s="24" t="s">
        <v>46</v>
      </c>
      <c r="K14" s="503">
        <f>VLOOKUP($I$1,급여대장!$A$6:$AD$15,9,0)</f>
        <v>0</v>
      </c>
      <c r="L14" s="503"/>
      <c r="M14" s="525" t="s">
        <v>41</v>
      </c>
      <c r="N14" s="526"/>
      <c r="O14" s="503">
        <f ca="1">VLOOKUP($I$1,급여대장!$A$6:$AD$15,18,0)</f>
        <v>0</v>
      </c>
      <c r="P14" s="503"/>
      <c r="Q14" s="521"/>
      <c r="R14" s="24" t="s">
        <v>46</v>
      </c>
      <c r="S14" s="503">
        <f>VLOOKUP($Q$1,급여대장!$A$6:$AD$15,9,0)</f>
        <v>0</v>
      </c>
      <c r="T14" s="503"/>
      <c r="U14" s="553" t="s">
        <v>41</v>
      </c>
      <c r="V14" s="526"/>
      <c r="W14" s="503">
        <f ca="1">VLOOKUP($Q$1,급여대장!$A$6:$AD$15,18,0)</f>
        <v>0</v>
      </c>
      <c r="X14" s="503"/>
      <c r="Y14" s="521"/>
      <c r="Z14" s="24" t="s">
        <v>46</v>
      </c>
      <c r="AA14" s="503" t="e">
        <f>VLOOKUP($Y$1,급여대장!$A$6:$AD$15,9,0)</f>
        <v>#N/A</v>
      </c>
      <c r="AB14" s="503"/>
      <c r="AC14" s="553" t="s">
        <v>41</v>
      </c>
      <c r="AD14" s="526"/>
      <c r="AE14" s="503" t="e">
        <f>VLOOKUP($Y$1,급여대장!$A$6:$AD$15,18,0)</f>
        <v>#N/A</v>
      </c>
      <c r="AF14" s="503"/>
      <c r="AG14" s="521"/>
      <c r="AH14" s="24" t="s">
        <v>46</v>
      </c>
      <c r="AI14" s="503" t="e">
        <f>VLOOKUP($AG$1,급여대장!$A$6:$AD$15,9,0)</f>
        <v>#N/A</v>
      </c>
      <c r="AJ14" s="503"/>
      <c r="AK14" s="553" t="s">
        <v>41</v>
      </c>
      <c r="AL14" s="526"/>
      <c r="AM14" s="503" t="e">
        <f>VLOOKUP($AG$1,급여대장!$A$6:$AD$15,18,0)</f>
        <v>#N/A</v>
      </c>
      <c r="AN14" s="503"/>
      <c r="AO14" s="521"/>
      <c r="AP14" s="24" t="s">
        <v>46</v>
      </c>
      <c r="AQ14" s="503" t="e">
        <f>VLOOKUP(AO1,급여대장!$A$6:$AD$15,9,0)</f>
        <v>#N/A</v>
      </c>
      <c r="AR14" s="503"/>
      <c r="AS14" s="553" t="s">
        <v>41</v>
      </c>
      <c r="AT14" s="526"/>
      <c r="AU14" s="503" t="e">
        <f>VLOOKUP(AO1,급여대장!$A$6:$AD$15,18,0)</f>
        <v>#N/A</v>
      </c>
      <c r="AV14" s="539"/>
      <c r="AW14" s="521"/>
      <c r="AX14" s="24" t="s">
        <v>46</v>
      </c>
      <c r="AY14" s="503" t="e">
        <f>VLOOKUP(AW1,급여대장!$A$6:$AD$15,9,0)</f>
        <v>#N/A</v>
      </c>
      <c r="AZ14" s="503"/>
      <c r="BA14" s="525" t="s">
        <v>41</v>
      </c>
      <c r="BB14" s="526"/>
      <c r="BC14" s="503" t="e">
        <f>VLOOKUP(AW1,급여대장!$A$6:$AD$15,18,0)</f>
        <v>#N/A</v>
      </c>
      <c r="BD14" s="539"/>
    </row>
    <row r="15" spans="1:56" ht="22.5" customHeight="1">
      <c r="A15" s="521"/>
      <c r="B15" s="25" t="s">
        <v>255</v>
      </c>
      <c r="C15" s="503" t="str">
        <f>VLOOKUP(A1,급여대장!$A$6:$AD$13,10,0)</f>
        <v/>
      </c>
      <c r="D15" s="503"/>
      <c r="E15" s="525" t="s">
        <v>29</v>
      </c>
      <c r="F15" s="526"/>
      <c r="G15" s="513">
        <f ca="1">VLOOKUP(A1,급여대장!$A$6:$AD$13,19,0)</f>
        <v>0</v>
      </c>
      <c r="H15" s="514"/>
      <c r="I15" s="521"/>
      <c r="J15" s="25" t="s">
        <v>255</v>
      </c>
      <c r="K15" s="503" t="str">
        <f>VLOOKUP($I$1,급여대장!$A$6:$AD$15,10,0)</f>
        <v/>
      </c>
      <c r="L15" s="503"/>
      <c r="M15" s="525" t="s">
        <v>29</v>
      </c>
      <c r="N15" s="526"/>
      <c r="O15" s="503">
        <f ca="1">VLOOKUP($I$1,급여대장!$A$6:$AD$15,19,0)</f>
        <v>0</v>
      </c>
      <c r="P15" s="503"/>
      <c r="Q15" s="521"/>
      <c r="R15" s="25" t="s">
        <v>255</v>
      </c>
      <c r="S15" s="503" t="str">
        <f>VLOOKUP($Q$1,급여대장!$A$6:$AD$15,10,0)</f>
        <v/>
      </c>
      <c r="T15" s="503"/>
      <c r="U15" s="553" t="s">
        <v>29</v>
      </c>
      <c r="V15" s="526"/>
      <c r="W15" s="503">
        <f ca="1">VLOOKUP($Q$1,급여대장!$A$6:$AD$15,19,0)</f>
        <v>0</v>
      </c>
      <c r="X15" s="503"/>
      <c r="Y15" s="521"/>
      <c r="Z15" s="25" t="s">
        <v>255</v>
      </c>
      <c r="AA15" s="503" t="e">
        <f>VLOOKUP($Y$1,급여대장!$A$6:$AD$15,10,0)</f>
        <v>#N/A</v>
      </c>
      <c r="AB15" s="503"/>
      <c r="AC15" s="553" t="s">
        <v>29</v>
      </c>
      <c r="AD15" s="526"/>
      <c r="AE15" s="503" t="e">
        <f>VLOOKUP($Y$1,급여대장!$A$6:$AD$15,19,0)</f>
        <v>#N/A</v>
      </c>
      <c r="AF15" s="503"/>
      <c r="AG15" s="521"/>
      <c r="AH15" s="25" t="s">
        <v>255</v>
      </c>
      <c r="AI15" s="503" t="e">
        <f>VLOOKUP($AG$1,급여대장!$A$6:$AD$15,10,0)</f>
        <v>#N/A</v>
      </c>
      <c r="AJ15" s="503"/>
      <c r="AK15" s="553" t="s">
        <v>29</v>
      </c>
      <c r="AL15" s="526"/>
      <c r="AM15" s="503" t="e">
        <f>VLOOKUP($AG$1,급여대장!$A$6:$AD$15,19,0)</f>
        <v>#N/A</v>
      </c>
      <c r="AN15" s="503"/>
      <c r="AO15" s="521"/>
      <c r="AP15" s="25" t="s">
        <v>57</v>
      </c>
      <c r="AQ15" s="503" t="e">
        <f>VLOOKUP(AO1,급여대장!$A$6:$AD$15,10,0)</f>
        <v>#N/A</v>
      </c>
      <c r="AR15" s="503"/>
      <c r="AS15" s="553" t="s">
        <v>29</v>
      </c>
      <c r="AT15" s="526"/>
      <c r="AU15" s="503" t="e">
        <f>VLOOKUP(AO1,급여대장!$A$6:$AD$15,19,0)</f>
        <v>#N/A</v>
      </c>
      <c r="AV15" s="539"/>
      <c r="AW15" s="521"/>
      <c r="AX15" s="25" t="s">
        <v>57</v>
      </c>
      <c r="AY15" s="503" t="e">
        <f>VLOOKUP(AW1,급여대장!$A$6:$AD$15,10,0)</f>
        <v>#N/A</v>
      </c>
      <c r="AZ15" s="503"/>
      <c r="BA15" s="525" t="s">
        <v>29</v>
      </c>
      <c r="BB15" s="526"/>
      <c r="BC15" s="513" t="e">
        <f>VLOOKUP(AW1,급여대장!$A$6:$AD$15,19,0)</f>
        <v>#N/A</v>
      </c>
      <c r="BD15" s="514"/>
    </row>
    <row r="16" spans="1:56" ht="22.5" customHeight="1">
      <c r="A16" s="521"/>
      <c r="B16" s="24" t="s">
        <v>257</v>
      </c>
      <c r="C16" s="503" t="str">
        <f>VLOOKUP(A1,급여대장!$A$6:$AD$13,11,0)</f>
        <v/>
      </c>
      <c r="D16" s="503"/>
      <c r="E16" s="525" t="s">
        <v>30</v>
      </c>
      <c r="F16" s="526"/>
      <c r="G16" s="513">
        <f>VLOOKUP(A1,급여대장!$A$6:$AD$13,20,0)</f>
        <v>0</v>
      </c>
      <c r="H16" s="514"/>
      <c r="I16" s="521"/>
      <c r="J16" s="24" t="s">
        <v>257</v>
      </c>
      <c r="K16" s="503" t="str">
        <f>VLOOKUP($I$1,급여대장!$A$6:$AD$15,11,0)</f>
        <v/>
      </c>
      <c r="L16" s="503"/>
      <c r="M16" s="525" t="s">
        <v>30</v>
      </c>
      <c r="N16" s="526"/>
      <c r="O16" s="503">
        <f>VLOOKUP($I$1,급여대장!$A$6:$AD$15,20,0)</f>
        <v>0</v>
      </c>
      <c r="P16" s="503"/>
      <c r="Q16" s="521"/>
      <c r="R16" s="24" t="s">
        <v>257</v>
      </c>
      <c r="S16" s="503" t="str">
        <f>VLOOKUP($Q$1,급여대장!$A$6:$AD$15,11,0)</f>
        <v/>
      </c>
      <c r="T16" s="503"/>
      <c r="U16" s="525" t="s">
        <v>30</v>
      </c>
      <c r="V16" s="526"/>
      <c r="W16" s="503">
        <f>VLOOKUP($Q$1,급여대장!$A$6:$AD$15,20,0)</f>
        <v>0</v>
      </c>
      <c r="X16" s="503"/>
      <c r="Y16" s="521"/>
      <c r="Z16" s="24" t="s">
        <v>257</v>
      </c>
      <c r="AA16" s="503" t="e">
        <f>VLOOKUP($Y$1,급여대장!$A$6:$AD$15,11,0)</f>
        <v>#N/A</v>
      </c>
      <c r="AB16" s="503"/>
      <c r="AC16" s="525" t="s">
        <v>30</v>
      </c>
      <c r="AD16" s="526"/>
      <c r="AE16" s="503" t="e">
        <f>VLOOKUP($Y$1,급여대장!$A$6:$AD$15,20,0)</f>
        <v>#N/A</v>
      </c>
      <c r="AF16" s="503"/>
      <c r="AG16" s="521"/>
      <c r="AH16" s="24" t="s">
        <v>257</v>
      </c>
      <c r="AI16" s="503" t="e">
        <f>VLOOKUP($AG$1,급여대장!$A$6:$AD$15,11,0)</f>
        <v>#N/A</v>
      </c>
      <c r="AJ16" s="503"/>
      <c r="AK16" s="525" t="s">
        <v>30</v>
      </c>
      <c r="AL16" s="526"/>
      <c r="AM16" s="503" t="e">
        <f>VLOOKUP($AG$1,급여대장!$A$6:$AD$15,20,0)</f>
        <v>#N/A</v>
      </c>
      <c r="AN16" s="503"/>
      <c r="AO16" s="521"/>
      <c r="AP16" s="24" t="s">
        <v>88</v>
      </c>
      <c r="AQ16" s="503" t="e">
        <f>VLOOKUP(AO1,급여대장!$A$6:$AD$15,11,0)</f>
        <v>#N/A</v>
      </c>
      <c r="AR16" s="503"/>
      <c r="AS16" s="525" t="s">
        <v>30</v>
      </c>
      <c r="AT16" s="526"/>
      <c r="AU16" s="503" t="e">
        <f>VLOOKUP(AO1,급여대장!$A$6:$AD$15,20,0)</f>
        <v>#N/A</v>
      </c>
      <c r="AV16" s="539"/>
      <c r="AW16" s="521"/>
      <c r="AX16" s="24" t="s">
        <v>88</v>
      </c>
      <c r="AY16" s="503" t="e">
        <f>VLOOKUP(AW1,급여대장!$A$6:$AD$15,11,0)</f>
        <v>#N/A</v>
      </c>
      <c r="AZ16" s="503"/>
      <c r="BA16" s="525" t="s">
        <v>30</v>
      </c>
      <c r="BB16" s="526"/>
      <c r="BC16" s="513" t="e">
        <f>VLOOKUP(AW1,급여대장!$A$6:$AD$15,20,0)</f>
        <v>#N/A</v>
      </c>
      <c r="BD16" s="514"/>
    </row>
    <row r="17" spans="1:56" ht="22.5" customHeight="1">
      <c r="A17" s="521"/>
      <c r="B17" s="24" t="s">
        <v>88</v>
      </c>
      <c r="C17" s="513">
        <f>VLOOKUP(A1,급여대장!$A$6:$AD$15,12,0)</f>
        <v>0</v>
      </c>
      <c r="D17" s="527"/>
      <c r="E17" s="525" t="s">
        <v>31</v>
      </c>
      <c r="F17" s="526"/>
      <c r="G17" s="513">
        <f>VLOOKUP(A1,급여대장!$A$6:$AD$13,21,0)</f>
        <v>0</v>
      </c>
      <c r="H17" s="514"/>
      <c r="I17" s="521"/>
      <c r="J17" s="24" t="s">
        <v>88</v>
      </c>
      <c r="K17" s="513">
        <f>VLOOKUP(I1,급여대장!$A$6:$AD$15,12,0)</f>
        <v>0</v>
      </c>
      <c r="L17" s="527"/>
      <c r="M17" s="525" t="s">
        <v>31</v>
      </c>
      <c r="N17" s="526"/>
      <c r="O17" s="503">
        <f>VLOOKUP($I$1,급여대장!$A$6:$AD$15,21,0)</f>
        <v>0</v>
      </c>
      <c r="P17" s="503"/>
      <c r="Q17" s="521"/>
      <c r="R17" s="24" t="s">
        <v>88</v>
      </c>
      <c r="S17" s="513">
        <f>VLOOKUP(Q1,급여대장!$A$6:$AD$15,12,0)</f>
        <v>0</v>
      </c>
      <c r="T17" s="527"/>
      <c r="U17" s="525" t="s">
        <v>31</v>
      </c>
      <c r="V17" s="526"/>
      <c r="W17" s="503">
        <f>VLOOKUP($Q$1,급여대장!$A$6:$AD$15,21,0)</f>
        <v>0</v>
      </c>
      <c r="X17" s="503"/>
      <c r="Y17" s="521"/>
      <c r="Z17" s="24" t="s">
        <v>88</v>
      </c>
      <c r="AA17" s="513" t="e">
        <f>VLOOKUP(Y1,급여대장!$A$6:$AD$15,12,0)</f>
        <v>#N/A</v>
      </c>
      <c r="AB17" s="527"/>
      <c r="AC17" s="525" t="s">
        <v>31</v>
      </c>
      <c r="AD17" s="526"/>
      <c r="AE17" s="503" t="e">
        <f>VLOOKUP($Y$1,급여대장!$A$6:$AD$15,21,0)</f>
        <v>#N/A</v>
      </c>
      <c r="AF17" s="503"/>
      <c r="AG17" s="521"/>
      <c r="AH17" s="24" t="s">
        <v>88</v>
      </c>
      <c r="AI17" s="513" t="e">
        <f>VLOOKUP(AG1,급여대장!$A$6:$AD$15,12,0)</f>
        <v>#N/A</v>
      </c>
      <c r="AJ17" s="527"/>
      <c r="AK17" s="525" t="s">
        <v>31</v>
      </c>
      <c r="AL17" s="526"/>
      <c r="AM17" s="503" t="e">
        <f>VLOOKUP($AG$1,급여대장!$A$6:$AD$15,21,0)</f>
        <v>#N/A</v>
      </c>
      <c r="AN17" s="503"/>
      <c r="AO17" s="521"/>
      <c r="AP17" s="24"/>
      <c r="AQ17" s="503"/>
      <c r="AR17" s="503"/>
      <c r="AS17" s="525" t="s">
        <v>31</v>
      </c>
      <c r="AT17" s="526"/>
      <c r="AU17" s="503" t="e">
        <f>VLOOKUP(AO1,급여대장!$A$6:$AD$15,21,0)</f>
        <v>#N/A</v>
      </c>
      <c r="AV17" s="539"/>
      <c r="AW17" s="521"/>
      <c r="AX17" s="24"/>
      <c r="AY17" s="503"/>
      <c r="AZ17" s="503"/>
      <c r="BA17" s="525" t="s">
        <v>31</v>
      </c>
      <c r="BB17" s="526"/>
      <c r="BC17" s="513" t="e">
        <f>VLOOKUP(AW1,급여대장!$A$6:$AD$15,21,0)</f>
        <v>#N/A</v>
      </c>
      <c r="BD17" s="514"/>
    </row>
    <row r="18" spans="1:56" ht="22.5" customHeight="1">
      <c r="A18" s="521"/>
      <c r="B18" s="24"/>
      <c r="C18" s="503"/>
      <c r="D18" s="503"/>
      <c r="E18" s="523"/>
      <c r="F18" s="524"/>
      <c r="G18" s="513"/>
      <c r="H18" s="514"/>
      <c r="I18" s="521"/>
      <c r="J18" s="24"/>
      <c r="K18" s="503"/>
      <c r="L18" s="503"/>
      <c r="M18" s="523"/>
      <c r="N18" s="524"/>
      <c r="O18" s="513"/>
      <c r="P18" s="514"/>
      <c r="Q18" s="521"/>
      <c r="R18" s="24"/>
      <c r="S18" s="503"/>
      <c r="T18" s="503"/>
      <c r="U18" s="523"/>
      <c r="V18" s="524"/>
      <c r="W18" s="513"/>
      <c r="X18" s="514"/>
      <c r="Y18" s="521"/>
      <c r="Z18" s="24"/>
      <c r="AA18" s="503"/>
      <c r="AB18" s="503"/>
      <c r="AC18" s="523"/>
      <c r="AD18" s="524"/>
      <c r="AE18" s="513"/>
      <c r="AF18" s="514"/>
      <c r="AG18" s="521"/>
      <c r="AH18" s="24"/>
      <c r="AI18" s="513"/>
      <c r="AJ18" s="527"/>
      <c r="AK18" s="523"/>
      <c r="AL18" s="524"/>
      <c r="AM18" s="513"/>
      <c r="AN18" s="514"/>
      <c r="AO18" s="521"/>
      <c r="AP18" s="24"/>
      <c r="AQ18" s="513"/>
      <c r="AR18" s="527"/>
      <c r="AS18" s="523"/>
      <c r="AT18" s="524"/>
      <c r="AU18" s="513"/>
      <c r="AV18" s="514"/>
      <c r="AW18" s="521"/>
      <c r="AX18" s="24"/>
      <c r="AY18" s="513"/>
      <c r="AZ18" s="527"/>
      <c r="BA18" s="523"/>
      <c r="BB18" s="524"/>
      <c r="BC18" s="513"/>
      <c r="BD18" s="514"/>
    </row>
    <row r="19" spans="1:56" ht="22.5" customHeight="1">
      <c r="A19" s="521"/>
      <c r="B19" s="24"/>
      <c r="C19" s="513"/>
      <c r="D19" s="527"/>
      <c r="E19" s="523"/>
      <c r="F19" s="524"/>
      <c r="G19" s="513"/>
      <c r="H19" s="514"/>
      <c r="I19" s="522"/>
      <c r="J19" s="24"/>
      <c r="K19" s="513"/>
      <c r="L19" s="527"/>
      <c r="M19" s="523"/>
      <c r="N19" s="524"/>
      <c r="O19" s="513"/>
      <c r="P19" s="514"/>
      <c r="Q19" s="522"/>
      <c r="R19" s="24"/>
      <c r="S19" s="513"/>
      <c r="T19" s="527"/>
      <c r="U19" s="523"/>
      <c r="V19" s="524"/>
      <c r="W19" s="513"/>
      <c r="X19" s="514"/>
      <c r="Y19" s="522"/>
      <c r="Z19" s="24"/>
      <c r="AA19" s="513"/>
      <c r="AB19" s="527"/>
      <c r="AC19" s="537"/>
      <c r="AD19" s="538"/>
      <c r="AE19" s="513"/>
      <c r="AF19" s="514"/>
      <c r="AG19" s="522"/>
      <c r="AH19" s="24"/>
      <c r="AI19" s="513"/>
      <c r="AJ19" s="527"/>
      <c r="AK19" s="523"/>
      <c r="AL19" s="524"/>
      <c r="AM19" s="513"/>
      <c r="AN19" s="514"/>
      <c r="AO19" s="522"/>
      <c r="AP19" s="24"/>
      <c r="AQ19" s="513"/>
      <c r="AR19" s="527"/>
      <c r="AS19" s="523"/>
      <c r="AT19" s="524"/>
      <c r="AU19" s="513"/>
      <c r="AV19" s="514"/>
      <c r="AW19" s="522"/>
      <c r="AX19" s="24"/>
      <c r="AY19" s="513"/>
      <c r="AZ19" s="527"/>
      <c r="BA19" s="523"/>
      <c r="BB19" s="524"/>
      <c r="BC19" s="513"/>
      <c r="BD19" s="514"/>
    </row>
    <row r="20" spans="1:56" ht="22.5" customHeight="1">
      <c r="A20" s="521"/>
      <c r="B20" s="24"/>
      <c r="C20" s="14"/>
      <c r="D20" s="15"/>
      <c r="E20" s="523"/>
      <c r="F20" s="524"/>
      <c r="G20" s="513"/>
      <c r="H20" s="514"/>
      <c r="I20" s="19"/>
      <c r="J20" s="24"/>
      <c r="K20" s="14"/>
      <c r="L20" s="15"/>
      <c r="M20" s="523"/>
      <c r="N20" s="524"/>
      <c r="O20" s="513"/>
      <c r="P20" s="514"/>
      <c r="Q20" s="19"/>
      <c r="R20" s="24"/>
      <c r="S20" s="14"/>
      <c r="T20" s="15"/>
      <c r="U20" s="537"/>
      <c r="V20" s="538"/>
      <c r="W20" s="513"/>
      <c r="X20" s="514"/>
      <c r="Y20" s="19"/>
      <c r="Z20" s="24"/>
      <c r="AA20" s="14"/>
      <c r="AB20" s="15"/>
      <c r="AC20" s="537"/>
      <c r="AD20" s="538"/>
      <c r="AE20" s="513"/>
      <c r="AF20" s="514"/>
      <c r="AG20" s="19"/>
      <c r="AH20" s="24"/>
      <c r="AI20" s="14"/>
      <c r="AJ20" s="15"/>
      <c r="AK20" s="537"/>
      <c r="AL20" s="538"/>
      <c r="AM20" s="513"/>
      <c r="AN20" s="514"/>
      <c r="AO20" s="19"/>
      <c r="AP20" s="24"/>
      <c r="AQ20" s="14"/>
      <c r="AR20" s="15"/>
      <c r="AS20" s="537"/>
      <c r="AT20" s="538"/>
      <c r="AU20" s="513"/>
      <c r="AV20" s="514"/>
      <c r="AW20" s="19"/>
      <c r="AX20" s="24"/>
      <c r="AY20" s="14"/>
      <c r="AZ20" s="15"/>
      <c r="BA20" s="537"/>
      <c r="BB20" s="538"/>
      <c r="BC20" s="513"/>
      <c r="BD20" s="514"/>
    </row>
    <row r="21" spans="1:56" ht="22.5" customHeight="1">
      <c r="A21" s="522"/>
      <c r="B21" s="24"/>
      <c r="C21" s="14"/>
      <c r="D21" s="15"/>
      <c r="E21" s="537"/>
      <c r="F21" s="538"/>
      <c r="G21" s="513"/>
      <c r="H21" s="514"/>
      <c r="I21" s="19"/>
      <c r="J21" s="24"/>
      <c r="K21" s="14"/>
      <c r="L21" s="15"/>
      <c r="M21" s="537"/>
      <c r="N21" s="538"/>
      <c r="O21" s="513"/>
      <c r="P21" s="514"/>
      <c r="Q21" s="19"/>
      <c r="R21" s="24"/>
      <c r="S21" s="14"/>
      <c r="T21" s="15"/>
      <c r="U21" s="537"/>
      <c r="V21" s="538"/>
      <c r="W21" s="513"/>
      <c r="X21" s="514"/>
      <c r="Y21" s="19"/>
      <c r="Z21" s="24"/>
      <c r="AA21" s="14"/>
      <c r="AB21" s="15"/>
      <c r="AC21" s="537"/>
      <c r="AD21" s="538"/>
      <c r="AE21" s="513"/>
      <c r="AF21" s="514"/>
      <c r="AG21" s="19"/>
      <c r="AH21" s="24"/>
      <c r="AI21" s="14"/>
      <c r="AJ21" s="15"/>
      <c r="AK21" s="537"/>
      <c r="AL21" s="538"/>
      <c r="AM21" s="513"/>
      <c r="AN21" s="514"/>
      <c r="AO21" s="19"/>
      <c r="AP21" s="24"/>
      <c r="AQ21" s="14"/>
      <c r="AR21" s="15"/>
      <c r="AS21" s="537"/>
      <c r="AT21" s="538"/>
      <c r="AU21" s="513"/>
      <c r="AV21" s="514"/>
      <c r="AW21" s="19"/>
      <c r="AX21" s="24"/>
      <c r="AY21" s="14"/>
      <c r="AZ21" s="15"/>
      <c r="BA21" s="16"/>
      <c r="BB21" s="17"/>
      <c r="BC21" s="14"/>
      <c r="BD21" s="18"/>
    </row>
    <row r="22" spans="1:56" ht="22.5" customHeight="1">
      <c r="A22" s="520" t="s">
        <v>32</v>
      </c>
      <c r="B22" s="24" t="s">
        <v>49</v>
      </c>
      <c r="C22" s="503">
        <f>VLOOKUP(A1,급여대장!$A$6:$AD$13,13,0)</f>
        <v>0</v>
      </c>
      <c r="D22" s="503"/>
      <c r="E22" s="537"/>
      <c r="F22" s="538"/>
      <c r="G22" s="562"/>
      <c r="H22" s="563"/>
      <c r="I22" s="520" t="s">
        <v>32</v>
      </c>
      <c r="J22" s="24" t="s">
        <v>49</v>
      </c>
      <c r="K22" s="503">
        <f>VLOOKUP($I$1,급여대장!$A$6:$AD$15,13,0)</f>
        <v>0</v>
      </c>
      <c r="L22" s="503"/>
      <c r="M22" s="537"/>
      <c r="N22" s="538"/>
      <c r="O22" s="513"/>
      <c r="P22" s="514"/>
      <c r="Q22" s="520" t="s">
        <v>32</v>
      </c>
      <c r="R22" s="24" t="s">
        <v>49</v>
      </c>
      <c r="S22" s="503">
        <f>VLOOKUP($Q$1,급여대장!$A$6:$AD$15,13,0)</f>
        <v>0</v>
      </c>
      <c r="T22" s="503"/>
      <c r="U22" s="537"/>
      <c r="V22" s="538"/>
      <c r="W22" s="513"/>
      <c r="X22" s="514"/>
      <c r="Y22" s="520" t="s">
        <v>32</v>
      </c>
      <c r="Z22" s="24" t="s">
        <v>49</v>
      </c>
      <c r="AA22" s="503" t="e">
        <f>VLOOKUP($Y$1,급여대장!$A$6:$AD$15,13,0)</f>
        <v>#N/A</v>
      </c>
      <c r="AB22" s="503"/>
      <c r="AC22" s="537"/>
      <c r="AD22" s="538"/>
      <c r="AE22" s="513"/>
      <c r="AF22" s="514"/>
      <c r="AG22" s="520" t="s">
        <v>32</v>
      </c>
      <c r="AH22" s="24" t="s">
        <v>49</v>
      </c>
      <c r="AI22" s="503" t="e">
        <f>VLOOKUP($Y$1,급여대장!$A$6:$AD$15,13,0)</f>
        <v>#N/A</v>
      </c>
      <c r="AJ22" s="503"/>
      <c r="AK22" s="537"/>
      <c r="AL22" s="538"/>
      <c r="AM22" s="513"/>
      <c r="AN22" s="514"/>
      <c r="AO22" s="520" t="s">
        <v>32</v>
      </c>
      <c r="AP22" s="24" t="s">
        <v>49</v>
      </c>
      <c r="AQ22" s="503" t="e">
        <f>VLOOKUP($Y$1,급여대장!$A$6:$AD$15,13,0)</f>
        <v>#N/A</v>
      </c>
      <c r="AR22" s="503"/>
      <c r="AS22" s="537"/>
      <c r="AT22" s="538"/>
      <c r="AU22" s="513"/>
      <c r="AV22" s="514"/>
      <c r="AW22" s="520" t="s">
        <v>32</v>
      </c>
      <c r="AX22" s="24" t="s">
        <v>49</v>
      </c>
      <c r="AY22" s="503" t="e">
        <f>VLOOKUP($Y$1,급여대장!$A$6:$AD$15,13,0)</f>
        <v>#N/A</v>
      </c>
      <c r="AZ22" s="503"/>
      <c r="BA22" s="537"/>
      <c r="BB22" s="538"/>
      <c r="BC22" s="513"/>
      <c r="BD22" s="514"/>
    </row>
    <row r="23" spans="1:56" ht="22.5" customHeight="1">
      <c r="A23" s="521"/>
      <c r="B23" s="24"/>
      <c r="C23" s="513"/>
      <c r="D23" s="527"/>
      <c r="E23" s="537"/>
      <c r="F23" s="538"/>
      <c r="G23" s="562"/>
      <c r="H23" s="563"/>
      <c r="I23" s="521"/>
      <c r="J23" s="24"/>
      <c r="K23" s="513"/>
      <c r="L23" s="527"/>
      <c r="M23" s="537"/>
      <c r="N23" s="538"/>
      <c r="O23" s="513"/>
      <c r="P23" s="514"/>
      <c r="Q23" s="521"/>
      <c r="R23" s="24"/>
      <c r="S23" s="513"/>
      <c r="T23" s="527"/>
      <c r="U23" s="537"/>
      <c r="V23" s="538"/>
      <c r="W23" s="513"/>
      <c r="X23" s="514"/>
      <c r="Y23" s="521"/>
      <c r="Z23" s="24"/>
      <c r="AA23" s="513"/>
      <c r="AB23" s="527"/>
      <c r="AC23" s="537"/>
      <c r="AD23" s="538"/>
      <c r="AE23" s="513"/>
      <c r="AF23" s="514"/>
      <c r="AG23" s="521"/>
      <c r="AH23" s="24"/>
      <c r="AI23" s="513"/>
      <c r="AJ23" s="527"/>
      <c r="AK23" s="537"/>
      <c r="AL23" s="538"/>
      <c r="AM23" s="513"/>
      <c r="AN23" s="514"/>
      <c r="AO23" s="521"/>
      <c r="AP23" s="24" t="s">
        <v>88</v>
      </c>
      <c r="AQ23" s="513" t="e">
        <f>VLOOKUP(AO1,급여대장!$A$6:$AD$15,12,0)</f>
        <v>#N/A</v>
      </c>
      <c r="AR23" s="527"/>
      <c r="AS23" s="537"/>
      <c r="AT23" s="538"/>
      <c r="AU23" s="513"/>
      <c r="AV23" s="514"/>
      <c r="AW23" s="521"/>
      <c r="AX23" s="24" t="s">
        <v>88</v>
      </c>
      <c r="AY23" s="513" t="e">
        <f>VLOOKUP(AW1,급여대장!$A$6:$AD$15,12,0)</f>
        <v>#N/A</v>
      </c>
      <c r="AZ23" s="527"/>
      <c r="BA23" s="537"/>
      <c r="BB23" s="538"/>
      <c r="BC23" s="513"/>
      <c r="BD23" s="514"/>
    </row>
    <row r="24" spans="1:56" ht="22.5" customHeight="1">
      <c r="A24" s="522"/>
      <c r="B24" s="24"/>
      <c r="C24" s="513"/>
      <c r="D24" s="527"/>
      <c r="E24" s="537"/>
      <c r="F24" s="538"/>
      <c r="G24" s="513"/>
      <c r="H24" s="514"/>
      <c r="I24" s="522"/>
      <c r="J24" s="24"/>
      <c r="K24" s="513"/>
      <c r="L24" s="527"/>
      <c r="M24" s="537"/>
      <c r="N24" s="538"/>
      <c r="O24" s="513"/>
      <c r="P24" s="514"/>
      <c r="Q24" s="522"/>
      <c r="R24" s="24"/>
      <c r="S24" s="513"/>
      <c r="T24" s="527"/>
      <c r="U24" s="537"/>
      <c r="V24" s="538"/>
      <c r="W24" s="513"/>
      <c r="X24" s="514"/>
      <c r="Y24" s="522"/>
      <c r="Z24" s="24"/>
      <c r="AA24" s="513"/>
      <c r="AB24" s="527"/>
      <c r="AC24" s="537"/>
      <c r="AD24" s="538"/>
      <c r="AE24" s="513"/>
      <c r="AF24" s="514"/>
      <c r="AG24" s="522"/>
      <c r="AH24" s="24"/>
      <c r="AI24" s="513"/>
      <c r="AJ24" s="527"/>
      <c r="AK24" s="537"/>
      <c r="AL24" s="538"/>
      <c r="AM24" s="513"/>
      <c r="AN24" s="514"/>
      <c r="AO24" s="522"/>
      <c r="AP24" s="24"/>
      <c r="AQ24" s="513"/>
      <c r="AR24" s="527"/>
      <c r="AS24" s="537"/>
      <c r="AT24" s="538"/>
      <c r="AU24" s="513"/>
      <c r="AV24" s="514"/>
      <c r="AW24" s="522"/>
      <c r="AX24" s="24"/>
      <c r="AY24" s="513"/>
      <c r="AZ24" s="527"/>
      <c r="BA24" s="537"/>
      <c r="BB24" s="538"/>
      <c r="BC24" s="513"/>
      <c r="BD24" s="514"/>
    </row>
    <row r="25" spans="1:56" ht="22.5" customHeight="1">
      <c r="A25" s="561" t="s">
        <v>33</v>
      </c>
      <c r="B25" s="550"/>
      <c r="C25" s="528">
        <f>SUM(C12:D24)</f>
        <v>0</v>
      </c>
      <c r="D25" s="528"/>
      <c r="E25" s="509" t="s">
        <v>34</v>
      </c>
      <c r="F25" s="510"/>
      <c r="G25" s="528">
        <f ca="1">SUM(G12:H24)</f>
        <v>0</v>
      </c>
      <c r="H25" s="529"/>
      <c r="I25" s="561" t="s">
        <v>33</v>
      </c>
      <c r="J25" s="550"/>
      <c r="K25" s="528">
        <f>SUM(K12:L24)</f>
        <v>0</v>
      </c>
      <c r="L25" s="528"/>
      <c r="M25" s="509" t="s">
        <v>34</v>
      </c>
      <c r="N25" s="510"/>
      <c r="O25" s="528">
        <f ca="1">SUM(O12:P24)</f>
        <v>0</v>
      </c>
      <c r="P25" s="529"/>
      <c r="Q25" s="561" t="s">
        <v>33</v>
      </c>
      <c r="R25" s="550"/>
      <c r="S25" s="528">
        <f>SUM(S12:T24)</f>
        <v>0</v>
      </c>
      <c r="T25" s="528"/>
      <c r="U25" s="509" t="s">
        <v>34</v>
      </c>
      <c r="V25" s="510"/>
      <c r="W25" s="528">
        <f ca="1">SUM(W12:X24)</f>
        <v>0</v>
      </c>
      <c r="X25" s="529"/>
      <c r="Y25" s="561" t="s">
        <v>33</v>
      </c>
      <c r="Z25" s="550"/>
      <c r="AA25" s="528" t="e">
        <f>SUM(AA12:AB24)</f>
        <v>#N/A</v>
      </c>
      <c r="AB25" s="528"/>
      <c r="AC25" s="509" t="s">
        <v>34</v>
      </c>
      <c r="AD25" s="510"/>
      <c r="AE25" s="528" t="e">
        <f>SUM(AE12:AF24)</f>
        <v>#N/A</v>
      </c>
      <c r="AF25" s="529"/>
      <c r="AG25" s="561" t="s">
        <v>33</v>
      </c>
      <c r="AH25" s="550"/>
      <c r="AI25" s="528" t="e">
        <f>SUM(AI12:AJ24)</f>
        <v>#N/A</v>
      </c>
      <c r="AJ25" s="528"/>
      <c r="AK25" s="509" t="s">
        <v>34</v>
      </c>
      <c r="AL25" s="510"/>
      <c r="AM25" s="528" t="e">
        <f>SUM(AM12:AN24)</f>
        <v>#N/A</v>
      </c>
      <c r="AN25" s="529"/>
      <c r="AO25" s="561" t="s">
        <v>33</v>
      </c>
      <c r="AP25" s="550"/>
      <c r="AQ25" s="528" t="e">
        <f>SUM(AQ12:AR24)</f>
        <v>#N/A</v>
      </c>
      <c r="AR25" s="528"/>
      <c r="AS25" s="509" t="s">
        <v>34</v>
      </c>
      <c r="AT25" s="510"/>
      <c r="AU25" s="528" t="e">
        <f>SUM(AU12:AV24)</f>
        <v>#N/A</v>
      </c>
      <c r="AV25" s="529"/>
      <c r="AW25" s="561" t="s">
        <v>33</v>
      </c>
      <c r="AX25" s="550"/>
      <c r="AY25" s="528" t="e">
        <f>SUM(AY12:AZ24)</f>
        <v>#N/A</v>
      </c>
      <c r="AZ25" s="528"/>
      <c r="BA25" s="509" t="s">
        <v>34</v>
      </c>
      <c r="BB25" s="510"/>
      <c r="BC25" s="528" t="e">
        <f>SUM(BC12:BD24)</f>
        <v>#N/A</v>
      </c>
      <c r="BD25" s="529"/>
    </row>
    <row r="26" spans="1:56" ht="22.5" customHeight="1">
      <c r="A26" s="507"/>
      <c r="B26" s="508"/>
      <c r="C26" s="10"/>
      <c r="D26" s="10"/>
      <c r="E26" s="509" t="s">
        <v>35</v>
      </c>
      <c r="F26" s="510"/>
      <c r="G26" s="528">
        <f ca="1">C25-G25</f>
        <v>0</v>
      </c>
      <c r="H26" s="529"/>
      <c r="I26" s="507"/>
      <c r="J26" s="508"/>
      <c r="K26" s="10"/>
      <c r="L26" s="10"/>
      <c r="M26" s="509" t="s">
        <v>35</v>
      </c>
      <c r="N26" s="510"/>
      <c r="O26" s="528">
        <f ca="1">K25-O25</f>
        <v>0</v>
      </c>
      <c r="P26" s="529"/>
      <c r="Q26" s="507"/>
      <c r="R26" s="508"/>
      <c r="S26" s="10"/>
      <c r="T26" s="10"/>
      <c r="U26" s="509" t="s">
        <v>35</v>
      </c>
      <c r="V26" s="510"/>
      <c r="W26" s="528">
        <f ca="1">S25-W25</f>
        <v>0</v>
      </c>
      <c r="X26" s="529"/>
      <c r="Y26" s="559"/>
      <c r="Z26" s="560"/>
      <c r="AA26" s="26"/>
      <c r="AB26" s="26"/>
      <c r="AC26" s="509" t="s">
        <v>35</v>
      </c>
      <c r="AD26" s="510"/>
      <c r="AE26" s="528" t="e">
        <f>AA25-AE25</f>
        <v>#N/A</v>
      </c>
      <c r="AF26" s="529"/>
      <c r="AG26" s="507"/>
      <c r="AH26" s="508"/>
      <c r="AI26" s="10"/>
      <c r="AJ26" s="10"/>
      <c r="AK26" s="509" t="s">
        <v>35</v>
      </c>
      <c r="AL26" s="510"/>
      <c r="AM26" s="528" t="e">
        <f>AI25-AM25</f>
        <v>#N/A</v>
      </c>
      <c r="AN26" s="529"/>
      <c r="AO26" s="507"/>
      <c r="AP26" s="508"/>
      <c r="AQ26" s="10"/>
      <c r="AR26" s="10"/>
      <c r="AS26" s="509" t="s">
        <v>35</v>
      </c>
      <c r="AT26" s="510"/>
      <c r="AU26" s="528" t="e">
        <f>AQ25-AU25</f>
        <v>#N/A</v>
      </c>
      <c r="AV26" s="529"/>
      <c r="AW26" s="507"/>
      <c r="AX26" s="508"/>
      <c r="AY26" s="10"/>
      <c r="AZ26" s="10"/>
      <c r="BA26" s="509" t="s">
        <v>35</v>
      </c>
      <c r="BB26" s="510"/>
      <c r="BC26" s="528" t="e">
        <f>AY25-BC25</f>
        <v>#N/A</v>
      </c>
      <c r="BD26" s="529"/>
    </row>
    <row r="27" spans="1:56" ht="22.5" customHeight="1">
      <c r="A27" s="534" t="s">
        <v>83</v>
      </c>
      <c r="B27" s="505"/>
      <c r="C27" s="505"/>
      <c r="D27" s="505"/>
      <c r="E27" s="505"/>
      <c r="F27" s="505"/>
      <c r="G27" s="505"/>
      <c r="H27" s="506"/>
      <c r="I27" s="534" t="s">
        <v>83</v>
      </c>
      <c r="J27" s="505"/>
      <c r="K27" s="505"/>
      <c r="L27" s="505"/>
      <c r="M27" s="505"/>
      <c r="N27" s="505"/>
      <c r="O27" s="505"/>
      <c r="P27" s="506"/>
      <c r="Q27" s="534" t="s">
        <v>83</v>
      </c>
      <c r="R27" s="505"/>
      <c r="S27" s="505"/>
      <c r="T27" s="505"/>
      <c r="U27" s="505"/>
      <c r="V27" s="505"/>
      <c r="W27" s="505"/>
      <c r="X27" s="506"/>
      <c r="Y27" s="534" t="s">
        <v>83</v>
      </c>
      <c r="Z27" s="505"/>
      <c r="AA27" s="505"/>
      <c r="AB27" s="505"/>
      <c r="AC27" s="505"/>
      <c r="AD27" s="505"/>
      <c r="AE27" s="505"/>
      <c r="AF27" s="506"/>
      <c r="AG27" s="534" t="s">
        <v>83</v>
      </c>
      <c r="AH27" s="505"/>
      <c r="AI27" s="505"/>
      <c r="AJ27" s="505"/>
      <c r="AK27" s="505"/>
      <c r="AL27" s="505"/>
      <c r="AM27" s="505"/>
      <c r="AN27" s="506"/>
      <c r="AO27" s="534" t="s">
        <v>83</v>
      </c>
      <c r="AP27" s="505"/>
      <c r="AQ27" s="505"/>
      <c r="AR27" s="505"/>
      <c r="AS27" s="505"/>
      <c r="AT27" s="505"/>
      <c r="AU27" s="505"/>
      <c r="AV27" s="506"/>
      <c r="AW27" s="534" t="s">
        <v>83</v>
      </c>
      <c r="AX27" s="505"/>
      <c r="AY27" s="505"/>
      <c r="AZ27" s="505"/>
      <c r="BA27" s="505"/>
      <c r="BB27" s="505"/>
      <c r="BC27" s="505"/>
      <c r="BD27" s="506"/>
    </row>
    <row r="28" spans="1:56" ht="22.5" customHeight="1">
      <c r="A28" s="501" t="s">
        <v>37</v>
      </c>
      <c r="B28" s="502"/>
      <c r="C28" s="505" t="s">
        <v>38</v>
      </c>
      <c r="D28" s="505"/>
      <c r="E28" s="505"/>
      <c r="F28" s="505"/>
      <c r="G28" s="505" t="s">
        <v>39</v>
      </c>
      <c r="H28" s="506"/>
      <c r="I28" s="501" t="s">
        <v>37</v>
      </c>
      <c r="J28" s="502"/>
      <c r="K28" s="505" t="s">
        <v>38</v>
      </c>
      <c r="L28" s="505"/>
      <c r="M28" s="505"/>
      <c r="N28" s="505"/>
      <c r="O28" s="505" t="s">
        <v>39</v>
      </c>
      <c r="P28" s="506"/>
      <c r="Q28" s="501" t="s">
        <v>37</v>
      </c>
      <c r="R28" s="502"/>
      <c r="S28" s="505" t="s">
        <v>38</v>
      </c>
      <c r="T28" s="505"/>
      <c r="U28" s="505"/>
      <c r="V28" s="505"/>
      <c r="W28" s="505" t="s">
        <v>39</v>
      </c>
      <c r="X28" s="506"/>
      <c r="Y28" s="501" t="s">
        <v>37</v>
      </c>
      <c r="Z28" s="502"/>
      <c r="AA28" s="505" t="s">
        <v>38</v>
      </c>
      <c r="AB28" s="505"/>
      <c r="AC28" s="505"/>
      <c r="AD28" s="505"/>
      <c r="AE28" s="505" t="s">
        <v>39</v>
      </c>
      <c r="AF28" s="506"/>
      <c r="AG28" s="501" t="s">
        <v>37</v>
      </c>
      <c r="AH28" s="502"/>
      <c r="AI28" s="505" t="s">
        <v>38</v>
      </c>
      <c r="AJ28" s="505"/>
      <c r="AK28" s="505"/>
      <c r="AL28" s="505"/>
      <c r="AM28" s="505" t="s">
        <v>39</v>
      </c>
      <c r="AN28" s="506"/>
      <c r="AO28" s="501" t="s">
        <v>37</v>
      </c>
      <c r="AP28" s="502"/>
      <c r="AQ28" s="505" t="s">
        <v>38</v>
      </c>
      <c r="AR28" s="505"/>
      <c r="AS28" s="505"/>
      <c r="AT28" s="505"/>
      <c r="AU28" s="505" t="s">
        <v>39</v>
      </c>
      <c r="AV28" s="506"/>
      <c r="AW28" s="501" t="s">
        <v>37</v>
      </c>
      <c r="AX28" s="502"/>
      <c r="AY28" s="505" t="s">
        <v>38</v>
      </c>
      <c r="AZ28" s="505"/>
      <c r="BA28" s="505"/>
      <c r="BB28" s="505"/>
      <c r="BC28" s="505" t="s">
        <v>39</v>
      </c>
      <c r="BD28" s="506"/>
    </row>
    <row r="29" spans="1:56" ht="22.5" customHeight="1">
      <c r="A29" s="501" t="s">
        <v>65</v>
      </c>
      <c r="B29" s="502"/>
      <c r="C29" s="511" t="s">
        <v>85</v>
      </c>
      <c r="D29" s="499"/>
      <c r="E29" s="499"/>
      <c r="F29" s="512"/>
      <c r="G29" s="503" t="str">
        <f>C12</f>
        <v/>
      </c>
      <c r="H29" s="504"/>
      <c r="I29" s="501" t="s">
        <v>65</v>
      </c>
      <c r="J29" s="502"/>
      <c r="K29" s="511" t="s">
        <v>85</v>
      </c>
      <c r="L29" s="499"/>
      <c r="M29" s="499"/>
      <c r="N29" s="512"/>
      <c r="O29" s="503" t="str">
        <f>K12</f>
        <v/>
      </c>
      <c r="P29" s="504"/>
      <c r="Q29" s="501" t="s">
        <v>65</v>
      </c>
      <c r="R29" s="502"/>
      <c r="S29" s="511" t="s">
        <v>85</v>
      </c>
      <c r="T29" s="499"/>
      <c r="U29" s="499"/>
      <c r="V29" s="512"/>
      <c r="W29" s="503" t="str">
        <f>S12</f>
        <v/>
      </c>
      <c r="X29" s="504"/>
      <c r="Y29" s="501" t="s">
        <v>65</v>
      </c>
      <c r="Z29" s="502"/>
      <c r="AA29" s="511" t="s">
        <v>85</v>
      </c>
      <c r="AB29" s="499"/>
      <c r="AC29" s="499"/>
      <c r="AD29" s="512"/>
      <c r="AE29" s="503" t="e">
        <f>AA12</f>
        <v>#N/A</v>
      </c>
      <c r="AF29" s="504"/>
      <c r="AG29" s="501" t="s">
        <v>65</v>
      </c>
      <c r="AH29" s="502"/>
      <c r="AI29" s="511" t="s">
        <v>85</v>
      </c>
      <c r="AJ29" s="499"/>
      <c r="AK29" s="499"/>
      <c r="AL29" s="512"/>
      <c r="AM29" s="503" t="e">
        <f>AI12</f>
        <v>#N/A</v>
      </c>
      <c r="AN29" s="504"/>
      <c r="AO29" s="501" t="s">
        <v>65</v>
      </c>
      <c r="AP29" s="502"/>
      <c r="AQ29" s="511" t="s">
        <v>85</v>
      </c>
      <c r="AR29" s="499"/>
      <c r="AS29" s="499"/>
      <c r="AT29" s="512"/>
      <c r="AU29" s="503" t="e">
        <f>AQ12</f>
        <v>#N/A</v>
      </c>
      <c r="AV29" s="504"/>
      <c r="AW29" s="501" t="s">
        <v>65</v>
      </c>
      <c r="AX29" s="502"/>
      <c r="AY29" s="511" t="s">
        <v>85</v>
      </c>
      <c r="AZ29" s="499"/>
      <c r="BA29" s="499"/>
      <c r="BB29" s="512"/>
      <c r="BC29" s="503" t="e">
        <f>AY12</f>
        <v>#N/A</v>
      </c>
      <c r="BD29" s="504"/>
    </row>
    <row r="30" spans="1:56" ht="22.5" customHeight="1">
      <c r="A30" s="501" t="s">
        <v>255</v>
      </c>
      <c r="B30" s="502"/>
      <c r="C30" s="535" t="s">
        <v>254</v>
      </c>
      <c r="D30" s="536"/>
      <c r="E30" s="7" t="str">
        <f ca="1">VLOOKUP(A1,급여대장!$A$6:$O$15,6,0)</f>
        <v/>
      </c>
      <c r="F30" s="145" t="s">
        <v>281</v>
      </c>
      <c r="G30" s="503" t="str">
        <f>C15</f>
        <v/>
      </c>
      <c r="H30" s="504"/>
      <c r="I30" s="501" t="s">
        <v>255</v>
      </c>
      <c r="J30" s="502"/>
      <c r="K30" s="535" t="s">
        <v>254</v>
      </c>
      <c r="L30" s="536"/>
      <c r="M30" s="7" t="str">
        <f ca="1">VLOOKUP(I1,급여대장!$A$6:$O$15,6,0)</f>
        <v/>
      </c>
      <c r="N30" s="145" t="s">
        <v>281</v>
      </c>
      <c r="O30" s="503" t="str">
        <f>K15</f>
        <v/>
      </c>
      <c r="P30" s="504"/>
      <c r="Q30" s="501" t="s">
        <v>255</v>
      </c>
      <c r="R30" s="502"/>
      <c r="S30" s="535" t="s">
        <v>254</v>
      </c>
      <c r="T30" s="536"/>
      <c r="U30" s="7" t="str">
        <f ca="1">VLOOKUP(Q1,급여대장!$A$6:$O$15,6,0)</f>
        <v/>
      </c>
      <c r="V30" s="145" t="s">
        <v>281</v>
      </c>
      <c r="W30" s="503" t="str">
        <f>S15</f>
        <v/>
      </c>
      <c r="X30" s="504"/>
      <c r="Y30" s="501" t="s">
        <v>255</v>
      </c>
      <c r="Z30" s="502"/>
      <c r="AA30" s="535" t="s">
        <v>254</v>
      </c>
      <c r="AB30" s="536"/>
      <c r="AC30" s="7" t="e">
        <f>VLOOKUP(Y1,급여대장!$A$6:$O$15,6,0)</f>
        <v>#N/A</v>
      </c>
      <c r="AD30" s="145" t="s">
        <v>281</v>
      </c>
      <c r="AE30" s="503" t="e">
        <f>AA15</f>
        <v>#N/A</v>
      </c>
      <c r="AF30" s="504"/>
      <c r="AG30" s="501" t="s">
        <v>255</v>
      </c>
      <c r="AH30" s="502"/>
      <c r="AI30" s="535" t="s">
        <v>254</v>
      </c>
      <c r="AJ30" s="536"/>
      <c r="AK30" s="7" t="e">
        <f>VLOOKUP(AG1,급여대장!$A$6:$O$15,6,0)</f>
        <v>#N/A</v>
      </c>
      <c r="AL30" s="145" t="s">
        <v>281</v>
      </c>
      <c r="AM30" s="503" t="e">
        <f>AI15</f>
        <v>#N/A</v>
      </c>
      <c r="AN30" s="504"/>
      <c r="AO30" s="501" t="s">
        <v>57</v>
      </c>
      <c r="AP30" s="502"/>
      <c r="AQ30" s="511" t="s">
        <v>86</v>
      </c>
      <c r="AR30" s="499"/>
      <c r="AS30" s="499"/>
      <c r="AT30" s="512"/>
      <c r="AU30" s="503" t="e">
        <f>AQ15</f>
        <v>#N/A</v>
      </c>
      <c r="AV30" s="504"/>
      <c r="AW30" s="501" t="s">
        <v>57</v>
      </c>
      <c r="AX30" s="502"/>
      <c r="AY30" s="511" t="s">
        <v>86</v>
      </c>
      <c r="AZ30" s="499"/>
      <c r="BA30" s="499"/>
      <c r="BB30" s="512"/>
      <c r="BC30" s="503" t="e">
        <f>AY15</f>
        <v>#N/A</v>
      </c>
      <c r="BD30" s="504"/>
    </row>
    <row r="31" spans="1:56" ht="22.5" customHeight="1">
      <c r="A31" s="501" t="s">
        <v>257</v>
      </c>
      <c r="B31" s="502"/>
      <c r="C31" s="535" t="s">
        <v>254</v>
      </c>
      <c r="D31" s="536"/>
      <c r="E31" s="7" t="str">
        <f>VLOOKUP(A1,'포괄 급여계산'!$A$3:$S$12,18,0)</f>
        <v/>
      </c>
      <c r="F31" s="145" t="s">
        <v>281</v>
      </c>
      <c r="G31" s="503" t="str">
        <f>C16</f>
        <v/>
      </c>
      <c r="H31" s="504"/>
      <c r="I31" s="501" t="s">
        <v>257</v>
      </c>
      <c r="J31" s="502"/>
      <c r="K31" s="535" t="s">
        <v>254</v>
      </c>
      <c r="L31" s="536"/>
      <c r="M31" s="7" t="str">
        <f>VLOOKUP(I1,'포괄 급여계산'!$A$3:$S$12,18,0)</f>
        <v/>
      </c>
      <c r="N31" s="145" t="s">
        <v>281</v>
      </c>
      <c r="O31" s="503" t="str">
        <f>K16</f>
        <v/>
      </c>
      <c r="P31" s="504"/>
      <c r="Q31" s="501" t="s">
        <v>257</v>
      </c>
      <c r="R31" s="502"/>
      <c r="S31" s="535" t="s">
        <v>254</v>
      </c>
      <c r="T31" s="536"/>
      <c r="U31" s="7" t="str">
        <f>VLOOKUP(Q1,'포괄 급여계산'!$A$3:$S$12,18,0)</f>
        <v/>
      </c>
      <c r="V31" s="145" t="s">
        <v>281</v>
      </c>
      <c r="W31" s="503" t="str">
        <f>S16</f>
        <v/>
      </c>
      <c r="X31" s="504"/>
      <c r="Y31" s="501" t="s">
        <v>257</v>
      </c>
      <c r="Z31" s="502"/>
      <c r="AA31" s="535" t="s">
        <v>254</v>
      </c>
      <c r="AB31" s="536"/>
      <c r="AC31" s="7" t="e">
        <f>VLOOKUP(Y1,'포괄 급여계산'!$A$3:$S$12,18,0)</f>
        <v>#N/A</v>
      </c>
      <c r="AD31" s="145" t="s">
        <v>281</v>
      </c>
      <c r="AE31" s="503" t="e">
        <f>AA16</f>
        <v>#N/A</v>
      </c>
      <c r="AF31" s="504"/>
      <c r="AG31" s="501" t="s">
        <v>257</v>
      </c>
      <c r="AH31" s="502"/>
      <c r="AI31" s="535" t="s">
        <v>254</v>
      </c>
      <c r="AJ31" s="536"/>
      <c r="AK31" s="7" t="e">
        <f>VLOOKUP(AG1,'포괄 급여계산'!$A$3:$S$12,18,0)</f>
        <v>#N/A</v>
      </c>
      <c r="AL31" s="145" t="s">
        <v>281</v>
      </c>
      <c r="AM31" s="503" t="e">
        <f>AI16</f>
        <v>#N/A</v>
      </c>
      <c r="AN31" s="504"/>
      <c r="AO31" s="501"/>
      <c r="AP31" s="502"/>
      <c r="AQ31" s="11"/>
      <c r="AR31" s="7"/>
      <c r="AS31" s="7"/>
      <c r="AT31" s="9"/>
      <c r="AU31" s="587"/>
      <c r="AV31" s="504"/>
      <c r="AW31" s="534"/>
      <c r="AX31" s="505"/>
      <c r="AY31" s="11"/>
      <c r="AZ31" s="7"/>
      <c r="BA31" s="7"/>
      <c r="BB31" s="9"/>
      <c r="BC31" s="587"/>
      <c r="BD31" s="504"/>
    </row>
    <row r="32" spans="1:56" ht="22.5" customHeight="1">
      <c r="A32" s="564" t="s">
        <v>287</v>
      </c>
      <c r="B32" s="512"/>
      <c r="C32" s="535" t="s">
        <v>254</v>
      </c>
      <c r="D32" s="536"/>
      <c r="E32" s="7" t="str">
        <f>VLOOKUP(A1,'포괄 급여계산'!$A$3:$AG$19,26,0)</f>
        <v/>
      </c>
      <c r="F32" s="145" t="s">
        <v>281</v>
      </c>
      <c r="G32" s="513">
        <f>C17</f>
        <v>0</v>
      </c>
      <c r="H32" s="565"/>
      <c r="I32" s="564" t="s">
        <v>287</v>
      </c>
      <c r="J32" s="512"/>
      <c r="K32" s="535" t="s">
        <v>254</v>
      </c>
      <c r="L32" s="536"/>
      <c r="M32" s="7" t="str">
        <f>VLOOKUP(I1,'포괄 급여계산'!$A$3:$AG$19,26,0)</f>
        <v/>
      </c>
      <c r="N32" s="145" t="s">
        <v>281</v>
      </c>
      <c r="O32" s="513">
        <f>K17</f>
        <v>0</v>
      </c>
      <c r="P32" s="565"/>
      <c r="Q32" s="564" t="s">
        <v>287</v>
      </c>
      <c r="R32" s="512"/>
      <c r="S32" s="535" t="s">
        <v>254</v>
      </c>
      <c r="T32" s="536"/>
      <c r="U32" s="7" t="str">
        <f>VLOOKUP(Q1,'포괄 급여계산'!$A$3:$AG$19,26,0)</f>
        <v/>
      </c>
      <c r="V32" s="145" t="s">
        <v>281</v>
      </c>
      <c r="W32" s="513">
        <f>S17</f>
        <v>0</v>
      </c>
      <c r="X32" s="565"/>
      <c r="Y32" s="564" t="s">
        <v>287</v>
      </c>
      <c r="Z32" s="512"/>
      <c r="AA32" s="535" t="s">
        <v>254</v>
      </c>
      <c r="AB32" s="536"/>
      <c r="AC32" s="7" t="e">
        <f>VLOOKUP(Y1,'포괄 급여계산'!$A$3:$AG$19,26,0)</f>
        <v>#N/A</v>
      </c>
      <c r="AD32" s="145" t="s">
        <v>281</v>
      </c>
      <c r="AE32" s="513" t="e">
        <f>AA17</f>
        <v>#N/A</v>
      </c>
      <c r="AF32" s="565"/>
      <c r="AG32" s="564" t="s">
        <v>287</v>
      </c>
      <c r="AH32" s="512"/>
      <c r="AI32" s="535" t="s">
        <v>254</v>
      </c>
      <c r="AJ32" s="536"/>
      <c r="AK32" s="7" t="e">
        <f>VLOOKUP(AG1,'포괄 급여계산'!$A$3:$AG$19,26,0)</f>
        <v>#N/A</v>
      </c>
      <c r="AL32" s="145" t="s">
        <v>281</v>
      </c>
      <c r="AM32" s="513" t="e">
        <f>AI17</f>
        <v>#N/A</v>
      </c>
      <c r="AN32" s="565"/>
      <c r="AO32" s="564"/>
      <c r="AP32" s="512"/>
      <c r="AQ32" s="11"/>
      <c r="AR32" s="7"/>
      <c r="AS32" s="7"/>
      <c r="AT32" s="9"/>
      <c r="AU32" s="537"/>
      <c r="AV32" s="565"/>
      <c r="AW32" s="564"/>
      <c r="AX32" s="512"/>
      <c r="AY32" s="11"/>
      <c r="AZ32" s="7"/>
      <c r="BA32" s="7"/>
      <c r="BB32" s="9"/>
      <c r="BC32" s="537"/>
      <c r="BD32" s="565"/>
    </row>
    <row r="33" spans="1:56" ht="39.75" customHeight="1">
      <c r="A33" s="498" t="s">
        <v>90</v>
      </c>
      <c r="B33" s="499"/>
      <c r="C33" s="499"/>
      <c r="D33" s="499"/>
      <c r="E33" s="499"/>
      <c r="F33" s="499"/>
      <c r="G33" s="499"/>
      <c r="H33" s="500"/>
      <c r="I33" s="498" t="s">
        <v>90</v>
      </c>
      <c r="J33" s="499"/>
      <c r="K33" s="499"/>
      <c r="L33" s="499"/>
      <c r="M33" s="499"/>
      <c r="N33" s="499"/>
      <c r="O33" s="499"/>
      <c r="P33" s="500"/>
      <c r="Q33" s="498" t="s">
        <v>90</v>
      </c>
      <c r="R33" s="499"/>
      <c r="S33" s="499"/>
      <c r="T33" s="499"/>
      <c r="U33" s="499"/>
      <c r="V33" s="499"/>
      <c r="W33" s="499"/>
      <c r="X33" s="500"/>
      <c r="Y33" s="498" t="s">
        <v>90</v>
      </c>
      <c r="Z33" s="499"/>
      <c r="AA33" s="499"/>
      <c r="AB33" s="499"/>
      <c r="AC33" s="499"/>
      <c r="AD33" s="499"/>
      <c r="AE33" s="499"/>
      <c r="AF33" s="500"/>
      <c r="AG33" s="498" t="s">
        <v>90</v>
      </c>
      <c r="AH33" s="499"/>
      <c r="AI33" s="499"/>
      <c r="AJ33" s="499"/>
      <c r="AK33" s="499"/>
      <c r="AL33" s="499"/>
      <c r="AM33" s="499"/>
      <c r="AN33" s="500"/>
      <c r="AO33" s="498" t="s">
        <v>59</v>
      </c>
      <c r="AP33" s="499"/>
      <c r="AQ33" s="499"/>
      <c r="AR33" s="499"/>
      <c r="AS33" s="499"/>
      <c r="AT33" s="499"/>
      <c r="AU33" s="499"/>
      <c r="AV33" s="500"/>
      <c r="AW33" s="498" t="s">
        <v>59</v>
      </c>
      <c r="AX33" s="499"/>
      <c r="AY33" s="499"/>
      <c r="AZ33" s="499"/>
      <c r="BA33" s="499"/>
      <c r="BB33" s="499"/>
      <c r="BC33" s="499"/>
      <c r="BD33" s="500"/>
    </row>
    <row r="34" spans="1:56" s="12" customFormat="1" ht="22.5" customHeight="1"/>
  </sheetData>
  <mergeCells count="568">
    <mergeCell ref="C32:D32"/>
    <mergeCell ref="K32:L32"/>
    <mergeCell ref="S32:T32"/>
    <mergeCell ref="AA32:AB32"/>
    <mergeCell ref="AI32:AJ32"/>
    <mergeCell ref="BA20:BB20"/>
    <mergeCell ref="M20:N20"/>
    <mergeCell ref="O20:P20"/>
    <mergeCell ref="U20:V20"/>
    <mergeCell ref="W20:X20"/>
    <mergeCell ref="AC20:AD20"/>
    <mergeCell ref="AE20:AF20"/>
    <mergeCell ref="AK21:AL21"/>
    <mergeCell ref="AM21:AN21"/>
    <mergeCell ref="AS21:AT21"/>
    <mergeCell ref="AU21:AV21"/>
    <mergeCell ref="AY23:AZ23"/>
    <mergeCell ref="BA23:BB23"/>
    <mergeCell ref="AE22:AF22"/>
    <mergeCell ref="AG22:AG24"/>
    <mergeCell ref="AI22:AJ22"/>
    <mergeCell ref="AA23:AB23"/>
    <mergeCell ref="AC23:AD23"/>
    <mergeCell ref="AE23:AF23"/>
    <mergeCell ref="BC23:BD23"/>
    <mergeCell ref="BC22:BD22"/>
    <mergeCell ref="AM25:AN25"/>
    <mergeCell ref="BC24:BD24"/>
    <mergeCell ref="AY24:AZ24"/>
    <mergeCell ref="AQ29:AT29"/>
    <mergeCell ref="AY29:BB29"/>
    <mergeCell ref="AW28:AX28"/>
    <mergeCell ref="AY28:BB28"/>
    <mergeCell ref="BC28:BD28"/>
    <mergeCell ref="AM28:AN28"/>
    <mergeCell ref="AU23:AV23"/>
    <mergeCell ref="AU24:AV24"/>
    <mergeCell ref="AM23:AN23"/>
    <mergeCell ref="AQ23:AR23"/>
    <mergeCell ref="AS23:AT23"/>
    <mergeCell ref="AW22:AW24"/>
    <mergeCell ref="AY22:AZ22"/>
    <mergeCell ref="BA22:BB22"/>
    <mergeCell ref="AQ22:AR22"/>
    <mergeCell ref="AS22:AT22"/>
    <mergeCell ref="BA24:BB24"/>
    <mergeCell ref="AU22:AV22"/>
    <mergeCell ref="BA25:BB25"/>
    <mergeCell ref="AW1:BD1"/>
    <mergeCell ref="A3:H3"/>
    <mergeCell ref="I3:P3"/>
    <mergeCell ref="Q3:X3"/>
    <mergeCell ref="Y3:AF3"/>
    <mergeCell ref="AG3:AN3"/>
    <mergeCell ref="AO3:AV3"/>
    <mergeCell ref="AW3:BD3"/>
    <mergeCell ref="A1:H1"/>
    <mergeCell ref="I1:P1"/>
    <mergeCell ref="Q1:X1"/>
    <mergeCell ref="Y1:AF1"/>
    <mergeCell ref="AG1:AN1"/>
    <mergeCell ref="AO1:AV1"/>
    <mergeCell ref="A6:B6"/>
    <mergeCell ref="C6:D6"/>
    <mergeCell ref="E6:F6"/>
    <mergeCell ref="G6:H6"/>
    <mergeCell ref="I6:J6"/>
    <mergeCell ref="K6:L6"/>
    <mergeCell ref="M6:N6"/>
    <mergeCell ref="A5:B5"/>
    <mergeCell ref="C5:H5"/>
    <mergeCell ref="BA7:BB7"/>
    <mergeCell ref="BC7:BD7"/>
    <mergeCell ref="Y5:Z5"/>
    <mergeCell ref="I5:J5"/>
    <mergeCell ref="K5:P5"/>
    <mergeCell ref="Q5:R5"/>
    <mergeCell ref="S5:X5"/>
    <mergeCell ref="AM6:AN6"/>
    <mergeCell ref="Q6:R6"/>
    <mergeCell ref="S6:T6"/>
    <mergeCell ref="U6:V6"/>
    <mergeCell ref="W6:X6"/>
    <mergeCell ref="Y6:Z6"/>
    <mergeCell ref="AA6:AB6"/>
    <mergeCell ref="AO6:AP6"/>
    <mergeCell ref="AC6:AD6"/>
    <mergeCell ref="AE6:AF6"/>
    <mergeCell ref="AG6:AH6"/>
    <mergeCell ref="AI6:AJ6"/>
    <mergeCell ref="AK6:AL6"/>
    <mergeCell ref="O6:P6"/>
    <mergeCell ref="AW5:AX5"/>
    <mergeCell ref="AY5:BD5"/>
    <mergeCell ref="AA5:AF5"/>
    <mergeCell ref="AG5:AH5"/>
    <mergeCell ref="AI5:AN5"/>
    <mergeCell ref="AO5:AP5"/>
    <mergeCell ref="AQ5:AV5"/>
    <mergeCell ref="BA6:BB6"/>
    <mergeCell ref="BC6:BD6"/>
    <mergeCell ref="AQ6:AR6"/>
    <mergeCell ref="AS6:AT6"/>
    <mergeCell ref="AU6:AV6"/>
    <mergeCell ref="AW6:AX6"/>
    <mergeCell ref="AY6:AZ6"/>
    <mergeCell ref="A8:H9"/>
    <mergeCell ref="I8:P9"/>
    <mergeCell ref="A7:B7"/>
    <mergeCell ref="C7:D7"/>
    <mergeCell ref="E7:F7"/>
    <mergeCell ref="G7:H7"/>
    <mergeCell ref="I7:J7"/>
    <mergeCell ref="K7:L7"/>
    <mergeCell ref="M7:N7"/>
    <mergeCell ref="O7:P7"/>
    <mergeCell ref="AQ7:AR7"/>
    <mergeCell ref="AS7:AT7"/>
    <mergeCell ref="AU7:AV7"/>
    <mergeCell ref="AW7:AX7"/>
    <mergeCell ref="AY7:AZ7"/>
    <mergeCell ref="AC7:AD7"/>
    <mergeCell ref="AE7:AF7"/>
    <mergeCell ref="AG7:AH7"/>
    <mergeCell ref="AI7:AJ7"/>
    <mergeCell ref="AK7:AL7"/>
    <mergeCell ref="AM7:AN7"/>
    <mergeCell ref="Q10:T10"/>
    <mergeCell ref="U10:X10"/>
    <mergeCell ref="Y10:AB10"/>
    <mergeCell ref="AC10:AF10"/>
    <mergeCell ref="AG10:AJ10"/>
    <mergeCell ref="O11:P11"/>
    <mergeCell ref="Q11:R11"/>
    <mergeCell ref="S11:T11"/>
    <mergeCell ref="AO7:AP7"/>
    <mergeCell ref="Q7:R7"/>
    <mergeCell ref="S7:T7"/>
    <mergeCell ref="U7:V7"/>
    <mergeCell ref="W7:X7"/>
    <mergeCell ref="Y7:Z7"/>
    <mergeCell ref="AA7:AB7"/>
    <mergeCell ref="AK10:AN10"/>
    <mergeCell ref="AO10:AR10"/>
    <mergeCell ref="AI11:AJ11"/>
    <mergeCell ref="AK11:AL11"/>
    <mergeCell ref="AM11:AN11"/>
    <mergeCell ref="AO11:AP11"/>
    <mergeCell ref="AA11:AB11"/>
    <mergeCell ref="AC11:AD11"/>
    <mergeCell ref="AE11:AF11"/>
    <mergeCell ref="A11:B11"/>
    <mergeCell ref="C11:D11"/>
    <mergeCell ref="E11:F11"/>
    <mergeCell ref="G11:H11"/>
    <mergeCell ref="I11:J11"/>
    <mergeCell ref="A10:D10"/>
    <mergeCell ref="E10:H10"/>
    <mergeCell ref="I10:L10"/>
    <mergeCell ref="M10:P10"/>
    <mergeCell ref="K11:L11"/>
    <mergeCell ref="M11:N11"/>
    <mergeCell ref="AS10:AV10"/>
    <mergeCell ref="AW10:AZ10"/>
    <mergeCell ref="BA10:BD10"/>
    <mergeCell ref="AU11:AV11"/>
    <mergeCell ref="AW11:AX11"/>
    <mergeCell ref="AY11:AZ11"/>
    <mergeCell ref="BA11:BB11"/>
    <mergeCell ref="BC11:BD11"/>
    <mergeCell ref="AQ11:AR11"/>
    <mergeCell ref="AS11:AT11"/>
    <mergeCell ref="AE12:AF12"/>
    <mergeCell ref="AG12:AG19"/>
    <mergeCell ref="W13:X13"/>
    <mergeCell ref="AA13:AB13"/>
    <mergeCell ref="AC13:AD13"/>
    <mergeCell ref="AE13:AF13"/>
    <mergeCell ref="K12:L12"/>
    <mergeCell ref="U11:V11"/>
    <mergeCell ref="M12:N12"/>
    <mergeCell ref="O12:P12"/>
    <mergeCell ref="Q12:Q19"/>
    <mergeCell ref="S12:T12"/>
    <mergeCell ref="U12:V12"/>
    <mergeCell ref="O13:P13"/>
    <mergeCell ref="S13:T13"/>
    <mergeCell ref="U13:V13"/>
    <mergeCell ref="O14:P14"/>
    <mergeCell ref="AE14:AF14"/>
    <mergeCell ref="AA16:AB16"/>
    <mergeCell ref="AC16:AD16"/>
    <mergeCell ref="AE16:AF16"/>
    <mergeCell ref="K18:L18"/>
    <mergeCell ref="W11:X11"/>
    <mergeCell ref="Y11:Z11"/>
    <mergeCell ref="AG11:AH11"/>
    <mergeCell ref="AU12:AV12"/>
    <mergeCell ref="AW12:AW19"/>
    <mergeCell ref="AY12:AZ12"/>
    <mergeCell ref="BA12:BB12"/>
    <mergeCell ref="BC12:BD12"/>
    <mergeCell ref="C13:D13"/>
    <mergeCell ref="E13:F13"/>
    <mergeCell ref="G13:H13"/>
    <mergeCell ref="K13:L13"/>
    <mergeCell ref="M13:N13"/>
    <mergeCell ref="AI12:AJ12"/>
    <mergeCell ref="AK12:AL12"/>
    <mergeCell ref="AM12:AN12"/>
    <mergeCell ref="AO12:AO19"/>
    <mergeCell ref="AQ12:AR12"/>
    <mergeCell ref="AS12:AT12"/>
    <mergeCell ref="AI13:AJ13"/>
    <mergeCell ref="AK13:AL13"/>
    <mergeCell ref="AM13:AN13"/>
    <mergeCell ref="AQ13:AR13"/>
    <mergeCell ref="W12:X12"/>
    <mergeCell ref="Y12:Y19"/>
    <mergeCell ref="AA12:AB12"/>
    <mergeCell ref="AC12:AD12"/>
    <mergeCell ref="AS13:AT13"/>
    <mergeCell ref="AU13:AV13"/>
    <mergeCell ref="AY13:AZ13"/>
    <mergeCell ref="BA13:BB13"/>
    <mergeCell ref="BC13:BD13"/>
    <mergeCell ref="C14:D14"/>
    <mergeCell ref="E14:F14"/>
    <mergeCell ref="G14:H14"/>
    <mergeCell ref="K14:L14"/>
    <mergeCell ref="M14:N14"/>
    <mergeCell ref="I12:I19"/>
    <mergeCell ref="AC15:AD15"/>
    <mergeCell ref="AE15:AF15"/>
    <mergeCell ref="AI15:AJ15"/>
    <mergeCell ref="AY14:AZ14"/>
    <mergeCell ref="BA14:BB14"/>
    <mergeCell ref="BC14:BD14"/>
    <mergeCell ref="C15:D15"/>
    <mergeCell ref="E15:F15"/>
    <mergeCell ref="G15:H15"/>
    <mergeCell ref="K15:L15"/>
    <mergeCell ref="M15:N15"/>
    <mergeCell ref="O15:P15"/>
    <mergeCell ref="S15:T15"/>
    <mergeCell ref="AI14:AJ14"/>
    <mergeCell ref="AK14:AL14"/>
    <mergeCell ref="AM14:AN14"/>
    <mergeCell ref="AQ14:AR14"/>
    <mergeCell ref="AS14:AT14"/>
    <mergeCell ref="AU14:AV14"/>
    <mergeCell ref="S14:T14"/>
    <mergeCell ref="U14:V14"/>
    <mergeCell ref="W14:X14"/>
    <mergeCell ref="AA14:AB14"/>
    <mergeCell ref="AC14:AD14"/>
    <mergeCell ref="BA15:BB15"/>
    <mergeCell ref="BC15:BD15"/>
    <mergeCell ref="C16:D16"/>
    <mergeCell ref="E16:F16"/>
    <mergeCell ref="G16:H16"/>
    <mergeCell ref="K16:L16"/>
    <mergeCell ref="M16:N16"/>
    <mergeCell ref="O16:P16"/>
    <mergeCell ref="S16:T16"/>
    <mergeCell ref="U16:V16"/>
    <mergeCell ref="AK15:AL15"/>
    <mergeCell ref="AM15:AN15"/>
    <mergeCell ref="AQ15:AR15"/>
    <mergeCell ref="AS15:AT15"/>
    <mergeCell ref="AU15:AV15"/>
    <mergeCell ref="AY15:AZ15"/>
    <mergeCell ref="U15:V15"/>
    <mergeCell ref="W15:X15"/>
    <mergeCell ref="AA15:AB15"/>
    <mergeCell ref="BC16:BD16"/>
    <mergeCell ref="AM16:AN16"/>
    <mergeCell ref="AQ16:AR16"/>
    <mergeCell ref="AS16:AT16"/>
    <mergeCell ref="AU16:AV16"/>
    <mergeCell ref="BA16:BB16"/>
    <mergeCell ref="W16:X16"/>
    <mergeCell ref="AI16:AJ16"/>
    <mergeCell ref="AK16:AL16"/>
    <mergeCell ref="AQ17:AR17"/>
    <mergeCell ref="AS17:AT17"/>
    <mergeCell ref="AU17:AV17"/>
    <mergeCell ref="AY17:AZ17"/>
    <mergeCell ref="BA17:BB17"/>
    <mergeCell ref="W17:X17"/>
    <mergeCell ref="C17:D17"/>
    <mergeCell ref="E17:F17"/>
    <mergeCell ref="G17:H17"/>
    <mergeCell ref="K17:L17"/>
    <mergeCell ref="M17:N17"/>
    <mergeCell ref="O17:P17"/>
    <mergeCell ref="S17:T17"/>
    <mergeCell ref="U17:V17"/>
    <mergeCell ref="AY16:AZ16"/>
    <mergeCell ref="BC17:BD17"/>
    <mergeCell ref="AA17:AB17"/>
    <mergeCell ref="AC17:AD17"/>
    <mergeCell ref="AE17:AF17"/>
    <mergeCell ref="AI17:AJ17"/>
    <mergeCell ref="AK17:AL17"/>
    <mergeCell ref="AM17:AN17"/>
    <mergeCell ref="BC18:BD18"/>
    <mergeCell ref="AM18:AN18"/>
    <mergeCell ref="AQ18:AR18"/>
    <mergeCell ref="AS18:AT18"/>
    <mergeCell ref="AU18:AV18"/>
    <mergeCell ref="AI18:AJ18"/>
    <mergeCell ref="AK18:AL18"/>
    <mergeCell ref="AA18:AB18"/>
    <mergeCell ref="AC18:AD18"/>
    <mergeCell ref="AE18:AF18"/>
    <mergeCell ref="C18:D18"/>
    <mergeCell ref="E18:F18"/>
    <mergeCell ref="BC20:BD20"/>
    <mergeCell ref="AK20:AL20"/>
    <mergeCell ref="AM20:AN20"/>
    <mergeCell ref="AS20:AT20"/>
    <mergeCell ref="AU20:AV20"/>
    <mergeCell ref="K19:L19"/>
    <mergeCell ref="M19:N19"/>
    <mergeCell ref="O19:P19"/>
    <mergeCell ref="S19:T19"/>
    <mergeCell ref="BA19:BB19"/>
    <mergeCell ref="BC19:BD19"/>
    <mergeCell ref="AM19:AN19"/>
    <mergeCell ref="AQ19:AR19"/>
    <mergeCell ref="AS19:AT19"/>
    <mergeCell ref="AU19:AV19"/>
    <mergeCell ref="AY19:AZ19"/>
    <mergeCell ref="AY18:AZ18"/>
    <mergeCell ref="BA18:BB18"/>
    <mergeCell ref="E20:F20"/>
    <mergeCell ref="AC19:AD19"/>
    <mergeCell ref="AE19:AF19"/>
    <mergeCell ref="AI19:AJ19"/>
    <mergeCell ref="AK19:AL19"/>
    <mergeCell ref="A22:A24"/>
    <mergeCell ref="C22:D22"/>
    <mergeCell ref="E22:F22"/>
    <mergeCell ref="G22:H22"/>
    <mergeCell ref="I22:I24"/>
    <mergeCell ref="K22:L22"/>
    <mergeCell ref="AC21:AD21"/>
    <mergeCell ref="AE21:AF21"/>
    <mergeCell ref="A12:A21"/>
    <mergeCell ref="C12:D12"/>
    <mergeCell ref="E12:F12"/>
    <mergeCell ref="G12:H12"/>
    <mergeCell ref="G18:H18"/>
    <mergeCell ref="M18:N18"/>
    <mergeCell ref="O18:P18"/>
    <mergeCell ref="C19:D19"/>
    <mergeCell ref="E19:F19"/>
    <mergeCell ref="S18:T18"/>
    <mergeCell ref="U18:V18"/>
    <mergeCell ref="W18:X18"/>
    <mergeCell ref="G19:H19"/>
    <mergeCell ref="M22:N22"/>
    <mergeCell ref="O22:P22"/>
    <mergeCell ref="U19:V19"/>
    <mergeCell ref="W19:X19"/>
    <mergeCell ref="AA19:AB19"/>
    <mergeCell ref="E21:F21"/>
    <mergeCell ref="G21:H21"/>
    <mergeCell ref="M21:N21"/>
    <mergeCell ref="O21:P21"/>
    <mergeCell ref="U21:V21"/>
    <mergeCell ref="W21:X21"/>
    <mergeCell ref="G20:H20"/>
    <mergeCell ref="AI23:AJ23"/>
    <mergeCell ref="AE24:AF24"/>
    <mergeCell ref="AI24:AJ24"/>
    <mergeCell ref="AA22:AB22"/>
    <mergeCell ref="AS24:AT24"/>
    <mergeCell ref="S23:T23"/>
    <mergeCell ref="U23:V23"/>
    <mergeCell ref="W23:X23"/>
    <mergeCell ref="S24:T24"/>
    <mergeCell ref="AK23:AL23"/>
    <mergeCell ref="AC22:AD22"/>
    <mergeCell ref="E25:F25"/>
    <mergeCell ref="G25:H25"/>
    <mergeCell ref="I25:J25"/>
    <mergeCell ref="K25:L25"/>
    <mergeCell ref="M25:N25"/>
    <mergeCell ref="O25:P25"/>
    <mergeCell ref="AK24:AL24"/>
    <mergeCell ref="U24:V24"/>
    <mergeCell ref="W24:X24"/>
    <mergeCell ref="AA24:AB24"/>
    <mergeCell ref="AC24:AD24"/>
    <mergeCell ref="Q25:R25"/>
    <mergeCell ref="S25:T25"/>
    <mergeCell ref="U25:V25"/>
    <mergeCell ref="W25:X25"/>
    <mergeCell ref="C23:D23"/>
    <mergeCell ref="C24:D24"/>
    <mergeCell ref="E24:F24"/>
    <mergeCell ref="G24:H24"/>
    <mergeCell ref="K24:L24"/>
    <mergeCell ref="M24:N24"/>
    <mergeCell ref="O24:P24"/>
    <mergeCell ref="AG26:AH26"/>
    <mergeCell ref="AQ24:AR24"/>
    <mergeCell ref="AK26:AL26"/>
    <mergeCell ref="Q22:Q24"/>
    <mergeCell ref="S22:T22"/>
    <mergeCell ref="Y22:Y24"/>
    <mergeCell ref="E23:F23"/>
    <mergeCell ref="G23:H23"/>
    <mergeCell ref="K23:L23"/>
    <mergeCell ref="M23:N23"/>
    <mergeCell ref="O23:P23"/>
    <mergeCell ref="U22:V22"/>
    <mergeCell ref="W22:X22"/>
    <mergeCell ref="AK22:AL22"/>
    <mergeCell ref="AM22:AN22"/>
    <mergeCell ref="AO22:AO24"/>
    <mergeCell ref="AM24:AN24"/>
    <mergeCell ref="BC25:BD25"/>
    <mergeCell ref="A26:B26"/>
    <mergeCell ref="E26:F26"/>
    <mergeCell ref="G26:H26"/>
    <mergeCell ref="I26:J26"/>
    <mergeCell ref="M26:N26"/>
    <mergeCell ref="O26:P26"/>
    <mergeCell ref="Q26:R26"/>
    <mergeCell ref="U26:V26"/>
    <mergeCell ref="AO25:AP25"/>
    <mergeCell ref="AQ25:AR25"/>
    <mergeCell ref="AS25:AT25"/>
    <mergeCell ref="AU25:AV25"/>
    <mergeCell ref="AW25:AX25"/>
    <mergeCell ref="AY25:AZ25"/>
    <mergeCell ref="AC25:AD25"/>
    <mergeCell ref="AE25:AF25"/>
    <mergeCell ref="AG25:AH25"/>
    <mergeCell ref="AI25:AJ25"/>
    <mergeCell ref="AK25:AL25"/>
    <mergeCell ref="A25:B25"/>
    <mergeCell ref="Y25:Z25"/>
    <mergeCell ref="AA25:AB25"/>
    <mergeCell ref="C25:D25"/>
    <mergeCell ref="A28:B28"/>
    <mergeCell ref="C28:F28"/>
    <mergeCell ref="G28:H28"/>
    <mergeCell ref="I28:J28"/>
    <mergeCell ref="K28:N28"/>
    <mergeCell ref="O28:P28"/>
    <mergeCell ref="BC26:BD26"/>
    <mergeCell ref="A27:H27"/>
    <mergeCell ref="I27:P27"/>
    <mergeCell ref="Q27:X27"/>
    <mergeCell ref="Y27:AF27"/>
    <mergeCell ref="AG27:AN27"/>
    <mergeCell ref="AO27:AV27"/>
    <mergeCell ref="AW27:BD27"/>
    <mergeCell ref="AM26:AN26"/>
    <mergeCell ref="AO26:AP26"/>
    <mergeCell ref="AS26:AT26"/>
    <mergeCell ref="AU26:AV26"/>
    <mergeCell ref="AW26:AX26"/>
    <mergeCell ref="BA26:BB26"/>
    <mergeCell ref="W26:X26"/>
    <mergeCell ref="Y26:Z26"/>
    <mergeCell ref="AC26:AD26"/>
    <mergeCell ref="AE26:AF26"/>
    <mergeCell ref="AY30:BB30"/>
    <mergeCell ref="C30:D30"/>
    <mergeCell ref="K30:L30"/>
    <mergeCell ref="S30:T30"/>
    <mergeCell ref="AA30:AB30"/>
    <mergeCell ref="AO28:AP28"/>
    <mergeCell ref="AQ28:AT28"/>
    <mergeCell ref="AU28:AV28"/>
    <mergeCell ref="Q28:R28"/>
    <mergeCell ref="S28:V28"/>
    <mergeCell ref="W28:X28"/>
    <mergeCell ref="Y28:Z28"/>
    <mergeCell ref="AA28:AD28"/>
    <mergeCell ref="AQ30:AT30"/>
    <mergeCell ref="G29:H29"/>
    <mergeCell ref="I29:J29"/>
    <mergeCell ref="O29:P29"/>
    <mergeCell ref="Q29:R29"/>
    <mergeCell ref="W29:X29"/>
    <mergeCell ref="Y29:Z29"/>
    <mergeCell ref="AG28:AH28"/>
    <mergeCell ref="AI28:AL28"/>
    <mergeCell ref="AE28:AF28"/>
    <mergeCell ref="AM30:AN30"/>
    <mergeCell ref="AU31:AV31"/>
    <mergeCell ref="AW31:AX31"/>
    <mergeCell ref="BC31:BD31"/>
    <mergeCell ref="AE31:AF31"/>
    <mergeCell ref="AG31:AH31"/>
    <mergeCell ref="AM31:AN31"/>
    <mergeCell ref="AO31:AP31"/>
    <mergeCell ref="BC29:BD29"/>
    <mergeCell ref="A30:B30"/>
    <mergeCell ref="G30:H30"/>
    <mergeCell ref="I30:J30"/>
    <mergeCell ref="O30:P30"/>
    <mergeCell ref="Q30:R30"/>
    <mergeCell ref="W30:X30"/>
    <mergeCell ref="Y30:Z30"/>
    <mergeCell ref="AE30:AF30"/>
    <mergeCell ref="AG30:AH30"/>
    <mergeCell ref="AE29:AF29"/>
    <mergeCell ref="AG29:AH29"/>
    <mergeCell ref="AM29:AN29"/>
    <mergeCell ref="AO29:AP29"/>
    <mergeCell ref="AU29:AV29"/>
    <mergeCell ref="AW29:AX29"/>
    <mergeCell ref="C29:F29"/>
    <mergeCell ref="AI29:AL29"/>
    <mergeCell ref="A33:H33"/>
    <mergeCell ref="I33:P33"/>
    <mergeCell ref="A32:B32"/>
    <mergeCell ref="G32:H32"/>
    <mergeCell ref="I32:J32"/>
    <mergeCell ref="O32:P32"/>
    <mergeCell ref="Q32:R32"/>
    <mergeCell ref="W32:X32"/>
    <mergeCell ref="Y32:Z32"/>
    <mergeCell ref="Q33:X33"/>
    <mergeCell ref="Y33:AF33"/>
    <mergeCell ref="A31:B31"/>
    <mergeCell ref="G31:H31"/>
    <mergeCell ref="I31:J31"/>
    <mergeCell ref="O31:P31"/>
    <mergeCell ref="Q31:R31"/>
    <mergeCell ref="K29:N29"/>
    <mergeCell ref="A29:B29"/>
    <mergeCell ref="AI30:AJ30"/>
    <mergeCell ref="C31:D31"/>
    <mergeCell ref="K31:L31"/>
    <mergeCell ref="AA31:AB31"/>
    <mergeCell ref="AI31:AJ31"/>
    <mergeCell ref="Q8:X9"/>
    <mergeCell ref="Y8:AF9"/>
    <mergeCell ref="AG8:AN9"/>
    <mergeCell ref="AO8:AV9"/>
    <mergeCell ref="AW8:BD9"/>
    <mergeCell ref="AG33:AN33"/>
    <mergeCell ref="AO33:AV33"/>
    <mergeCell ref="AW33:BD33"/>
    <mergeCell ref="BC32:BD32"/>
    <mergeCell ref="AE32:AF32"/>
    <mergeCell ref="AG32:AH32"/>
    <mergeCell ref="AM32:AN32"/>
    <mergeCell ref="AO32:AP32"/>
    <mergeCell ref="AU32:AV32"/>
    <mergeCell ref="AW32:AX32"/>
    <mergeCell ref="W31:X31"/>
    <mergeCell ref="Y31:Z31"/>
    <mergeCell ref="AO30:AP30"/>
    <mergeCell ref="AU30:AV30"/>
    <mergeCell ref="AW30:AX30"/>
    <mergeCell ref="BC30:BD30"/>
    <mergeCell ref="S29:V29"/>
    <mergeCell ref="AA29:AD29"/>
    <mergeCell ref="S31:T31"/>
  </mergeCells>
  <phoneticPr fontId="4" type="noConversion"/>
  <printOptions horizontalCentered="1" verticalCentered="1"/>
  <pageMargins left="0.70866141732283472" right="0.70866141732283472" top="0.74803149606299213" bottom="0.74803149606299213" header="0.31496062992125984" footer="0.31496062992125984"/>
  <pageSetup paperSize="9" scale="31" orientation="portrait" r:id="rId1"/>
  <rowBreaks count="1" manualBreakCount="1">
    <brk id="21" max="55" man="1"/>
  </rowBreaks>
  <colBreaks count="3" manualBreakCount="3">
    <brk id="8" min="2" max="32" man="1"/>
    <brk id="32" min="2" max="32" man="1"/>
    <brk id="40" min="2" max="32"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AA9C-D351-432A-9030-E36D7941C68F}">
  <dimension ref="A1:BD35"/>
  <sheetViews>
    <sheetView view="pageBreakPreview" topLeftCell="A11" zoomScale="90" zoomScaleNormal="100" zoomScaleSheetLayoutView="90" workbookViewId="0">
      <selection activeCell="C12" sqref="C12:D12"/>
    </sheetView>
  </sheetViews>
  <sheetFormatPr defaultRowHeight="16.5"/>
  <cols>
    <col min="1" max="1" width="9.125" customWidth="1"/>
    <col min="2" max="2" width="11.25" customWidth="1"/>
    <col min="3" max="4" width="7.875" customWidth="1"/>
    <col min="5" max="6" width="9.125"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4" width="7.875" customWidth="1"/>
    <col min="25" max="25" width="9.125" customWidth="1"/>
    <col min="26" max="26" width="11.25" customWidth="1"/>
    <col min="27" max="28" width="7.875" customWidth="1"/>
    <col min="29" max="30" width="9.125" customWidth="1"/>
    <col min="31" max="32" width="7.875" customWidth="1"/>
    <col min="33" max="56" width="9.125" hidden="1" customWidth="1"/>
  </cols>
  <sheetData>
    <row r="1" spans="1:56" ht="45.75" customHeight="1" thickBot="1">
      <c r="A1" s="540">
        <v>15</v>
      </c>
      <c r="B1" s="540"/>
      <c r="C1" s="540"/>
      <c r="D1" s="540"/>
      <c r="E1" s="540"/>
      <c r="F1" s="540"/>
      <c r="G1" s="540"/>
      <c r="H1" s="540"/>
      <c r="I1" s="540">
        <f>A1+1</f>
        <v>16</v>
      </c>
      <c r="J1" s="540"/>
      <c r="K1" s="540"/>
      <c r="L1" s="540"/>
      <c r="M1" s="540"/>
      <c r="N1" s="540"/>
      <c r="O1" s="540"/>
      <c r="P1" s="540"/>
      <c r="Q1" s="540">
        <f>I1+1</f>
        <v>17</v>
      </c>
      <c r="R1" s="540"/>
      <c r="S1" s="540"/>
      <c r="T1" s="540"/>
      <c r="U1" s="540"/>
      <c r="V1" s="540"/>
      <c r="W1" s="540"/>
      <c r="X1" s="540"/>
      <c r="Y1" s="540">
        <f>Q1+1</f>
        <v>18</v>
      </c>
      <c r="Z1" s="540"/>
      <c r="AA1" s="540"/>
      <c r="AB1" s="540"/>
      <c r="AC1" s="540"/>
      <c r="AD1" s="540"/>
      <c r="AE1" s="540"/>
      <c r="AF1" s="540"/>
      <c r="AG1" s="540">
        <f>Y1+1</f>
        <v>19</v>
      </c>
      <c r="AH1" s="540"/>
      <c r="AI1" s="540"/>
      <c r="AJ1" s="540"/>
      <c r="AK1" s="540"/>
      <c r="AL1" s="540"/>
      <c r="AM1" s="540"/>
      <c r="AN1" s="540"/>
      <c r="AO1" s="540">
        <f>AG1+1</f>
        <v>20</v>
      </c>
      <c r="AP1" s="540"/>
      <c r="AQ1" s="540"/>
      <c r="AR1" s="540"/>
      <c r="AS1" s="540"/>
      <c r="AT1" s="540"/>
      <c r="AU1" s="540"/>
      <c r="AV1" s="540"/>
      <c r="AW1" s="540">
        <f>AO1+1</f>
        <v>21</v>
      </c>
      <c r="AX1" s="540"/>
      <c r="AY1" s="540"/>
      <c r="AZ1" s="540"/>
      <c r="BA1" s="540"/>
      <c r="BB1" s="540"/>
      <c r="BC1" s="540"/>
      <c r="BD1" s="540"/>
    </row>
    <row r="2" spans="1:56" ht="65.25"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0.100000000000001" customHeight="1">
      <c r="A3" s="541" t="s">
        <v>13</v>
      </c>
      <c r="B3" s="542"/>
      <c r="C3" s="542"/>
      <c r="D3" s="542"/>
      <c r="E3" s="542"/>
      <c r="F3" s="542"/>
      <c r="G3" s="542"/>
      <c r="H3" s="543"/>
      <c r="I3" s="541" t="s">
        <v>13</v>
      </c>
      <c r="J3" s="542"/>
      <c r="K3" s="542"/>
      <c r="L3" s="542"/>
      <c r="M3" s="542"/>
      <c r="N3" s="542"/>
      <c r="O3" s="542"/>
      <c r="P3" s="543"/>
      <c r="Q3" s="541" t="s">
        <v>13</v>
      </c>
      <c r="R3" s="542"/>
      <c r="S3" s="542"/>
      <c r="T3" s="542"/>
      <c r="U3" s="542"/>
      <c r="V3" s="542"/>
      <c r="W3" s="542"/>
      <c r="X3" s="543"/>
      <c r="Y3" s="541" t="s">
        <v>13</v>
      </c>
      <c r="Z3" s="542"/>
      <c r="AA3" s="542"/>
      <c r="AB3" s="542"/>
      <c r="AC3" s="542"/>
      <c r="AD3" s="542"/>
      <c r="AE3" s="542"/>
      <c r="AF3" s="543"/>
      <c r="AG3" s="541" t="s">
        <v>13</v>
      </c>
      <c r="AH3" s="542"/>
      <c r="AI3" s="542"/>
      <c r="AJ3" s="542"/>
      <c r="AK3" s="542"/>
      <c r="AL3" s="542"/>
      <c r="AM3" s="542"/>
      <c r="AN3" s="543"/>
      <c r="AO3" s="541" t="s">
        <v>13</v>
      </c>
      <c r="AP3" s="542"/>
      <c r="AQ3" s="542"/>
      <c r="AR3" s="542"/>
      <c r="AS3" s="542"/>
      <c r="AT3" s="542"/>
      <c r="AU3" s="542"/>
      <c r="AV3" s="543"/>
      <c r="AW3" s="541" t="s">
        <v>13</v>
      </c>
      <c r="AX3" s="542"/>
      <c r="AY3" s="542"/>
      <c r="AZ3" s="542"/>
      <c r="BA3" s="542"/>
      <c r="BB3" s="542"/>
      <c r="BC3" s="542"/>
      <c r="BD3" s="543"/>
    </row>
    <row r="4" spans="1:56" ht="20.100000000000001"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0.100000000000001" customHeight="1">
      <c r="A5" s="544" t="s">
        <v>40</v>
      </c>
      <c r="B5" s="526"/>
      <c r="C5" s="509" t="str">
        <f>급여대장!$A$4</f>
        <v>제이엠건축인테리어 주식회사</v>
      </c>
      <c r="D5" s="545"/>
      <c r="E5" s="545"/>
      <c r="F5" s="545"/>
      <c r="G5" s="545"/>
      <c r="H5" s="546"/>
      <c r="I5" s="544" t="s">
        <v>40</v>
      </c>
      <c r="J5" s="526"/>
      <c r="K5" s="509" t="str">
        <f>급여대장!$A$4</f>
        <v>제이엠건축인테리어 주식회사</v>
      </c>
      <c r="L5" s="545"/>
      <c r="M5" s="545"/>
      <c r="N5" s="545"/>
      <c r="O5" s="545"/>
      <c r="P5" s="546"/>
      <c r="Q5" s="544" t="s">
        <v>40</v>
      </c>
      <c r="R5" s="526"/>
      <c r="S5" s="509" t="str">
        <f>급여대장!$A$4</f>
        <v>제이엠건축인테리어 주식회사</v>
      </c>
      <c r="T5" s="545"/>
      <c r="U5" s="545"/>
      <c r="V5" s="545"/>
      <c r="W5" s="545"/>
      <c r="X5" s="546"/>
      <c r="Y5" s="544" t="s">
        <v>40</v>
      </c>
      <c r="Z5" s="526"/>
      <c r="AA5" s="509" t="str">
        <f>급여대장!$A$4</f>
        <v>제이엠건축인테리어 주식회사</v>
      </c>
      <c r="AB5" s="545"/>
      <c r="AC5" s="545"/>
      <c r="AD5" s="545"/>
      <c r="AE5" s="545"/>
      <c r="AF5" s="546"/>
      <c r="AG5" s="564" t="s">
        <v>40</v>
      </c>
      <c r="AH5" s="512"/>
      <c r="AI5" s="511" t="str">
        <f>급여대장!$A$4</f>
        <v>제이엠건축인테리어 주식회사</v>
      </c>
      <c r="AJ5" s="499"/>
      <c r="AK5" s="499"/>
      <c r="AL5" s="499"/>
      <c r="AM5" s="499"/>
      <c r="AN5" s="500"/>
      <c r="AO5" s="564" t="s">
        <v>40</v>
      </c>
      <c r="AP5" s="512"/>
      <c r="AQ5" s="511" t="str">
        <f>급여대장!$A$4</f>
        <v>제이엠건축인테리어 주식회사</v>
      </c>
      <c r="AR5" s="499"/>
      <c r="AS5" s="499"/>
      <c r="AT5" s="499"/>
      <c r="AU5" s="499"/>
      <c r="AV5" s="500"/>
      <c r="AW5" s="564" t="s">
        <v>40</v>
      </c>
      <c r="AX5" s="512"/>
      <c r="AY5" s="511" t="str">
        <f>급여대장!$A$4</f>
        <v>제이엠건축인테리어 주식회사</v>
      </c>
      <c r="AZ5" s="499"/>
      <c r="BA5" s="499"/>
      <c r="BB5" s="499"/>
      <c r="BC5" s="499"/>
      <c r="BD5" s="500"/>
    </row>
    <row r="6" spans="1:56" ht="20.100000000000001" customHeight="1">
      <c r="A6" s="501" t="s">
        <v>14</v>
      </c>
      <c r="B6" s="502"/>
      <c r="C6" s="505">
        <f>급여대장!$AD$3</f>
        <v>46082</v>
      </c>
      <c r="D6" s="505"/>
      <c r="E6" s="525" t="s">
        <v>15</v>
      </c>
      <c r="F6" s="526"/>
      <c r="G6" s="547" t="str">
        <f>급여대장!$AD$4</f>
        <v>매월 5일</v>
      </c>
      <c r="H6" s="548"/>
      <c r="I6" s="501" t="s">
        <v>14</v>
      </c>
      <c r="J6" s="502"/>
      <c r="K6" s="505">
        <f>급여대장!$AD$3</f>
        <v>46082</v>
      </c>
      <c r="L6" s="505"/>
      <c r="M6" s="525" t="s">
        <v>15</v>
      </c>
      <c r="N6" s="526"/>
      <c r="O6" s="547" t="str">
        <f>급여대장!$AD$4</f>
        <v>매월 5일</v>
      </c>
      <c r="P6" s="548"/>
      <c r="Q6" s="501" t="s">
        <v>14</v>
      </c>
      <c r="R6" s="502"/>
      <c r="S6" s="505">
        <f>급여대장!$AD$3</f>
        <v>46082</v>
      </c>
      <c r="T6" s="505"/>
      <c r="U6" s="525" t="s">
        <v>15</v>
      </c>
      <c r="V6" s="526"/>
      <c r="W6" s="547" t="str">
        <f>급여대장!$AD$4</f>
        <v>매월 5일</v>
      </c>
      <c r="X6" s="548"/>
      <c r="Y6" s="501" t="s">
        <v>14</v>
      </c>
      <c r="Z6" s="502"/>
      <c r="AA6" s="505">
        <f>급여대장!$AD$3</f>
        <v>46082</v>
      </c>
      <c r="AB6" s="505"/>
      <c r="AC6" s="525" t="s">
        <v>15</v>
      </c>
      <c r="AD6" s="526"/>
      <c r="AE6" s="547" t="str">
        <f>급여대장!$AD$4</f>
        <v>매월 5일</v>
      </c>
      <c r="AF6" s="548"/>
      <c r="AG6" s="534" t="s">
        <v>14</v>
      </c>
      <c r="AH6" s="505"/>
      <c r="AI6" s="505">
        <f>급여대장!$AD$3</f>
        <v>46082</v>
      </c>
      <c r="AJ6" s="505"/>
      <c r="AK6" s="511" t="s">
        <v>15</v>
      </c>
      <c r="AL6" s="512"/>
      <c r="AM6" s="547" t="str">
        <f>급여대장!$AD$4</f>
        <v>매월 5일</v>
      </c>
      <c r="AN6" s="548"/>
      <c r="AO6" s="534" t="s">
        <v>14</v>
      </c>
      <c r="AP6" s="505"/>
      <c r="AQ6" s="505">
        <f>급여대장!$AD$3</f>
        <v>46082</v>
      </c>
      <c r="AR6" s="505"/>
      <c r="AS6" s="511" t="s">
        <v>15</v>
      </c>
      <c r="AT6" s="512"/>
      <c r="AU6" s="547" t="str">
        <f>급여대장!$AD$4</f>
        <v>매월 5일</v>
      </c>
      <c r="AV6" s="548"/>
      <c r="AW6" s="534" t="s">
        <v>14</v>
      </c>
      <c r="AX6" s="505"/>
      <c r="AY6" s="505">
        <f>급여대장!$AD$3</f>
        <v>46082</v>
      </c>
      <c r="AZ6" s="505"/>
      <c r="BA6" s="511" t="s">
        <v>15</v>
      </c>
      <c r="BB6" s="512"/>
      <c r="BC6" s="547" t="str">
        <f>급여대장!$AD$4</f>
        <v>매월 5일</v>
      </c>
      <c r="BD6" s="548"/>
    </row>
    <row r="7" spans="1:56" ht="20.100000000000001" customHeight="1">
      <c r="A7" s="501" t="s">
        <v>16</v>
      </c>
      <c r="B7" s="502"/>
      <c r="C7" s="549" t="e">
        <f>급여대장!#REF!</f>
        <v>#REF!</v>
      </c>
      <c r="D7" s="550"/>
      <c r="E7" s="525" t="s">
        <v>17</v>
      </c>
      <c r="F7" s="526"/>
      <c r="G7" s="554" t="e">
        <f>급여대장!#REF!</f>
        <v>#REF!</v>
      </c>
      <c r="H7" s="555"/>
      <c r="I7" s="501" t="s">
        <v>16</v>
      </c>
      <c r="J7" s="502"/>
      <c r="K7" s="549" t="e">
        <f>VLOOKUP(I1,급여대장!$A$6:$B$15,2,0)</f>
        <v>#N/A</v>
      </c>
      <c r="L7" s="550"/>
      <c r="M7" s="525" t="s">
        <v>17</v>
      </c>
      <c r="N7" s="526"/>
      <c r="O7" s="554" t="e">
        <f>급여대장!#REF!</f>
        <v>#REF!</v>
      </c>
      <c r="P7" s="555"/>
      <c r="Q7" s="501" t="s">
        <v>16</v>
      </c>
      <c r="R7" s="502"/>
      <c r="S7" s="549" t="e">
        <f>VLOOKUP(Q1,급여대장!$A$6:$B$15,2,0)</f>
        <v>#N/A</v>
      </c>
      <c r="T7" s="550"/>
      <c r="U7" s="525" t="s">
        <v>17</v>
      </c>
      <c r="V7" s="526"/>
      <c r="W7" s="554" t="e">
        <f>급여대장!#REF!</f>
        <v>#REF!</v>
      </c>
      <c r="X7" s="555"/>
      <c r="Y7" s="501" t="s">
        <v>16</v>
      </c>
      <c r="Z7" s="502"/>
      <c r="AA7" s="549" t="e">
        <f>VLOOKUP(Y1,급여대장!$A$6:$B$15,2,0)</f>
        <v>#N/A</v>
      </c>
      <c r="AB7" s="550"/>
      <c r="AC7" s="525" t="s">
        <v>17</v>
      </c>
      <c r="AD7" s="526"/>
      <c r="AE7" s="554" t="e">
        <f>급여대장!#REF!</f>
        <v>#REF!</v>
      </c>
      <c r="AF7" s="555"/>
      <c r="AG7" s="534" t="s">
        <v>16</v>
      </c>
      <c r="AH7" s="505"/>
      <c r="AI7" s="594" t="e">
        <f>VLOOKUP(AG1,급여대장!$A$6:$B$15,2,0)</f>
        <v>#N/A</v>
      </c>
      <c r="AJ7" s="505"/>
      <c r="AK7" s="511" t="s">
        <v>17</v>
      </c>
      <c r="AL7" s="512"/>
      <c r="AM7" s="595" t="e">
        <f>VLOOKUP(AG1,급여대장!$A$6:$AD$15,3,0)</f>
        <v>#N/A</v>
      </c>
      <c r="AN7" s="596"/>
      <c r="AO7" s="534" t="s">
        <v>16</v>
      </c>
      <c r="AP7" s="505"/>
      <c r="AQ7" s="594" t="e">
        <f>VLOOKUP(AO1,급여대장!$A$6:$B$15,2,0)</f>
        <v>#N/A</v>
      </c>
      <c r="AR7" s="505"/>
      <c r="AS7" s="511" t="s">
        <v>17</v>
      </c>
      <c r="AT7" s="512"/>
      <c r="AU7" s="595" t="e">
        <f>VLOOKUP(AO1,급여대장!$A$6:$AD$15,3,0)</f>
        <v>#N/A</v>
      </c>
      <c r="AV7" s="596"/>
      <c r="AW7" s="534" t="s">
        <v>16</v>
      </c>
      <c r="AX7" s="505"/>
      <c r="AY7" s="594" t="e">
        <f>VLOOKUP(AW1,급여대장!$A$6:$B$15,2,0)</f>
        <v>#N/A</v>
      </c>
      <c r="AZ7" s="505"/>
      <c r="BA7" s="511" t="s">
        <v>17</v>
      </c>
      <c r="BB7" s="512"/>
      <c r="BC7" s="595" t="e">
        <f>VLOOKUP(AW1,급여대장!$A$6:$AD$15,3,0)</f>
        <v>#N/A</v>
      </c>
      <c r="BD7" s="596"/>
    </row>
    <row r="8" spans="1:56" ht="20.100000000000001" customHeight="1">
      <c r="A8" s="492" t="s">
        <v>18</v>
      </c>
      <c r="B8" s="493"/>
      <c r="C8" s="493"/>
      <c r="D8" s="493"/>
      <c r="E8" s="493"/>
      <c r="F8" s="493"/>
      <c r="G8" s="493"/>
      <c r="H8" s="494"/>
      <c r="I8" s="22"/>
      <c r="J8" s="23"/>
      <c r="K8" s="594"/>
      <c r="L8" s="505"/>
      <c r="M8" s="7"/>
      <c r="N8" s="7"/>
      <c r="O8" s="7"/>
      <c r="P8" s="8"/>
      <c r="Q8" s="6"/>
      <c r="R8" s="7"/>
      <c r="S8" s="594"/>
      <c r="T8" s="505"/>
      <c r="U8" s="7"/>
      <c r="V8" s="7"/>
      <c r="W8" s="7"/>
      <c r="X8" s="8"/>
      <c r="Y8" s="22"/>
      <c r="Z8" s="23"/>
      <c r="AA8" s="594"/>
      <c r="AB8" s="505"/>
      <c r="AC8" s="23"/>
      <c r="AD8" s="23"/>
      <c r="AE8" s="7"/>
      <c r="AF8" s="8"/>
      <c r="AG8" s="6"/>
      <c r="AH8" s="7"/>
      <c r="AI8" s="594"/>
      <c r="AJ8" s="505"/>
      <c r="AK8" s="7"/>
      <c r="AL8" s="7"/>
      <c r="AM8" s="7"/>
      <c r="AN8" s="8"/>
      <c r="AO8" s="6"/>
      <c r="AP8" s="7"/>
      <c r="AQ8" s="594"/>
      <c r="AR8" s="505"/>
      <c r="AS8" s="7"/>
      <c r="AT8" s="7"/>
      <c r="AU8" s="7"/>
      <c r="AV8" s="8"/>
      <c r="AW8" s="6"/>
      <c r="AX8" s="7"/>
      <c r="AY8" s="594"/>
      <c r="AZ8" s="505"/>
      <c r="BA8" s="7"/>
      <c r="BB8" s="7"/>
      <c r="BC8" s="7"/>
      <c r="BD8" s="8"/>
    </row>
    <row r="9" spans="1:56" ht="20.100000000000001" customHeight="1">
      <c r="A9" s="495"/>
      <c r="B9" s="496"/>
      <c r="C9" s="496"/>
      <c r="D9" s="496"/>
      <c r="E9" s="496"/>
      <c r="F9" s="496"/>
      <c r="G9" s="496"/>
      <c r="H9" s="497"/>
      <c r="I9" s="534" t="s">
        <v>18</v>
      </c>
      <c r="J9" s="505"/>
      <c r="K9" s="505"/>
      <c r="L9" s="505"/>
      <c r="M9" s="505"/>
      <c r="N9" s="505"/>
      <c r="O9" s="505"/>
      <c r="P9" s="506"/>
      <c r="Q9" s="534" t="s">
        <v>18</v>
      </c>
      <c r="R9" s="505"/>
      <c r="S9" s="505"/>
      <c r="T9" s="505"/>
      <c r="U9" s="505"/>
      <c r="V9" s="505"/>
      <c r="W9" s="505"/>
      <c r="X9" s="506"/>
      <c r="Y9" s="534" t="s">
        <v>18</v>
      </c>
      <c r="Z9" s="505"/>
      <c r="AA9" s="505"/>
      <c r="AB9" s="505"/>
      <c r="AC9" s="505"/>
      <c r="AD9" s="505"/>
      <c r="AE9" s="505"/>
      <c r="AF9" s="506"/>
      <c r="AG9" s="534" t="s">
        <v>18</v>
      </c>
      <c r="AH9" s="505"/>
      <c r="AI9" s="505"/>
      <c r="AJ9" s="505"/>
      <c r="AK9" s="505"/>
      <c r="AL9" s="505"/>
      <c r="AM9" s="505"/>
      <c r="AN9" s="506"/>
      <c r="AO9" s="534" t="s">
        <v>18</v>
      </c>
      <c r="AP9" s="505"/>
      <c r="AQ9" s="505"/>
      <c r="AR9" s="505"/>
      <c r="AS9" s="505"/>
      <c r="AT9" s="505"/>
      <c r="AU9" s="505"/>
      <c r="AV9" s="506"/>
      <c r="AW9" s="534" t="s">
        <v>18</v>
      </c>
      <c r="AX9" s="505"/>
      <c r="AY9" s="505"/>
      <c r="AZ9" s="505"/>
      <c r="BA9" s="505"/>
      <c r="BB9" s="505"/>
      <c r="BC9" s="505"/>
      <c r="BD9" s="506"/>
    </row>
    <row r="10" spans="1:56" ht="20.100000000000001" customHeight="1">
      <c r="A10" s="515" t="s">
        <v>19</v>
      </c>
      <c r="B10" s="516"/>
      <c r="C10" s="516"/>
      <c r="D10" s="516"/>
      <c r="E10" s="517" t="s">
        <v>20</v>
      </c>
      <c r="F10" s="518"/>
      <c r="G10" s="518"/>
      <c r="H10" s="519"/>
      <c r="I10" s="515" t="s">
        <v>19</v>
      </c>
      <c r="J10" s="516"/>
      <c r="K10" s="516"/>
      <c r="L10" s="516"/>
      <c r="M10" s="517" t="s">
        <v>20</v>
      </c>
      <c r="N10" s="518"/>
      <c r="O10" s="518"/>
      <c r="P10" s="519"/>
      <c r="Q10" s="515" t="s">
        <v>19</v>
      </c>
      <c r="R10" s="516"/>
      <c r="S10" s="516"/>
      <c r="T10" s="516"/>
      <c r="U10" s="517" t="s">
        <v>20</v>
      </c>
      <c r="V10" s="518"/>
      <c r="W10" s="518"/>
      <c r="X10" s="519"/>
      <c r="Y10" s="515" t="s">
        <v>19</v>
      </c>
      <c r="Z10" s="516"/>
      <c r="AA10" s="516"/>
      <c r="AB10" s="516"/>
      <c r="AC10" s="517" t="s">
        <v>20</v>
      </c>
      <c r="AD10" s="518"/>
      <c r="AE10" s="518"/>
      <c r="AF10" s="519"/>
      <c r="AG10" s="534" t="s">
        <v>19</v>
      </c>
      <c r="AH10" s="505"/>
      <c r="AI10" s="505"/>
      <c r="AJ10" s="505"/>
      <c r="AK10" s="511" t="s">
        <v>20</v>
      </c>
      <c r="AL10" s="499"/>
      <c r="AM10" s="499"/>
      <c r="AN10" s="500"/>
      <c r="AO10" s="534" t="s">
        <v>19</v>
      </c>
      <c r="AP10" s="505"/>
      <c r="AQ10" s="505"/>
      <c r="AR10" s="505"/>
      <c r="AS10" s="511" t="s">
        <v>20</v>
      </c>
      <c r="AT10" s="499"/>
      <c r="AU10" s="499"/>
      <c r="AV10" s="500"/>
      <c r="AW10" s="534" t="s">
        <v>19</v>
      </c>
      <c r="AX10" s="505"/>
      <c r="AY10" s="505"/>
      <c r="AZ10" s="505"/>
      <c r="BA10" s="511" t="s">
        <v>20</v>
      </c>
      <c r="BB10" s="499"/>
      <c r="BC10" s="499"/>
      <c r="BD10" s="500"/>
    </row>
    <row r="11" spans="1:56" ht="20.100000000000001" customHeight="1">
      <c r="A11" s="501" t="s">
        <v>79</v>
      </c>
      <c r="B11" s="502"/>
      <c r="C11" s="505" t="s">
        <v>82</v>
      </c>
      <c r="D11" s="505"/>
      <c r="E11" s="525" t="s">
        <v>23</v>
      </c>
      <c r="F11" s="526"/>
      <c r="G11" s="505" t="s">
        <v>78</v>
      </c>
      <c r="H11" s="506"/>
      <c r="I11" s="501" t="s">
        <v>79</v>
      </c>
      <c r="J11" s="502"/>
      <c r="K11" s="505" t="s">
        <v>82</v>
      </c>
      <c r="L11" s="505"/>
      <c r="M11" s="525" t="s">
        <v>23</v>
      </c>
      <c r="N11" s="526"/>
      <c r="O11" s="505" t="s">
        <v>78</v>
      </c>
      <c r="P11" s="506"/>
      <c r="Q11" s="501" t="s">
        <v>79</v>
      </c>
      <c r="R11" s="502"/>
      <c r="S11" s="505" t="s">
        <v>82</v>
      </c>
      <c r="T11" s="505"/>
      <c r="U11" s="525" t="s">
        <v>23</v>
      </c>
      <c r="V11" s="526"/>
      <c r="W11" s="505" t="s">
        <v>78</v>
      </c>
      <c r="X11" s="506"/>
      <c r="Y11" s="501" t="s">
        <v>79</v>
      </c>
      <c r="Z11" s="502"/>
      <c r="AA11" s="505" t="s">
        <v>82</v>
      </c>
      <c r="AB11" s="505"/>
      <c r="AC11" s="525" t="s">
        <v>23</v>
      </c>
      <c r="AD11" s="526"/>
      <c r="AE11" s="505" t="s">
        <v>78</v>
      </c>
      <c r="AF11" s="506"/>
      <c r="AG11" s="534" t="s">
        <v>21</v>
      </c>
      <c r="AH11" s="505"/>
      <c r="AI11" s="505" t="s">
        <v>22</v>
      </c>
      <c r="AJ11" s="505"/>
      <c r="AK11" s="511" t="s">
        <v>23</v>
      </c>
      <c r="AL11" s="512"/>
      <c r="AM11" s="505" t="s">
        <v>24</v>
      </c>
      <c r="AN11" s="506"/>
      <c r="AO11" s="534" t="s">
        <v>21</v>
      </c>
      <c r="AP11" s="505"/>
      <c r="AQ11" s="505" t="s">
        <v>22</v>
      </c>
      <c r="AR11" s="505"/>
      <c r="AS11" s="511" t="s">
        <v>23</v>
      </c>
      <c r="AT11" s="512"/>
      <c r="AU11" s="505" t="s">
        <v>24</v>
      </c>
      <c r="AV11" s="506"/>
      <c r="AW11" s="534" t="s">
        <v>21</v>
      </c>
      <c r="AX11" s="505"/>
      <c r="AY11" s="505" t="s">
        <v>22</v>
      </c>
      <c r="AZ11" s="505"/>
      <c r="BA11" s="511" t="s">
        <v>23</v>
      </c>
      <c r="BB11" s="512"/>
      <c r="BC11" s="505" t="s">
        <v>24</v>
      </c>
      <c r="BD11" s="506"/>
    </row>
    <row r="12" spans="1:56" ht="20.100000000000001" customHeight="1">
      <c r="A12" s="520" t="s">
        <v>25</v>
      </c>
      <c r="B12" s="24" t="s">
        <v>26</v>
      </c>
      <c r="C12" s="503" t="e">
        <f>VLOOKUP(A1,급여대장!$A$6:$AD$15,7,0)</f>
        <v>#N/A</v>
      </c>
      <c r="D12" s="503"/>
      <c r="E12" s="553" t="s">
        <v>27</v>
      </c>
      <c r="F12" s="526"/>
      <c r="G12" s="503" t="e">
        <f>VLOOKUP($AG$1,급여대장!$A$6:$AD$15,16,0)</f>
        <v>#N/A</v>
      </c>
      <c r="H12" s="503"/>
      <c r="I12" s="591" t="s">
        <v>25</v>
      </c>
      <c r="J12" s="24" t="s">
        <v>26</v>
      </c>
      <c r="K12" s="503" t="e">
        <f>VLOOKUP(I1,급여대장!$A$6:$AD$15,7,0)</f>
        <v>#N/A</v>
      </c>
      <c r="L12" s="503"/>
      <c r="M12" s="525" t="s">
        <v>27</v>
      </c>
      <c r="N12" s="526"/>
      <c r="O12" s="503" t="e">
        <f>VLOOKUP(I1,급여대장!$A$6:$AD$15,16,0)</f>
        <v>#N/A</v>
      </c>
      <c r="P12" s="539"/>
      <c r="Q12" s="520" t="s">
        <v>25</v>
      </c>
      <c r="R12" s="24" t="s">
        <v>26</v>
      </c>
      <c r="S12" s="503" t="e">
        <f>VLOOKUP(Q1,급여대장!$A$6:$AD$15,7,0)</f>
        <v>#N/A</v>
      </c>
      <c r="T12" s="503"/>
      <c r="U12" s="553" t="s">
        <v>27</v>
      </c>
      <c r="V12" s="526"/>
      <c r="W12" s="503" t="e">
        <f>VLOOKUP(Q1,급여대장!$A$6:$AD$15,16,0)</f>
        <v>#N/A</v>
      </c>
      <c r="X12" s="539"/>
      <c r="Y12" s="520" t="s">
        <v>25</v>
      </c>
      <c r="Z12" s="24" t="s">
        <v>26</v>
      </c>
      <c r="AA12" s="503" t="e">
        <f>VLOOKUP(Y1,급여대장!$A$6:$AD$15,7,0)</f>
        <v>#N/A</v>
      </c>
      <c r="AB12" s="503"/>
      <c r="AC12" s="553" t="s">
        <v>27</v>
      </c>
      <c r="AD12" s="526"/>
      <c r="AE12" s="503" t="e">
        <f>VLOOKUP(Y1,급여대장!$A$6:$AD$15,16,0)</f>
        <v>#N/A</v>
      </c>
      <c r="AF12" s="539"/>
      <c r="AG12" s="520" t="s">
        <v>25</v>
      </c>
      <c r="AH12" s="9" t="s">
        <v>26</v>
      </c>
      <c r="AI12" s="503" t="e">
        <f>VLOOKUP(AG1,급여대장!$A$6:$AD$15,7,0)</f>
        <v>#N/A</v>
      </c>
      <c r="AJ12" s="539"/>
      <c r="AK12" s="511" t="s">
        <v>27</v>
      </c>
      <c r="AL12" s="512"/>
      <c r="AM12" s="503" t="e">
        <f>VLOOKUP(AG1,급여대장!$A$6:$AD$15,16,0)</f>
        <v>#N/A</v>
      </c>
      <c r="AN12" s="539"/>
      <c r="AO12" s="520" t="s">
        <v>25</v>
      </c>
      <c r="AP12" s="9" t="s">
        <v>26</v>
      </c>
      <c r="AQ12" s="503" t="e">
        <f>VLOOKUP(AO1,급여대장!$A$6:$AD$15,7,0)</f>
        <v>#N/A</v>
      </c>
      <c r="AR12" s="539"/>
      <c r="AS12" s="511" t="s">
        <v>27</v>
      </c>
      <c r="AT12" s="512"/>
      <c r="AU12" s="503" t="e">
        <f>VLOOKUP(AO1,급여대장!$A$6:$AD$15,16,0)</f>
        <v>#N/A</v>
      </c>
      <c r="AV12" s="539"/>
      <c r="AW12" s="520" t="s">
        <v>25</v>
      </c>
      <c r="AX12" s="9" t="s">
        <v>26</v>
      </c>
      <c r="AY12" s="503" t="e">
        <f>VLOOKUP(AW1,급여대장!$A$6:$AD$15,7,0)</f>
        <v>#N/A</v>
      </c>
      <c r="AZ12" s="539"/>
      <c r="BA12" s="511" t="s">
        <v>27</v>
      </c>
      <c r="BB12" s="512"/>
      <c r="BC12" s="503" t="e">
        <f>VLOOKUP(AW1,급여대장!$A$6:$AD$15,16,0)</f>
        <v>#N/A</v>
      </c>
      <c r="BD12" s="539"/>
    </row>
    <row r="13" spans="1:56" ht="20.100000000000001" customHeight="1">
      <c r="A13" s="521"/>
      <c r="B13" s="24" t="s">
        <v>28</v>
      </c>
      <c r="C13" s="503" t="e">
        <f>VLOOKUP($AG$1,급여대장!$A$6:$AD$15,8,0)</f>
        <v>#N/A</v>
      </c>
      <c r="D13" s="503"/>
      <c r="E13" s="553" t="s">
        <v>42</v>
      </c>
      <c r="F13" s="526"/>
      <c r="G13" s="503" t="e">
        <f>VLOOKUP($AG$1,급여대장!$A$6:$AD$15,17,0)</f>
        <v>#N/A</v>
      </c>
      <c r="H13" s="503"/>
      <c r="I13" s="592"/>
      <c r="J13" s="24" t="s">
        <v>28</v>
      </c>
      <c r="K13" s="503" t="e">
        <f>VLOOKUP(I1,급여대장!$A$6:$AD$15,8,0)</f>
        <v>#N/A</v>
      </c>
      <c r="L13" s="503"/>
      <c r="M13" s="525" t="s">
        <v>42</v>
      </c>
      <c r="N13" s="526"/>
      <c r="O13" s="513" t="e">
        <f>VLOOKUP(I1,급여대장!$A$6:$AD$15,17,0)</f>
        <v>#N/A</v>
      </c>
      <c r="P13" s="514"/>
      <c r="Q13" s="521"/>
      <c r="R13" s="24" t="s">
        <v>28</v>
      </c>
      <c r="S13" s="503" t="e">
        <f>VLOOKUP(Q1,급여대장!$A$6:$AD$15,8,0)</f>
        <v>#N/A</v>
      </c>
      <c r="T13" s="503"/>
      <c r="U13" s="553" t="s">
        <v>42</v>
      </c>
      <c r="V13" s="526"/>
      <c r="W13" s="513" t="e">
        <f>VLOOKUP(Q1,급여대장!$A$6:$AD$15,17,0)</f>
        <v>#N/A</v>
      </c>
      <c r="X13" s="514"/>
      <c r="Y13" s="521"/>
      <c r="Z13" s="24" t="s">
        <v>28</v>
      </c>
      <c r="AA13" s="503" t="e">
        <f>VLOOKUP(Y1,급여대장!$A$6:$AD$15,8,0)</f>
        <v>#N/A</v>
      </c>
      <c r="AB13" s="503"/>
      <c r="AC13" s="553" t="s">
        <v>42</v>
      </c>
      <c r="AD13" s="526"/>
      <c r="AE13" s="513" t="e">
        <f>VLOOKUP(Y1,급여대장!$A$6:$AD$15,17,0)</f>
        <v>#N/A</v>
      </c>
      <c r="AF13" s="514"/>
      <c r="AG13" s="521"/>
      <c r="AH13" s="9" t="s">
        <v>28</v>
      </c>
      <c r="AI13" s="503" t="e">
        <f>VLOOKUP(AG1,급여대장!$A$6:$AD$15,8,0)</f>
        <v>#N/A</v>
      </c>
      <c r="AJ13" s="539"/>
      <c r="AK13" s="511" t="s">
        <v>42</v>
      </c>
      <c r="AL13" s="512"/>
      <c r="AM13" s="513" t="e">
        <f>VLOOKUP(AG1,급여대장!$A$6:$AD$15,17,0)</f>
        <v>#N/A</v>
      </c>
      <c r="AN13" s="514"/>
      <c r="AO13" s="521"/>
      <c r="AP13" s="9" t="s">
        <v>28</v>
      </c>
      <c r="AQ13" s="503" t="e">
        <f>VLOOKUP(AO1,급여대장!$A$6:$AD$15,8,0)</f>
        <v>#N/A</v>
      </c>
      <c r="AR13" s="539"/>
      <c r="AS13" s="511" t="s">
        <v>42</v>
      </c>
      <c r="AT13" s="512"/>
      <c r="AU13" s="503" t="e">
        <f>VLOOKUP(AO1,급여대장!$A$6:$AD$15,17,0)</f>
        <v>#N/A</v>
      </c>
      <c r="AV13" s="539"/>
      <c r="AW13" s="521"/>
      <c r="AX13" s="9" t="s">
        <v>28</v>
      </c>
      <c r="AY13" s="503" t="e">
        <f>VLOOKUP(AW1,급여대장!$A$6:$AD$15,8,0)</f>
        <v>#N/A</v>
      </c>
      <c r="AZ13" s="503"/>
      <c r="BA13" s="511" t="s">
        <v>42</v>
      </c>
      <c r="BB13" s="512"/>
      <c r="BC13" s="503" t="e">
        <f>VLOOKUP(AW1,급여대장!$A$6:$AD$15,17,0)</f>
        <v>#N/A</v>
      </c>
      <c r="BD13" s="539"/>
    </row>
    <row r="14" spans="1:56" ht="20.100000000000001" customHeight="1">
      <c r="A14" s="521"/>
      <c r="B14" s="24" t="s">
        <v>46</v>
      </c>
      <c r="C14" s="503" t="e">
        <f>VLOOKUP($AG$1,급여대장!$A$6:$AD$15,9,0)</f>
        <v>#N/A</v>
      </c>
      <c r="D14" s="503"/>
      <c r="E14" s="553" t="s">
        <v>41</v>
      </c>
      <c r="F14" s="526"/>
      <c r="G14" s="503" t="e">
        <f>VLOOKUP($AG$1,급여대장!$A$6:$AD$15,18,0)</f>
        <v>#N/A</v>
      </c>
      <c r="H14" s="503"/>
      <c r="I14" s="592"/>
      <c r="J14" s="24" t="s">
        <v>46</v>
      </c>
      <c r="K14" s="503" t="e">
        <f>VLOOKUP(I1,급여대장!$A$6:$AD$15,9,0)</f>
        <v>#N/A</v>
      </c>
      <c r="L14" s="503"/>
      <c r="M14" s="525" t="s">
        <v>41</v>
      </c>
      <c r="N14" s="526"/>
      <c r="O14" s="513" t="e">
        <f>VLOOKUP(I1,급여대장!$A$6:$AD$15,18,0)</f>
        <v>#N/A</v>
      </c>
      <c r="P14" s="514"/>
      <c r="Q14" s="521"/>
      <c r="R14" s="24" t="s">
        <v>46</v>
      </c>
      <c r="S14" s="503" t="e">
        <f>VLOOKUP($Q$1,급여대장!$A$6:$AD$15,9,0)</f>
        <v>#N/A</v>
      </c>
      <c r="T14" s="503"/>
      <c r="U14" s="553" t="s">
        <v>41</v>
      </c>
      <c r="V14" s="526"/>
      <c r="W14" s="513" t="e">
        <f>VLOOKUP(Q1,급여대장!$A$6:$AD$15,18,0)</f>
        <v>#N/A</v>
      </c>
      <c r="X14" s="514"/>
      <c r="Y14" s="521"/>
      <c r="Z14" s="24" t="s">
        <v>46</v>
      </c>
      <c r="AA14" s="503" t="e">
        <f>VLOOKUP(Y1,급여대장!$A$6:$AD$15,9,0)</f>
        <v>#N/A</v>
      </c>
      <c r="AB14" s="503"/>
      <c r="AC14" s="553" t="s">
        <v>41</v>
      </c>
      <c r="AD14" s="526"/>
      <c r="AE14" s="513" t="e">
        <f>VLOOKUP(Y1,급여대장!$A$6:$AD$15,18,0)</f>
        <v>#N/A</v>
      </c>
      <c r="AF14" s="514"/>
      <c r="AG14" s="521"/>
      <c r="AH14" s="9" t="s">
        <v>46</v>
      </c>
      <c r="AI14" s="503" t="e">
        <f>VLOOKUP(AG1,급여대장!$A$6:$AD$15,9,0)</f>
        <v>#N/A</v>
      </c>
      <c r="AJ14" s="539"/>
      <c r="AK14" s="511" t="s">
        <v>41</v>
      </c>
      <c r="AL14" s="512"/>
      <c r="AM14" s="513" t="e">
        <f>VLOOKUP(AG1,급여대장!$A$6:$AD$15,18,0)</f>
        <v>#N/A</v>
      </c>
      <c r="AN14" s="514"/>
      <c r="AO14" s="521"/>
      <c r="AP14" s="9" t="s">
        <v>46</v>
      </c>
      <c r="AQ14" s="503" t="e">
        <f>VLOOKUP(AO1,급여대장!$A$6:$AD$15,9,0)</f>
        <v>#N/A</v>
      </c>
      <c r="AR14" s="539"/>
      <c r="AS14" s="511" t="s">
        <v>41</v>
      </c>
      <c r="AT14" s="512"/>
      <c r="AU14" s="503" t="e">
        <f>VLOOKUP(AO1,급여대장!$A$6:$AD$15,18,0)</f>
        <v>#N/A</v>
      </c>
      <c r="AV14" s="539"/>
      <c r="AW14" s="521"/>
      <c r="AX14" s="9" t="s">
        <v>46</v>
      </c>
      <c r="AY14" s="503" t="e">
        <f>VLOOKUP(AW1,급여대장!$A$6:$AD$15,9,0)</f>
        <v>#N/A</v>
      </c>
      <c r="AZ14" s="503"/>
      <c r="BA14" s="511" t="s">
        <v>41</v>
      </c>
      <c r="BB14" s="512"/>
      <c r="BC14" s="503" t="e">
        <f>VLOOKUP(AW1,급여대장!$A$6:$AD$15,18,0)</f>
        <v>#N/A</v>
      </c>
      <c r="BD14" s="539"/>
    </row>
    <row r="15" spans="1:56" ht="20.100000000000001" customHeight="1">
      <c r="A15" s="521"/>
      <c r="B15" s="25" t="s">
        <v>255</v>
      </c>
      <c r="C15" s="503" t="e">
        <f>VLOOKUP($AG$1,급여대장!$A$6:$AD$15,10,0)</f>
        <v>#N/A</v>
      </c>
      <c r="D15" s="503"/>
      <c r="E15" s="553" t="s">
        <v>29</v>
      </c>
      <c r="F15" s="526"/>
      <c r="G15" s="503" t="e">
        <f>VLOOKUP($AG$1,급여대장!$A$6:$AD$15,19,0)</f>
        <v>#N/A</v>
      </c>
      <c r="H15" s="503"/>
      <c r="I15" s="592"/>
      <c r="J15" s="25" t="s">
        <v>57</v>
      </c>
      <c r="K15" s="503" t="e">
        <f>VLOOKUP(I1,급여대장!$A$6:$AD$15,10,0)</f>
        <v>#N/A</v>
      </c>
      <c r="L15" s="503"/>
      <c r="M15" s="525" t="s">
        <v>29</v>
      </c>
      <c r="N15" s="526"/>
      <c r="O15" s="513" t="e">
        <f>VLOOKUP(I1,급여대장!$A$6:$AD$15,19,0)</f>
        <v>#N/A</v>
      </c>
      <c r="P15" s="514"/>
      <c r="Q15" s="521"/>
      <c r="R15" s="25" t="s">
        <v>57</v>
      </c>
      <c r="S15" s="503" t="e">
        <f>VLOOKUP($Q$1,급여대장!$A$6:$AD$15,10,0)</f>
        <v>#N/A</v>
      </c>
      <c r="T15" s="503"/>
      <c r="U15" s="553" t="s">
        <v>29</v>
      </c>
      <c r="V15" s="526"/>
      <c r="W15" s="513" t="e">
        <f>VLOOKUP(Q1,급여대장!$A$6:$AD$15,19,0)</f>
        <v>#N/A</v>
      </c>
      <c r="X15" s="514"/>
      <c r="Y15" s="521"/>
      <c r="Z15" s="25" t="s">
        <v>57</v>
      </c>
      <c r="AA15" s="503" t="e">
        <f>VLOOKUP(Y1,급여대장!$A$6:$AD$15,10,0)</f>
        <v>#N/A</v>
      </c>
      <c r="AB15" s="503"/>
      <c r="AC15" s="553" t="s">
        <v>29</v>
      </c>
      <c r="AD15" s="526"/>
      <c r="AE15" s="513" t="e">
        <f>VLOOKUP(Y1,급여대장!$A$6:$AD$15,19,0)</f>
        <v>#N/A</v>
      </c>
      <c r="AF15" s="514"/>
      <c r="AG15" s="521"/>
      <c r="AH15" s="13" t="s">
        <v>47</v>
      </c>
      <c r="AI15" s="503" t="e">
        <f>VLOOKUP(AG1,급여대장!$A$6:$AD$15,10,0)</f>
        <v>#N/A</v>
      </c>
      <c r="AJ15" s="539"/>
      <c r="AK15" s="511" t="s">
        <v>29</v>
      </c>
      <c r="AL15" s="512"/>
      <c r="AM15" s="513" t="e">
        <f>VLOOKUP(AG1,급여대장!$A$6:$AD$15,19,0)</f>
        <v>#N/A</v>
      </c>
      <c r="AN15" s="514"/>
      <c r="AO15" s="521"/>
      <c r="AP15" s="13" t="s">
        <v>47</v>
      </c>
      <c r="AQ15" s="503" t="e">
        <f>VLOOKUP(AO1,급여대장!$A$6:$AD$15,10,0)</f>
        <v>#N/A</v>
      </c>
      <c r="AR15" s="539"/>
      <c r="AS15" s="511" t="s">
        <v>29</v>
      </c>
      <c r="AT15" s="512"/>
      <c r="AU15" s="503" t="e">
        <f>VLOOKUP(AO1,급여대장!$A$6:$AD$15,19,0)</f>
        <v>#N/A</v>
      </c>
      <c r="AV15" s="539"/>
      <c r="AW15" s="521"/>
      <c r="AX15" s="13" t="s">
        <v>47</v>
      </c>
      <c r="AY15" s="503" t="e">
        <f>VLOOKUP(AW1,급여대장!$A$6:$AD$15,10,0)</f>
        <v>#N/A</v>
      </c>
      <c r="AZ15" s="503"/>
      <c r="BA15" s="511" t="s">
        <v>29</v>
      </c>
      <c r="BB15" s="512"/>
      <c r="BC15" s="513" t="e">
        <f>VLOOKUP(AW1,급여대장!$A$6:$AD$15,19,0)</f>
        <v>#N/A</v>
      </c>
      <c r="BD15" s="514"/>
    </row>
    <row r="16" spans="1:56" ht="20.100000000000001" customHeight="1">
      <c r="A16" s="521"/>
      <c r="B16" s="24" t="s">
        <v>257</v>
      </c>
      <c r="C16" s="503" t="e">
        <f>VLOOKUP($AG$1,급여대장!$A$6:$AD$15,11,0)</f>
        <v>#N/A</v>
      </c>
      <c r="D16" s="503"/>
      <c r="E16" s="525" t="s">
        <v>30</v>
      </c>
      <c r="F16" s="526"/>
      <c r="G16" s="503" t="e">
        <f>VLOOKUP($AG$1,급여대장!$A$6:$AD$15,20,0)</f>
        <v>#N/A</v>
      </c>
      <c r="H16" s="503"/>
      <c r="I16" s="592"/>
      <c r="J16" s="24" t="s">
        <v>70</v>
      </c>
      <c r="K16" s="503" t="e">
        <f>VLOOKUP(I1,급여대장!$A$6:$AD$15,11,0)</f>
        <v>#N/A</v>
      </c>
      <c r="L16" s="503"/>
      <c r="M16" s="525" t="s">
        <v>30</v>
      </c>
      <c r="N16" s="526"/>
      <c r="O16" s="513" t="e">
        <f>VLOOKUP(I1,급여대장!$A$6:$AD$15,20,0)</f>
        <v>#N/A</v>
      </c>
      <c r="P16" s="514"/>
      <c r="Q16" s="521"/>
      <c r="R16" s="24" t="s">
        <v>70</v>
      </c>
      <c r="S16" s="503" t="e">
        <f>VLOOKUP(Q1,급여대장!$A$6:$AD$15,11,0)</f>
        <v>#N/A</v>
      </c>
      <c r="T16" s="503"/>
      <c r="U16" s="553" t="s">
        <v>30</v>
      </c>
      <c r="V16" s="526"/>
      <c r="W16" s="513" t="e">
        <f>VLOOKUP(Q1,급여대장!$A$6:$AD$15,20,0)</f>
        <v>#N/A</v>
      </c>
      <c r="X16" s="514"/>
      <c r="Y16" s="521"/>
      <c r="Z16" s="24" t="s">
        <v>70</v>
      </c>
      <c r="AA16" s="503" t="e">
        <f>VLOOKUP(Y1,급여대장!$A$6:$AD$15,11,0)</f>
        <v>#N/A</v>
      </c>
      <c r="AB16" s="503"/>
      <c r="AC16" s="525" t="s">
        <v>30</v>
      </c>
      <c r="AD16" s="526"/>
      <c r="AE16" s="513" t="e">
        <f>VLOOKUP(Y1,급여대장!$A$6:$AD$15,20,0)</f>
        <v>#N/A</v>
      </c>
      <c r="AF16" s="514"/>
      <c r="AG16" s="521"/>
      <c r="AH16" s="9" t="s">
        <v>49</v>
      </c>
      <c r="AI16" s="503" t="e">
        <f>VLOOKUP(AG1,급여대장!$A$6:$AD$15,13,0)</f>
        <v>#N/A</v>
      </c>
      <c r="AJ16" s="503"/>
      <c r="AK16" s="511" t="s">
        <v>30</v>
      </c>
      <c r="AL16" s="512"/>
      <c r="AM16" s="513" t="e">
        <f>VLOOKUP(AG1,급여대장!$A$6:$AD$15,20,0)</f>
        <v>#N/A</v>
      </c>
      <c r="AN16" s="514"/>
      <c r="AO16" s="521"/>
      <c r="AP16" s="9" t="s">
        <v>49</v>
      </c>
      <c r="AQ16" s="503" t="e">
        <f>VLOOKUP(AO1,급여대장!$A$6:$AD$15,13,0)</f>
        <v>#N/A</v>
      </c>
      <c r="AR16" s="539"/>
      <c r="AS16" s="511" t="s">
        <v>30</v>
      </c>
      <c r="AT16" s="512"/>
      <c r="AU16" s="503" t="e">
        <f>VLOOKUP(AO1,급여대장!$A$6:$AD$15,20,0)</f>
        <v>#N/A</v>
      </c>
      <c r="AV16" s="539"/>
      <c r="AW16" s="521"/>
      <c r="AX16" s="9" t="s">
        <v>49</v>
      </c>
      <c r="AY16" s="503" t="e">
        <f>VLOOKUP(AW1,급여대장!$A$6:$AD$15,13,0)</f>
        <v>#N/A</v>
      </c>
      <c r="AZ16" s="539"/>
      <c r="BA16" s="511" t="s">
        <v>30</v>
      </c>
      <c r="BB16" s="512"/>
      <c r="BC16" s="513" t="e">
        <f>VLOOKUP(AW1,급여대장!$A$6:$AD$15,20,0)</f>
        <v>#N/A</v>
      </c>
      <c r="BD16" s="514"/>
    </row>
    <row r="17" spans="1:56" ht="20.100000000000001" customHeight="1">
      <c r="A17" s="521"/>
      <c r="B17" s="24" t="s">
        <v>88</v>
      </c>
      <c r="C17" s="513" t="e">
        <f>VLOOKUP(A1,급여대장!$A$6:$AD$15,12,0)</f>
        <v>#N/A</v>
      </c>
      <c r="D17" s="527"/>
      <c r="E17" s="525" t="s">
        <v>31</v>
      </c>
      <c r="F17" s="526"/>
      <c r="G17" s="503" t="e">
        <f>VLOOKUP($AG$1,급여대장!$A$6:$AD$15,21,0)</f>
        <v>#N/A</v>
      </c>
      <c r="H17" s="503"/>
      <c r="I17" s="592"/>
      <c r="J17" s="24"/>
      <c r="K17" s="503"/>
      <c r="L17" s="503"/>
      <c r="M17" s="525" t="s">
        <v>31</v>
      </c>
      <c r="N17" s="526"/>
      <c r="O17" s="513" t="e">
        <f>VLOOKUP(I1,급여대장!$A$6:$AD$15,21,0)</f>
        <v>#N/A</v>
      </c>
      <c r="P17" s="514"/>
      <c r="Q17" s="521"/>
      <c r="R17" s="24"/>
      <c r="S17" s="503"/>
      <c r="T17" s="503"/>
      <c r="U17" s="525" t="s">
        <v>31</v>
      </c>
      <c r="V17" s="526"/>
      <c r="W17" s="513" t="e">
        <f>VLOOKUP(Q1,급여대장!$A$6:$AD$15,21,0)</f>
        <v>#N/A</v>
      </c>
      <c r="X17" s="514"/>
      <c r="Y17" s="521"/>
      <c r="Z17" s="24"/>
      <c r="AA17" s="503"/>
      <c r="AB17" s="503"/>
      <c r="AC17" s="525" t="s">
        <v>31</v>
      </c>
      <c r="AD17" s="526"/>
      <c r="AE17" s="513" t="e">
        <f>VLOOKUP(Y1,급여대장!$A$6:$AD$15,21,0)</f>
        <v>#N/A</v>
      </c>
      <c r="AF17" s="514"/>
      <c r="AG17" s="521"/>
      <c r="AH17" s="9"/>
      <c r="AI17" s="503"/>
      <c r="AJ17" s="503"/>
      <c r="AK17" s="511" t="s">
        <v>31</v>
      </c>
      <c r="AL17" s="512"/>
      <c r="AM17" s="513" t="e">
        <f>VLOOKUP(AG1,급여대장!$A$6:$AD$15,21,0)</f>
        <v>#N/A</v>
      </c>
      <c r="AN17" s="514"/>
      <c r="AO17" s="521"/>
      <c r="AP17" s="9"/>
      <c r="AQ17" s="503"/>
      <c r="AR17" s="503"/>
      <c r="AS17" s="511" t="s">
        <v>31</v>
      </c>
      <c r="AT17" s="512"/>
      <c r="AU17" s="503" t="e">
        <f>VLOOKUP(AO1,급여대장!$A$6:$AD$15,21,0)</f>
        <v>#N/A</v>
      </c>
      <c r="AV17" s="539"/>
      <c r="AW17" s="521"/>
      <c r="AX17" s="9"/>
      <c r="AY17" s="503"/>
      <c r="AZ17" s="503"/>
      <c r="BA17" s="511" t="s">
        <v>31</v>
      </c>
      <c r="BB17" s="512"/>
      <c r="BC17" s="513" t="e">
        <f>VLOOKUP(AW1,급여대장!$A$6:$AD$15,21,0)</f>
        <v>#N/A</v>
      </c>
      <c r="BD17" s="514"/>
    </row>
    <row r="18" spans="1:56" ht="20.100000000000001" customHeight="1">
      <c r="A18" s="521"/>
      <c r="B18" s="24"/>
      <c r="C18" s="513"/>
      <c r="D18" s="527"/>
      <c r="E18" s="523"/>
      <c r="F18" s="524"/>
      <c r="G18" s="513"/>
      <c r="H18" s="514"/>
      <c r="I18" s="592"/>
      <c r="J18" s="24"/>
      <c r="K18" s="503"/>
      <c r="L18" s="503"/>
      <c r="M18" s="523" t="s">
        <v>71</v>
      </c>
      <c r="N18" s="524"/>
      <c r="O18" s="513" t="e">
        <f>VLOOKUP(I1,급여대장!$A$6:$AD$15,22,0)</f>
        <v>#N/A</v>
      </c>
      <c r="P18" s="514"/>
      <c r="Q18" s="521"/>
      <c r="R18" s="24"/>
      <c r="S18" s="503"/>
      <c r="T18" s="503"/>
      <c r="U18" s="523" t="s">
        <v>71</v>
      </c>
      <c r="V18" s="524"/>
      <c r="W18" s="513" t="e">
        <f>VLOOKUP(Q1,급여대장!$A$6:$AD$15,22,0)</f>
        <v>#N/A</v>
      </c>
      <c r="X18" s="514"/>
      <c r="Y18" s="521"/>
      <c r="Z18" s="24"/>
      <c r="AA18" s="503"/>
      <c r="AB18" s="503"/>
      <c r="AC18" s="523" t="s">
        <v>71</v>
      </c>
      <c r="AD18" s="524"/>
      <c r="AE18" s="513" t="e">
        <f>VLOOKUP(Y1,급여대장!$A$6:$AD$15,22,0)</f>
        <v>#N/A</v>
      </c>
      <c r="AF18" s="514"/>
      <c r="AG18" s="521"/>
      <c r="AH18" s="9"/>
      <c r="AI18" s="513"/>
      <c r="AJ18" s="527"/>
      <c r="AK18" s="537" t="s">
        <v>45</v>
      </c>
      <c r="AL18" s="538"/>
      <c r="AM18" s="513" t="e">
        <f>VLOOKUP(AG1,급여대장!$A$6:$AD$15,24,0)</f>
        <v>#N/A</v>
      </c>
      <c r="AN18" s="514"/>
      <c r="AO18" s="521"/>
      <c r="AP18" s="9"/>
      <c r="AQ18" s="513"/>
      <c r="AR18" s="527"/>
      <c r="AS18" s="537"/>
      <c r="AT18" s="538"/>
      <c r="AU18" s="513"/>
      <c r="AV18" s="514"/>
      <c r="AW18" s="521"/>
      <c r="AX18" s="9"/>
      <c r="AY18" s="513"/>
      <c r="AZ18" s="527"/>
      <c r="BA18" s="537"/>
      <c r="BB18" s="538"/>
      <c r="BC18" s="513"/>
      <c r="BD18" s="514"/>
    </row>
    <row r="19" spans="1:56" ht="20.100000000000001" customHeight="1">
      <c r="A19" s="522"/>
      <c r="B19" s="24"/>
      <c r="C19" s="513"/>
      <c r="D19" s="527"/>
      <c r="E19" s="523"/>
      <c r="F19" s="524"/>
      <c r="G19" s="513"/>
      <c r="H19" s="514"/>
      <c r="I19" s="593"/>
      <c r="J19" s="24"/>
      <c r="K19" s="513"/>
      <c r="L19" s="527"/>
      <c r="M19" s="523"/>
      <c r="N19" s="524"/>
      <c r="O19" s="513"/>
      <c r="P19" s="514"/>
      <c r="Q19" s="522"/>
      <c r="R19" s="24"/>
      <c r="S19" s="513"/>
      <c r="T19" s="527"/>
      <c r="U19" s="523"/>
      <c r="V19" s="524"/>
      <c r="W19" s="513"/>
      <c r="X19" s="514"/>
      <c r="Y19" s="522"/>
      <c r="Z19" s="24"/>
      <c r="AA19" s="513"/>
      <c r="AB19" s="527"/>
      <c r="AC19" s="523"/>
      <c r="AD19" s="524"/>
      <c r="AE19" s="513"/>
      <c r="AF19" s="514"/>
      <c r="AG19" s="522"/>
      <c r="AH19" s="9"/>
      <c r="AI19" s="513"/>
      <c r="AJ19" s="527"/>
      <c r="AK19" s="537" t="s">
        <v>48</v>
      </c>
      <c r="AL19" s="538"/>
      <c r="AM19" s="513" t="e">
        <f>VLOOKUP(AG1,급여대장!$A$6:$AD$15,25,0)</f>
        <v>#N/A</v>
      </c>
      <c r="AN19" s="514"/>
      <c r="AO19" s="522"/>
      <c r="AP19" s="9"/>
      <c r="AQ19" s="513"/>
      <c r="AR19" s="527"/>
      <c r="AS19" s="537"/>
      <c r="AT19" s="538"/>
      <c r="AU19" s="513"/>
      <c r="AV19" s="514"/>
      <c r="AW19" s="522"/>
      <c r="AX19" s="9"/>
      <c r="AY19" s="513"/>
      <c r="AZ19" s="527"/>
      <c r="BA19" s="537"/>
      <c r="BB19" s="538"/>
      <c r="BC19" s="513"/>
      <c r="BD19" s="514"/>
    </row>
    <row r="20" spans="1:56" ht="20.100000000000001" customHeight="1">
      <c r="A20" s="19"/>
      <c r="B20" s="24"/>
      <c r="C20" s="14"/>
      <c r="D20" s="15"/>
      <c r="E20" s="537"/>
      <c r="F20" s="538"/>
      <c r="G20" s="513"/>
      <c r="H20" s="514"/>
      <c r="I20" s="19"/>
      <c r="J20" s="24"/>
      <c r="K20" s="14"/>
      <c r="L20" s="15"/>
      <c r="M20" s="523"/>
      <c r="N20" s="524"/>
      <c r="O20" s="513"/>
      <c r="P20" s="514"/>
      <c r="Q20" s="19"/>
      <c r="R20" s="24"/>
      <c r="S20" s="14"/>
      <c r="T20" s="15"/>
      <c r="U20" s="523"/>
      <c r="V20" s="524"/>
      <c r="W20" s="513"/>
      <c r="X20" s="514"/>
      <c r="Y20" s="19"/>
      <c r="Z20" s="24"/>
      <c r="AA20" s="14"/>
      <c r="AB20" s="15"/>
      <c r="AC20" s="537"/>
      <c r="AD20" s="538"/>
      <c r="AE20" s="513"/>
      <c r="AF20" s="514"/>
      <c r="AG20" s="19"/>
      <c r="AH20" s="9"/>
      <c r="AI20" s="14"/>
      <c r="AJ20" s="15"/>
      <c r="AK20" s="537"/>
      <c r="AL20" s="538"/>
      <c r="AM20" s="513"/>
      <c r="AN20" s="514"/>
      <c r="AO20" s="19"/>
      <c r="AP20" s="9"/>
      <c r="AQ20" s="14"/>
      <c r="AR20" s="15"/>
      <c r="AS20" s="537"/>
      <c r="AT20" s="538"/>
      <c r="AU20" s="513"/>
      <c r="AV20" s="514"/>
      <c r="AW20" s="19"/>
      <c r="AX20" s="9"/>
      <c r="AY20" s="14"/>
      <c r="AZ20" s="15"/>
      <c r="BA20" s="16"/>
      <c r="BB20" s="17"/>
      <c r="BC20" s="14"/>
      <c r="BD20" s="18"/>
    </row>
    <row r="21" spans="1:56" ht="20.100000000000001" customHeight="1">
      <c r="A21" s="19"/>
      <c r="B21" s="24"/>
      <c r="C21" s="14"/>
      <c r="D21" s="15"/>
      <c r="E21" s="537"/>
      <c r="F21" s="538"/>
      <c r="G21" s="513"/>
      <c r="H21" s="514"/>
      <c r="I21" s="19"/>
      <c r="J21" s="24"/>
      <c r="K21" s="14"/>
      <c r="L21" s="15"/>
      <c r="M21" s="537"/>
      <c r="N21" s="538"/>
      <c r="O21" s="513"/>
      <c r="P21" s="514"/>
      <c r="Q21" s="19"/>
      <c r="R21" s="24"/>
      <c r="S21" s="14"/>
      <c r="T21" s="15"/>
      <c r="U21" s="537"/>
      <c r="V21" s="538"/>
      <c r="W21" s="513"/>
      <c r="X21" s="514"/>
      <c r="Y21" s="19"/>
      <c r="Z21" s="24"/>
      <c r="AA21" s="14"/>
      <c r="AB21" s="15"/>
      <c r="AC21" s="537"/>
      <c r="AD21" s="538"/>
      <c r="AE21" s="513"/>
      <c r="AF21" s="514"/>
      <c r="AG21" s="19"/>
      <c r="AH21" s="9"/>
      <c r="AI21" s="14"/>
      <c r="AJ21" s="15"/>
      <c r="AK21" s="537"/>
      <c r="AL21" s="538"/>
      <c r="AM21" s="513"/>
      <c r="AN21" s="514"/>
      <c r="AO21" s="19"/>
      <c r="AP21" s="9"/>
      <c r="AQ21" s="14"/>
      <c r="AR21" s="15"/>
      <c r="AS21" s="537"/>
      <c r="AT21" s="538"/>
      <c r="AU21" s="513"/>
      <c r="AV21" s="514"/>
      <c r="AW21" s="19"/>
      <c r="AX21" s="9"/>
      <c r="AY21" s="14"/>
      <c r="AZ21" s="15"/>
      <c r="BA21" s="16"/>
      <c r="BB21" s="17"/>
      <c r="BC21" s="14"/>
      <c r="BD21" s="18"/>
    </row>
    <row r="22" spans="1:56" ht="20.100000000000001" customHeight="1">
      <c r="A22" s="520" t="s">
        <v>32</v>
      </c>
      <c r="B22" s="24" t="s">
        <v>49</v>
      </c>
      <c r="C22" s="503" t="e">
        <f>VLOOKUP($Y$1,급여대장!$A$6:$AD$15,13,0)</f>
        <v>#N/A</v>
      </c>
      <c r="D22" s="503"/>
      <c r="E22" s="537"/>
      <c r="F22" s="538"/>
      <c r="G22" s="513"/>
      <c r="H22" s="514"/>
      <c r="I22" s="520" t="s">
        <v>32</v>
      </c>
      <c r="J22" s="24" t="s">
        <v>49</v>
      </c>
      <c r="K22" s="503" t="e">
        <f>VLOOKUP(I1,급여대장!$A$6:$AD$15,13,0)</f>
        <v>#N/A</v>
      </c>
      <c r="L22" s="503"/>
      <c r="M22" s="537"/>
      <c r="N22" s="538"/>
      <c r="O22" s="513"/>
      <c r="P22" s="514"/>
      <c r="Q22" s="520" t="s">
        <v>32</v>
      </c>
      <c r="R22" s="24" t="s">
        <v>49</v>
      </c>
      <c r="S22" s="503" t="e">
        <f>VLOOKUP(Q1,급여대장!$A$6:$AD$15,13,0)</f>
        <v>#N/A</v>
      </c>
      <c r="T22" s="503"/>
      <c r="U22" s="537"/>
      <c r="V22" s="538"/>
      <c r="W22" s="513"/>
      <c r="X22" s="514"/>
      <c r="Y22" s="520" t="s">
        <v>32</v>
      </c>
      <c r="Z22" s="24" t="s">
        <v>49</v>
      </c>
      <c r="AA22" s="503" t="e">
        <f>VLOOKUP(Y1,급여대장!$A$6:$AD$15,13,0)</f>
        <v>#N/A</v>
      </c>
      <c r="AB22" s="503"/>
      <c r="AC22" s="537"/>
      <c r="AD22" s="538"/>
      <c r="AE22" s="513"/>
      <c r="AF22" s="514"/>
      <c r="AG22" s="520" t="s">
        <v>32</v>
      </c>
      <c r="AH22" s="9"/>
      <c r="AI22" s="513"/>
      <c r="AJ22" s="527"/>
      <c r="AK22" s="537"/>
      <c r="AL22" s="538"/>
      <c r="AM22" s="513"/>
      <c r="AN22" s="514"/>
      <c r="AO22" s="520" t="s">
        <v>32</v>
      </c>
      <c r="AP22" s="9"/>
      <c r="AQ22" s="513"/>
      <c r="AR22" s="527"/>
      <c r="AS22" s="537"/>
      <c r="AT22" s="538"/>
      <c r="AU22" s="513"/>
      <c r="AV22" s="514"/>
      <c r="AW22" s="520" t="s">
        <v>32</v>
      </c>
      <c r="AX22" s="9"/>
      <c r="AY22" s="513"/>
      <c r="AZ22" s="527"/>
      <c r="BA22" s="537"/>
      <c r="BB22" s="538"/>
      <c r="BC22" s="513"/>
      <c r="BD22" s="514"/>
    </row>
    <row r="23" spans="1:56" ht="20.100000000000001" customHeight="1">
      <c r="A23" s="521"/>
      <c r="B23" s="24"/>
      <c r="C23" s="513"/>
      <c r="D23" s="527"/>
      <c r="E23" s="537"/>
      <c r="F23" s="538"/>
      <c r="G23" s="513"/>
      <c r="H23" s="514"/>
      <c r="I23" s="521"/>
      <c r="J23" s="24"/>
      <c r="K23" s="513"/>
      <c r="L23" s="527"/>
      <c r="M23" s="537"/>
      <c r="N23" s="538"/>
      <c r="O23" s="513"/>
      <c r="P23" s="514"/>
      <c r="Q23" s="521"/>
      <c r="R23" s="24"/>
      <c r="S23" s="513"/>
      <c r="T23" s="527"/>
      <c r="U23" s="537"/>
      <c r="V23" s="538"/>
      <c r="W23" s="513"/>
      <c r="X23" s="514"/>
      <c r="Y23" s="521"/>
      <c r="Z23" s="24"/>
      <c r="AA23" s="513"/>
      <c r="AB23" s="527"/>
      <c r="AC23" s="537"/>
      <c r="AD23" s="538"/>
      <c r="AE23" s="513"/>
      <c r="AF23" s="514"/>
      <c r="AG23" s="521"/>
      <c r="AH23" s="9"/>
      <c r="AI23" s="513"/>
      <c r="AJ23" s="527"/>
      <c r="AK23" s="537"/>
      <c r="AL23" s="538"/>
      <c r="AM23" s="513"/>
      <c r="AN23" s="514"/>
      <c r="AO23" s="521"/>
      <c r="AP23" s="9"/>
      <c r="AQ23" s="513"/>
      <c r="AR23" s="527"/>
      <c r="AS23" s="537"/>
      <c r="AT23" s="538"/>
      <c r="AU23" s="513"/>
      <c r="AV23" s="514"/>
      <c r="AW23" s="521"/>
      <c r="AX23" s="9"/>
      <c r="AY23" s="513"/>
      <c r="AZ23" s="527"/>
      <c r="BA23" s="537"/>
      <c r="BB23" s="538"/>
      <c r="BC23" s="513"/>
      <c r="BD23" s="514"/>
    </row>
    <row r="24" spans="1:56" ht="20.100000000000001" customHeight="1">
      <c r="A24" s="522"/>
      <c r="B24" s="24"/>
      <c r="C24" s="513"/>
      <c r="D24" s="527"/>
      <c r="E24" s="537"/>
      <c r="F24" s="538"/>
      <c r="G24" s="513"/>
      <c r="H24" s="514"/>
      <c r="I24" s="522"/>
      <c r="J24" s="24"/>
      <c r="K24" s="513"/>
      <c r="L24" s="527"/>
      <c r="M24" s="537"/>
      <c r="N24" s="538"/>
      <c r="O24" s="513"/>
      <c r="P24" s="514"/>
      <c r="Q24" s="522"/>
      <c r="R24" s="24"/>
      <c r="S24" s="513"/>
      <c r="T24" s="527"/>
      <c r="U24" s="537"/>
      <c r="V24" s="538"/>
      <c r="W24" s="513"/>
      <c r="X24" s="514"/>
      <c r="Y24" s="522"/>
      <c r="Z24" s="24"/>
      <c r="AA24" s="513"/>
      <c r="AB24" s="527"/>
      <c r="AC24" s="537"/>
      <c r="AD24" s="538"/>
      <c r="AE24" s="513"/>
      <c r="AF24" s="514"/>
      <c r="AG24" s="522"/>
      <c r="AH24" s="9"/>
      <c r="AI24" s="513"/>
      <c r="AJ24" s="527"/>
      <c r="AK24" s="537"/>
      <c r="AL24" s="538"/>
      <c r="AM24" s="513"/>
      <c r="AN24" s="514"/>
      <c r="AO24" s="522"/>
      <c r="AP24" s="9"/>
      <c r="AQ24" s="513"/>
      <c r="AR24" s="527"/>
      <c r="AS24" s="537"/>
      <c r="AT24" s="538"/>
      <c r="AU24" s="513"/>
      <c r="AV24" s="514"/>
      <c r="AW24" s="522"/>
      <c r="AX24" s="9"/>
      <c r="AY24" s="513"/>
      <c r="AZ24" s="527"/>
      <c r="BA24" s="537"/>
      <c r="BB24" s="538"/>
      <c r="BC24" s="513"/>
      <c r="BD24" s="514"/>
    </row>
    <row r="25" spans="1:56" ht="20.100000000000001" customHeight="1">
      <c r="A25" s="561" t="s">
        <v>33</v>
      </c>
      <c r="B25" s="550"/>
      <c r="C25" s="528" t="e">
        <f>SUM(C12:D24)</f>
        <v>#N/A</v>
      </c>
      <c r="D25" s="528"/>
      <c r="E25" s="509" t="s">
        <v>34</v>
      </c>
      <c r="F25" s="510"/>
      <c r="G25" s="528" t="e">
        <f>SUM(G12:H24)</f>
        <v>#N/A</v>
      </c>
      <c r="H25" s="529"/>
      <c r="I25" s="561" t="s">
        <v>33</v>
      </c>
      <c r="J25" s="550"/>
      <c r="K25" s="528" t="e">
        <f>SUM(K12:L24)</f>
        <v>#N/A</v>
      </c>
      <c r="L25" s="528"/>
      <c r="M25" s="509" t="s">
        <v>34</v>
      </c>
      <c r="N25" s="510"/>
      <c r="O25" s="528" t="e">
        <f>SUM(O12:P24)</f>
        <v>#N/A</v>
      </c>
      <c r="P25" s="529"/>
      <c r="Q25" s="561" t="s">
        <v>33</v>
      </c>
      <c r="R25" s="550"/>
      <c r="S25" s="528" t="e">
        <f>SUM(S12:T24)</f>
        <v>#N/A</v>
      </c>
      <c r="T25" s="528"/>
      <c r="U25" s="509" t="s">
        <v>34</v>
      </c>
      <c r="V25" s="510"/>
      <c r="W25" s="528" t="e">
        <f>SUM(W12:X24)</f>
        <v>#N/A</v>
      </c>
      <c r="X25" s="529"/>
      <c r="Y25" s="561" t="s">
        <v>33</v>
      </c>
      <c r="Z25" s="550"/>
      <c r="AA25" s="528" t="e">
        <f>SUM(AA12:AB24)</f>
        <v>#N/A</v>
      </c>
      <c r="AB25" s="528"/>
      <c r="AC25" s="509" t="s">
        <v>34</v>
      </c>
      <c r="AD25" s="510"/>
      <c r="AE25" s="528" t="e">
        <f>SUM(AE12:AF24)</f>
        <v>#N/A</v>
      </c>
      <c r="AF25" s="529"/>
      <c r="AG25" s="534" t="s">
        <v>33</v>
      </c>
      <c r="AH25" s="505"/>
      <c r="AI25" s="503" t="e">
        <f>SUM(AI12:AJ24)</f>
        <v>#N/A</v>
      </c>
      <c r="AJ25" s="503"/>
      <c r="AK25" s="511" t="s">
        <v>34</v>
      </c>
      <c r="AL25" s="512"/>
      <c r="AM25" s="503" t="e">
        <f>SUM(AM12:AN24)</f>
        <v>#N/A</v>
      </c>
      <c r="AN25" s="539"/>
      <c r="AO25" s="534" t="s">
        <v>33</v>
      </c>
      <c r="AP25" s="505"/>
      <c r="AQ25" s="503" t="e">
        <f>SUM(AQ12:AR24)</f>
        <v>#N/A</v>
      </c>
      <c r="AR25" s="503"/>
      <c r="AS25" s="511" t="s">
        <v>34</v>
      </c>
      <c r="AT25" s="512"/>
      <c r="AU25" s="503" t="e">
        <f>SUM(AU12:AV24)</f>
        <v>#N/A</v>
      </c>
      <c r="AV25" s="539"/>
      <c r="AW25" s="534" t="s">
        <v>33</v>
      </c>
      <c r="AX25" s="505"/>
      <c r="AY25" s="503" t="e">
        <f>SUM(AY12:AZ24)</f>
        <v>#N/A</v>
      </c>
      <c r="AZ25" s="503"/>
      <c r="BA25" s="511" t="s">
        <v>34</v>
      </c>
      <c r="BB25" s="512"/>
      <c r="BC25" s="503" t="e">
        <f>SUM(BC12:BD24)</f>
        <v>#N/A</v>
      </c>
      <c r="BD25" s="539"/>
    </row>
    <row r="26" spans="1:56" ht="20.100000000000001" customHeight="1">
      <c r="A26" s="507"/>
      <c r="B26" s="508"/>
      <c r="C26" s="10"/>
      <c r="D26" s="10"/>
      <c r="E26" s="509" t="s">
        <v>35</v>
      </c>
      <c r="F26" s="510"/>
      <c r="G26" s="528" t="e">
        <f>C25-G25</f>
        <v>#N/A</v>
      </c>
      <c r="H26" s="529"/>
      <c r="I26" s="507"/>
      <c r="J26" s="508"/>
      <c r="K26" s="10"/>
      <c r="L26" s="10"/>
      <c r="M26" s="509" t="s">
        <v>35</v>
      </c>
      <c r="N26" s="510"/>
      <c r="O26" s="528" t="e">
        <f>K25-O25</f>
        <v>#N/A</v>
      </c>
      <c r="P26" s="529"/>
      <c r="Q26" s="507"/>
      <c r="R26" s="508"/>
      <c r="S26" s="10"/>
      <c r="T26" s="10"/>
      <c r="U26" s="509" t="s">
        <v>35</v>
      </c>
      <c r="V26" s="510"/>
      <c r="W26" s="528" t="e">
        <f>S25-W25</f>
        <v>#N/A</v>
      </c>
      <c r="X26" s="529"/>
      <c r="Y26" s="507"/>
      <c r="Z26" s="508"/>
      <c r="AA26" s="10"/>
      <c r="AB26" s="10"/>
      <c r="AC26" s="509" t="s">
        <v>35</v>
      </c>
      <c r="AD26" s="510"/>
      <c r="AE26" s="528" t="e">
        <f>AA25-AE25</f>
        <v>#N/A</v>
      </c>
      <c r="AF26" s="529"/>
      <c r="AG26" s="507"/>
      <c r="AH26" s="508"/>
      <c r="AI26" s="10"/>
      <c r="AJ26" s="10"/>
      <c r="AK26" s="511" t="s">
        <v>35</v>
      </c>
      <c r="AL26" s="512"/>
      <c r="AM26" s="503" t="e">
        <f>AI25-AM25</f>
        <v>#N/A</v>
      </c>
      <c r="AN26" s="539"/>
      <c r="AO26" s="507"/>
      <c r="AP26" s="508"/>
      <c r="AQ26" s="10"/>
      <c r="AR26" s="10"/>
      <c r="AS26" s="511" t="s">
        <v>35</v>
      </c>
      <c r="AT26" s="512"/>
      <c r="AU26" s="503" t="e">
        <f>AQ25-AU25</f>
        <v>#N/A</v>
      </c>
      <c r="AV26" s="539"/>
      <c r="AW26" s="507"/>
      <c r="AX26" s="508"/>
      <c r="AY26" s="10"/>
      <c r="AZ26" s="10"/>
      <c r="BA26" s="511" t="s">
        <v>35</v>
      </c>
      <c r="BB26" s="512"/>
      <c r="BC26" s="503" t="e">
        <f>AY25-BC25</f>
        <v>#N/A</v>
      </c>
      <c r="BD26" s="539"/>
    </row>
    <row r="27" spans="1:56" ht="22.5" customHeight="1">
      <c r="A27" s="534" t="s">
        <v>83</v>
      </c>
      <c r="B27" s="505"/>
      <c r="C27" s="505"/>
      <c r="D27" s="505"/>
      <c r="E27" s="505"/>
      <c r="F27" s="505"/>
      <c r="G27" s="505"/>
      <c r="H27" s="506"/>
      <c r="I27" s="588" t="s">
        <v>77</v>
      </c>
      <c r="J27" s="589"/>
      <c r="K27" s="589"/>
      <c r="L27" s="589"/>
      <c r="M27" s="589"/>
      <c r="N27" s="589"/>
      <c r="O27" s="589"/>
      <c r="P27" s="590"/>
      <c r="Q27" s="588" t="s">
        <v>77</v>
      </c>
      <c r="R27" s="589"/>
      <c r="S27" s="589"/>
      <c r="T27" s="589"/>
      <c r="U27" s="589"/>
      <c r="V27" s="589"/>
      <c r="W27" s="589"/>
      <c r="X27" s="590"/>
      <c r="Y27" s="588" t="s">
        <v>77</v>
      </c>
      <c r="Z27" s="589"/>
      <c r="AA27" s="589"/>
      <c r="AB27" s="589"/>
      <c r="AC27" s="589"/>
      <c r="AD27" s="589"/>
      <c r="AE27" s="589"/>
      <c r="AF27" s="590"/>
      <c r="AG27" s="588" t="s">
        <v>77</v>
      </c>
      <c r="AH27" s="589"/>
      <c r="AI27" s="589"/>
      <c r="AJ27" s="589"/>
      <c r="AK27" s="589"/>
      <c r="AL27" s="589"/>
      <c r="AM27" s="589"/>
      <c r="AN27" s="590"/>
      <c r="AO27" s="588" t="s">
        <v>77</v>
      </c>
      <c r="AP27" s="589"/>
      <c r="AQ27" s="589"/>
      <c r="AR27" s="589"/>
      <c r="AS27" s="589"/>
      <c r="AT27" s="589"/>
      <c r="AU27" s="589"/>
      <c r="AV27" s="590"/>
      <c r="AW27" s="588" t="s">
        <v>77</v>
      </c>
      <c r="AX27" s="589"/>
      <c r="AY27" s="589"/>
      <c r="AZ27" s="589"/>
      <c r="BA27" s="589"/>
      <c r="BB27" s="589"/>
      <c r="BC27" s="589"/>
      <c r="BD27" s="590"/>
    </row>
    <row r="28" spans="1:56" ht="20.100000000000001" customHeight="1">
      <c r="A28" s="501" t="s">
        <v>37</v>
      </c>
      <c r="B28" s="502"/>
      <c r="C28" s="505" t="s">
        <v>38</v>
      </c>
      <c r="D28" s="505"/>
      <c r="E28" s="505"/>
      <c r="F28" s="505"/>
      <c r="G28" s="505" t="s">
        <v>39</v>
      </c>
      <c r="H28" s="506"/>
      <c r="I28" s="534" t="s">
        <v>36</v>
      </c>
      <c r="J28" s="505"/>
      <c r="K28" s="505"/>
      <c r="L28" s="505"/>
      <c r="M28" s="505"/>
      <c r="N28" s="505"/>
      <c r="O28" s="505"/>
      <c r="P28" s="506"/>
      <c r="Q28" s="534" t="s">
        <v>36</v>
      </c>
      <c r="R28" s="505"/>
      <c r="S28" s="505"/>
      <c r="T28" s="505"/>
      <c r="U28" s="505"/>
      <c r="V28" s="505"/>
      <c r="W28" s="505"/>
      <c r="X28" s="506"/>
      <c r="Y28" s="534" t="s">
        <v>36</v>
      </c>
      <c r="Z28" s="505"/>
      <c r="AA28" s="505"/>
      <c r="AB28" s="505"/>
      <c r="AC28" s="505"/>
      <c r="AD28" s="505"/>
      <c r="AE28" s="505"/>
      <c r="AF28" s="506"/>
      <c r="AG28" s="534" t="s">
        <v>36</v>
      </c>
      <c r="AH28" s="505"/>
      <c r="AI28" s="505"/>
      <c r="AJ28" s="505"/>
      <c r="AK28" s="505"/>
      <c r="AL28" s="505"/>
      <c r="AM28" s="505"/>
      <c r="AN28" s="506"/>
      <c r="AO28" s="534" t="s">
        <v>36</v>
      </c>
      <c r="AP28" s="505"/>
      <c r="AQ28" s="505"/>
      <c r="AR28" s="505"/>
      <c r="AS28" s="505"/>
      <c r="AT28" s="505"/>
      <c r="AU28" s="505"/>
      <c r="AV28" s="506"/>
      <c r="AW28" s="534" t="s">
        <v>36</v>
      </c>
      <c r="AX28" s="505"/>
      <c r="AY28" s="505"/>
      <c r="AZ28" s="505"/>
      <c r="BA28" s="505"/>
      <c r="BB28" s="505"/>
      <c r="BC28" s="505"/>
      <c r="BD28" s="506"/>
    </row>
    <row r="29" spans="1:56" ht="20.100000000000001" customHeight="1">
      <c r="A29" s="501" t="s">
        <v>65</v>
      </c>
      <c r="B29" s="502"/>
      <c r="C29" s="511" t="s">
        <v>85</v>
      </c>
      <c r="D29" s="499"/>
      <c r="E29" s="499"/>
      <c r="F29" s="512"/>
      <c r="G29" s="503" t="e">
        <f>C12</f>
        <v>#N/A</v>
      </c>
      <c r="H29" s="504"/>
      <c r="I29" s="501" t="s">
        <v>37</v>
      </c>
      <c r="J29" s="502"/>
      <c r="K29" s="505" t="s">
        <v>38</v>
      </c>
      <c r="L29" s="505"/>
      <c r="M29" s="505"/>
      <c r="N29" s="505"/>
      <c r="O29" s="505" t="s">
        <v>39</v>
      </c>
      <c r="P29" s="506"/>
      <c r="Q29" s="501" t="s">
        <v>37</v>
      </c>
      <c r="R29" s="502"/>
      <c r="S29" s="505" t="s">
        <v>38</v>
      </c>
      <c r="T29" s="505"/>
      <c r="U29" s="505"/>
      <c r="V29" s="505"/>
      <c r="W29" s="505" t="s">
        <v>39</v>
      </c>
      <c r="X29" s="506"/>
      <c r="Y29" s="501" t="s">
        <v>37</v>
      </c>
      <c r="Z29" s="502"/>
      <c r="AA29" s="505" t="s">
        <v>38</v>
      </c>
      <c r="AB29" s="505"/>
      <c r="AC29" s="505"/>
      <c r="AD29" s="505"/>
      <c r="AE29" s="505" t="s">
        <v>39</v>
      </c>
      <c r="AF29" s="506"/>
      <c r="AG29" s="534" t="s">
        <v>37</v>
      </c>
      <c r="AH29" s="505"/>
      <c r="AI29" s="505" t="s">
        <v>38</v>
      </c>
      <c r="AJ29" s="505"/>
      <c r="AK29" s="505"/>
      <c r="AL29" s="505"/>
      <c r="AM29" s="505" t="s">
        <v>39</v>
      </c>
      <c r="AN29" s="506"/>
      <c r="AO29" s="534" t="s">
        <v>37</v>
      </c>
      <c r="AP29" s="505"/>
      <c r="AQ29" s="505" t="s">
        <v>38</v>
      </c>
      <c r="AR29" s="505"/>
      <c r="AS29" s="505"/>
      <c r="AT29" s="505"/>
      <c r="AU29" s="505" t="s">
        <v>39</v>
      </c>
      <c r="AV29" s="506"/>
      <c r="AW29" s="534" t="s">
        <v>37</v>
      </c>
      <c r="AX29" s="505"/>
      <c r="AY29" s="505" t="s">
        <v>38</v>
      </c>
      <c r="AZ29" s="505"/>
      <c r="BA29" s="505"/>
      <c r="BB29" s="505"/>
      <c r="BC29" s="505" t="s">
        <v>39</v>
      </c>
      <c r="BD29" s="506"/>
    </row>
    <row r="30" spans="1:56" ht="20.100000000000001" customHeight="1">
      <c r="A30" s="501" t="s">
        <v>255</v>
      </c>
      <c r="B30" s="502"/>
      <c r="C30" s="535" t="s">
        <v>254</v>
      </c>
      <c r="D30" s="536"/>
      <c r="E30" s="7" t="e">
        <f>VLOOKUP(A1,급여대장!$A$6:$O$15,6,0)</f>
        <v>#N/A</v>
      </c>
      <c r="F30" s="145" t="s">
        <v>281</v>
      </c>
      <c r="G30" s="503" t="e">
        <f>C15</f>
        <v>#N/A</v>
      </c>
      <c r="H30" s="504"/>
      <c r="I30" s="501" t="s">
        <v>65</v>
      </c>
      <c r="J30" s="502"/>
      <c r="K30" s="511" t="s">
        <v>85</v>
      </c>
      <c r="L30" s="499"/>
      <c r="M30" s="499"/>
      <c r="N30" s="512"/>
      <c r="O30" s="503" t="e">
        <f>K12</f>
        <v>#N/A</v>
      </c>
      <c r="P30" s="504"/>
      <c r="Q30" s="501" t="s">
        <v>65</v>
      </c>
      <c r="R30" s="502"/>
      <c r="S30" s="511" t="s">
        <v>85</v>
      </c>
      <c r="T30" s="499"/>
      <c r="U30" s="499"/>
      <c r="V30" s="512"/>
      <c r="W30" s="503" t="e">
        <f>S12</f>
        <v>#N/A</v>
      </c>
      <c r="X30" s="504"/>
      <c r="Y30" s="501" t="s">
        <v>65</v>
      </c>
      <c r="Z30" s="502"/>
      <c r="AA30" s="511" t="s">
        <v>85</v>
      </c>
      <c r="AB30" s="499"/>
      <c r="AC30" s="499"/>
      <c r="AD30" s="512"/>
      <c r="AE30" s="503" t="e">
        <f>AA12</f>
        <v>#N/A</v>
      </c>
      <c r="AF30" s="504"/>
      <c r="AG30" s="534" t="s">
        <v>57</v>
      </c>
      <c r="AH30" s="505"/>
      <c r="AI30" s="511" t="s">
        <v>58</v>
      </c>
      <c r="AJ30" s="499"/>
      <c r="AK30" s="499"/>
      <c r="AL30" s="512"/>
      <c r="AM30" s="503" t="e">
        <f>AI15</f>
        <v>#N/A</v>
      </c>
      <c r="AN30" s="504"/>
      <c r="AO30" s="534" t="s">
        <v>57</v>
      </c>
      <c r="AP30" s="505"/>
      <c r="AQ30" s="511" t="s">
        <v>58</v>
      </c>
      <c r="AR30" s="499"/>
      <c r="AS30" s="499"/>
      <c r="AT30" s="512"/>
      <c r="AU30" s="503" t="e">
        <f>BC30</f>
        <v>#N/A</v>
      </c>
      <c r="AV30" s="504"/>
      <c r="AW30" s="534" t="s">
        <v>57</v>
      </c>
      <c r="AX30" s="505"/>
      <c r="AY30" s="511" t="s">
        <v>58</v>
      </c>
      <c r="AZ30" s="499"/>
      <c r="BA30" s="499"/>
      <c r="BB30" s="512"/>
      <c r="BC30" s="503" t="e">
        <f>AY15</f>
        <v>#N/A</v>
      </c>
      <c r="BD30" s="504"/>
    </row>
    <row r="31" spans="1:56" ht="20.100000000000001" customHeight="1">
      <c r="A31" s="501" t="s">
        <v>257</v>
      </c>
      <c r="B31" s="502"/>
      <c r="C31" s="535" t="s">
        <v>254</v>
      </c>
      <c r="D31" s="536"/>
      <c r="E31" s="7" t="e">
        <f>VLOOKUP(A1,'포괄 급여계산'!$A$3:$S$12,17,0)</f>
        <v>#N/A</v>
      </c>
      <c r="F31" s="145" t="s">
        <v>281</v>
      </c>
      <c r="G31" s="503" t="e">
        <f>C16</f>
        <v>#N/A</v>
      </c>
      <c r="H31" s="504"/>
      <c r="I31" s="501" t="s">
        <v>57</v>
      </c>
      <c r="J31" s="502"/>
      <c r="K31" s="511" t="s">
        <v>86</v>
      </c>
      <c r="L31" s="499"/>
      <c r="M31" s="499"/>
      <c r="N31" s="512"/>
      <c r="O31" s="503" t="e">
        <f>K15</f>
        <v>#N/A</v>
      </c>
      <c r="P31" s="504"/>
      <c r="Q31" s="501" t="s">
        <v>57</v>
      </c>
      <c r="R31" s="502"/>
      <c r="S31" s="511" t="s">
        <v>86</v>
      </c>
      <c r="T31" s="499"/>
      <c r="U31" s="499"/>
      <c r="V31" s="512"/>
      <c r="W31" s="503" t="e">
        <f>S15</f>
        <v>#N/A</v>
      </c>
      <c r="X31" s="504"/>
      <c r="Y31" s="501" t="s">
        <v>57</v>
      </c>
      <c r="Z31" s="502"/>
      <c r="AA31" s="511" t="s">
        <v>86</v>
      </c>
      <c r="AB31" s="499"/>
      <c r="AC31" s="499"/>
      <c r="AD31" s="512"/>
      <c r="AE31" s="503" t="e">
        <f>AA15</f>
        <v>#N/A</v>
      </c>
      <c r="AF31" s="504"/>
      <c r="AG31" s="534"/>
      <c r="AH31" s="505"/>
      <c r="AI31" s="11"/>
      <c r="AJ31" s="7"/>
      <c r="AK31" s="7"/>
      <c r="AL31" s="9"/>
      <c r="AM31" s="587"/>
      <c r="AN31" s="504"/>
      <c r="AO31" s="534"/>
      <c r="AP31" s="505"/>
      <c r="AQ31" s="11"/>
      <c r="AR31" s="7"/>
      <c r="AS31" s="7"/>
      <c r="AT31" s="9"/>
      <c r="AU31" s="587"/>
      <c r="AV31" s="504"/>
      <c r="AW31" s="534"/>
      <c r="AX31" s="505"/>
      <c r="AY31" s="11"/>
      <c r="AZ31" s="7"/>
      <c r="BA31" s="7"/>
      <c r="BB31" s="9"/>
      <c r="BC31" s="587"/>
      <c r="BD31" s="504"/>
    </row>
    <row r="32" spans="1:56" ht="20.100000000000001" customHeight="1">
      <c r="A32" s="564"/>
      <c r="B32" s="512"/>
      <c r="C32" s="11"/>
      <c r="D32" s="7"/>
      <c r="E32" s="7"/>
      <c r="F32" s="9"/>
      <c r="G32" s="537"/>
      <c r="H32" s="565"/>
      <c r="I32" s="501" t="s">
        <v>74</v>
      </c>
      <c r="J32" s="502"/>
      <c r="K32" s="511" t="s">
        <v>86</v>
      </c>
      <c r="L32" s="499"/>
      <c r="M32" s="499"/>
      <c r="N32" s="512"/>
      <c r="O32" s="503" t="e">
        <f>K16</f>
        <v>#N/A</v>
      </c>
      <c r="P32" s="504"/>
      <c r="Q32" s="501"/>
      <c r="R32" s="502"/>
      <c r="S32" s="11"/>
      <c r="T32" s="7"/>
      <c r="U32" s="7"/>
      <c r="V32" s="9"/>
      <c r="W32" s="587"/>
      <c r="X32" s="504"/>
      <c r="Y32" s="501"/>
      <c r="Z32" s="502"/>
      <c r="AA32" s="11"/>
      <c r="AB32" s="7"/>
      <c r="AC32" s="7"/>
      <c r="AD32" s="9"/>
      <c r="AE32" s="587"/>
      <c r="AF32" s="504"/>
      <c r="AG32" s="534"/>
      <c r="AH32" s="505"/>
      <c r="AI32" s="11"/>
      <c r="AJ32" s="7"/>
      <c r="AK32" s="7"/>
      <c r="AL32" s="9"/>
      <c r="AM32" s="587"/>
      <c r="AN32" s="504"/>
      <c r="AO32" s="534"/>
      <c r="AP32" s="505"/>
      <c r="AQ32" s="11"/>
      <c r="AR32" s="7"/>
      <c r="AS32" s="7"/>
      <c r="AT32" s="9"/>
      <c r="AU32" s="587"/>
      <c r="AV32" s="504"/>
      <c r="AW32" s="534"/>
      <c r="AX32" s="505"/>
      <c r="AY32" s="11"/>
      <c r="AZ32" s="7"/>
      <c r="BA32" s="7"/>
      <c r="BB32" s="9"/>
      <c r="BC32" s="587"/>
      <c r="BD32" s="504"/>
    </row>
    <row r="33" spans="1:56" ht="20.100000000000001" customHeight="1">
      <c r="A33" s="498" t="s">
        <v>90</v>
      </c>
      <c r="B33" s="499"/>
      <c r="C33" s="499"/>
      <c r="D33" s="499"/>
      <c r="E33" s="499"/>
      <c r="F33" s="499"/>
      <c r="G33" s="499"/>
      <c r="H33" s="500"/>
      <c r="I33" s="544"/>
      <c r="J33" s="526"/>
      <c r="K33" s="11"/>
      <c r="L33" s="7"/>
      <c r="M33" s="7"/>
      <c r="N33" s="9"/>
      <c r="O33" s="537"/>
      <c r="P33" s="565"/>
      <c r="Q33" s="544"/>
      <c r="R33" s="526"/>
      <c r="S33" s="11"/>
      <c r="T33" s="7"/>
      <c r="U33" s="7"/>
      <c r="V33" s="9"/>
      <c r="W33" s="537"/>
      <c r="X33" s="565"/>
      <c r="Y33" s="544"/>
      <c r="Z33" s="526"/>
      <c r="AA33" s="11"/>
      <c r="AB33" s="7"/>
      <c r="AC33" s="7"/>
      <c r="AD33" s="9"/>
      <c r="AE33" s="537"/>
      <c r="AF33" s="565"/>
      <c r="AG33" s="564"/>
      <c r="AH33" s="512"/>
      <c r="AI33" s="11"/>
      <c r="AJ33" s="7"/>
      <c r="AK33" s="7"/>
      <c r="AL33" s="9"/>
      <c r="AM33" s="537"/>
      <c r="AN33" s="565"/>
      <c r="AO33" s="564"/>
      <c r="AP33" s="512"/>
      <c r="AQ33" s="11"/>
      <c r="AR33" s="7"/>
      <c r="AS33" s="7"/>
      <c r="AT33" s="9"/>
      <c r="AU33" s="537"/>
      <c r="AV33" s="565"/>
      <c r="AW33" s="564"/>
      <c r="AX33" s="512"/>
      <c r="AY33" s="11"/>
      <c r="AZ33" s="7"/>
      <c r="BA33" s="7"/>
      <c r="BB33" s="9"/>
      <c r="BC33" s="537"/>
      <c r="BD33" s="565"/>
    </row>
    <row r="34" spans="1:56" ht="32.25" customHeight="1">
      <c r="A34" s="498" t="s">
        <v>59</v>
      </c>
      <c r="B34" s="499"/>
      <c r="C34" s="499"/>
      <c r="D34" s="499"/>
      <c r="E34" s="499"/>
      <c r="F34" s="499"/>
      <c r="G34" s="499"/>
      <c r="H34" s="500"/>
      <c r="I34" s="498" t="s">
        <v>59</v>
      </c>
      <c r="J34" s="499"/>
      <c r="K34" s="499"/>
      <c r="L34" s="499"/>
      <c r="M34" s="499"/>
      <c r="N34" s="499"/>
      <c r="O34" s="499"/>
      <c r="P34" s="500"/>
      <c r="Q34" s="498" t="s">
        <v>59</v>
      </c>
      <c r="R34" s="499"/>
      <c r="S34" s="499"/>
      <c r="T34" s="499"/>
      <c r="U34" s="499"/>
      <c r="V34" s="499"/>
      <c r="W34" s="499"/>
      <c r="X34" s="500"/>
      <c r="Y34" s="498" t="s">
        <v>59</v>
      </c>
      <c r="Z34" s="499"/>
      <c r="AA34" s="499"/>
      <c r="AB34" s="499"/>
      <c r="AC34" s="499"/>
      <c r="AD34" s="499"/>
      <c r="AE34" s="499"/>
      <c r="AF34" s="500"/>
      <c r="AG34" s="498" t="s">
        <v>59</v>
      </c>
      <c r="AH34" s="499"/>
      <c r="AI34" s="499"/>
      <c r="AJ34" s="499"/>
      <c r="AK34" s="499"/>
      <c r="AL34" s="499"/>
      <c r="AM34" s="499"/>
      <c r="AN34" s="500"/>
      <c r="AO34" s="498" t="s">
        <v>59</v>
      </c>
      <c r="AP34" s="499"/>
      <c r="AQ34" s="499"/>
      <c r="AR34" s="499"/>
      <c r="AS34" s="499"/>
      <c r="AT34" s="499"/>
      <c r="AU34" s="499"/>
      <c r="AV34" s="500"/>
      <c r="AW34" s="498" t="s">
        <v>59</v>
      </c>
      <c r="AX34" s="499"/>
      <c r="AY34" s="499"/>
      <c r="AZ34" s="499"/>
      <c r="BA34" s="499"/>
      <c r="BB34" s="499"/>
      <c r="BC34" s="499"/>
      <c r="BD34" s="500"/>
    </row>
    <row r="35" spans="1:56" s="12" customFormat="1" ht="17.25" customHeight="1"/>
  </sheetData>
  <mergeCells count="568">
    <mergeCell ref="Y5:Z5"/>
    <mergeCell ref="AA5:AF5"/>
    <mergeCell ref="AG5:AH5"/>
    <mergeCell ref="AI5:AN5"/>
    <mergeCell ref="AO5:AP5"/>
    <mergeCell ref="AQ5:AV5"/>
    <mergeCell ref="W7:X7"/>
    <mergeCell ref="AO29:AP29"/>
    <mergeCell ref="AQ29:AT29"/>
    <mergeCell ref="S5:X5"/>
    <mergeCell ref="AM6:AN6"/>
    <mergeCell ref="S6:T6"/>
    <mergeCell ref="U6:V6"/>
    <mergeCell ref="W6:X6"/>
    <mergeCell ref="AE6:AF6"/>
    <mergeCell ref="AG6:AH6"/>
    <mergeCell ref="AI6:AJ6"/>
    <mergeCell ref="AK6:AL6"/>
    <mergeCell ref="AO6:AP6"/>
    <mergeCell ref="AK10:AN10"/>
    <mergeCell ref="AO10:AR10"/>
    <mergeCell ref="AS10:AV10"/>
    <mergeCell ref="AU12:AV12"/>
    <mergeCell ref="AS13:AT13"/>
    <mergeCell ref="G29:H29"/>
    <mergeCell ref="I29:J29"/>
    <mergeCell ref="K29:N29"/>
    <mergeCell ref="O29:P29"/>
    <mergeCell ref="AU29:AV29"/>
    <mergeCell ref="Q29:R29"/>
    <mergeCell ref="S29:V29"/>
    <mergeCell ref="W29:X29"/>
    <mergeCell ref="Y29:Z29"/>
    <mergeCell ref="AW29:AX29"/>
    <mergeCell ref="AW1:BD1"/>
    <mergeCell ref="A3:H3"/>
    <mergeCell ref="I3:P3"/>
    <mergeCell ref="Q3:X3"/>
    <mergeCell ref="Y3:AF3"/>
    <mergeCell ref="AG3:AN3"/>
    <mergeCell ref="AO3:AV3"/>
    <mergeCell ref="AW3:BD3"/>
    <mergeCell ref="A1:H1"/>
    <mergeCell ref="I1:P1"/>
    <mergeCell ref="Q1:X1"/>
    <mergeCell ref="Y1:AF1"/>
    <mergeCell ref="AG1:AN1"/>
    <mergeCell ref="AO1:AV1"/>
    <mergeCell ref="A5:B5"/>
    <mergeCell ref="C5:H5"/>
    <mergeCell ref="I5:J5"/>
    <mergeCell ref="AW5:AX5"/>
    <mergeCell ref="AY5:BD5"/>
    <mergeCell ref="K5:P5"/>
    <mergeCell ref="Q5:R5"/>
    <mergeCell ref="AY29:BB29"/>
    <mergeCell ref="BC29:BD29"/>
    <mergeCell ref="BA6:BB6"/>
    <mergeCell ref="BC6:BD6"/>
    <mergeCell ref="AQ6:AR6"/>
    <mergeCell ref="AS6:AT6"/>
    <mergeCell ref="AU6:AV6"/>
    <mergeCell ref="AW6:AX6"/>
    <mergeCell ref="AY6:AZ6"/>
    <mergeCell ref="BA7:BB7"/>
    <mergeCell ref="BC7:BD7"/>
    <mergeCell ref="A7:B7"/>
    <mergeCell ref="C7:D7"/>
    <mergeCell ref="E7:F7"/>
    <mergeCell ref="G7:H7"/>
    <mergeCell ref="I7:J7"/>
    <mergeCell ref="K7:L7"/>
    <mergeCell ref="M7:N7"/>
    <mergeCell ref="O7:P7"/>
    <mergeCell ref="AC6:AD6"/>
    <mergeCell ref="Q6:R6"/>
    <mergeCell ref="Y6:Z6"/>
    <mergeCell ref="AA6:AB6"/>
    <mergeCell ref="A6:B6"/>
    <mergeCell ref="C6:D6"/>
    <mergeCell ref="E6:F6"/>
    <mergeCell ref="G6:H6"/>
    <mergeCell ref="I6:J6"/>
    <mergeCell ref="K6:L6"/>
    <mergeCell ref="M6:N6"/>
    <mergeCell ref="O6:P6"/>
    <mergeCell ref="K8:L8"/>
    <mergeCell ref="S8:T8"/>
    <mergeCell ref="AA8:AB8"/>
    <mergeCell ref="AI8:AJ8"/>
    <mergeCell ref="AQ8:AR8"/>
    <mergeCell ref="Q7:R7"/>
    <mergeCell ref="S7:T7"/>
    <mergeCell ref="U7:V7"/>
    <mergeCell ref="Y7:Z7"/>
    <mergeCell ref="AA7:AB7"/>
    <mergeCell ref="AY8:AZ8"/>
    <mergeCell ref="AO7:AP7"/>
    <mergeCell ref="AQ7:AR7"/>
    <mergeCell ref="AS7:AT7"/>
    <mergeCell ref="AU7:AV7"/>
    <mergeCell ref="AW7:AX7"/>
    <mergeCell ref="AY7:AZ7"/>
    <mergeCell ref="AC7:AD7"/>
    <mergeCell ref="AE7:AF7"/>
    <mergeCell ref="AG7:AH7"/>
    <mergeCell ref="AI7:AJ7"/>
    <mergeCell ref="AK7:AL7"/>
    <mergeCell ref="AM7:AN7"/>
    <mergeCell ref="A11:B11"/>
    <mergeCell ref="C11:D11"/>
    <mergeCell ref="E11:F11"/>
    <mergeCell ref="G11:H11"/>
    <mergeCell ref="I11:J11"/>
    <mergeCell ref="AW9:BD9"/>
    <mergeCell ref="A10:D10"/>
    <mergeCell ref="E10:H10"/>
    <mergeCell ref="I10:L10"/>
    <mergeCell ref="M10:P10"/>
    <mergeCell ref="Q10:T10"/>
    <mergeCell ref="U10:X10"/>
    <mergeCell ref="Y10:AB10"/>
    <mergeCell ref="AC10:AF10"/>
    <mergeCell ref="AG10:AJ10"/>
    <mergeCell ref="I9:P9"/>
    <mergeCell ref="Q9:X9"/>
    <mergeCell ref="Y9:AF9"/>
    <mergeCell ref="AG9:AN9"/>
    <mergeCell ref="AO9:AV9"/>
    <mergeCell ref="O11:P11"/>
    <mergeCell ref="Q11:R11"/>
    <mergeCell ref="S11:T11"/>
    <mergeCell ref="A8:H9"/>
    <mergeCell ref="AW10:AZ10"/>
    <mergeCell ref="BA10:BD10"/>
    <mergeCell ref="AU11:AV11"/>
    <mergeCell ref="AW11:AX11"/>
    <mergeCell ref="AY11:AZ11"/>
    <mergeCell ref="BA11:BB11"/>
    <mergeCell ref="BC11:BD11"/>
    <mergeCell ref="AQ11:AR11"/>
    <mergeCell ref="AS11:AT11"/>
    <mergeCell ref="C12:D12"/>
    <mergeCell ref="E12:F12"/>
    <mergeCell ref="G12:H12"/>
    <mergeCell ref="I12:I19"/>
    <mergeCell ref="AI11:AJ11"/>
    <mergeCell ref="AK11:AL11"/>
    <mergeCell ref="AM11:AN11"/>
    <mergeCell ref="AO11:AP11"/>
    <mergeCell ref="W11:X11"/>
    <mergeCell ref="Y11:Z11"/>
    <mergeCell ref="AA11:AB11"/>
    <mergeCell ref="AC11:AD11"/>
    <mergeCell ref="AE11:AF11"/>
    <mergeCell ref="AG11:AH11"/>
    <mergeCell ref="K11:L11"/>
    <mergeCell ref="M11:N11"/>
    <mergeCell ref="AE12:AF12"/>
    <mergeCell ref="AG12:AG19"/>
    <mergeCell ref="W13:X13"/>
    <mergeCell ref="AA13:AB13"/>
    <mergeCell ref="AC13:AD13"/>
    <mergeCell ref="AE13:AF13"/>
    <mergeCell ref="K12:L12"/>
    <mergeCell ref="U11:V11"/>
    <mergeCell ref="M12:N12"/>
    <mergeCell ref="O12:P12"/>
    <mergeCell ref="Q12:Q19"/>
    <mergeCell ref="S12:T12"/>
    <mergeCell ref="U12:V12"/>
    <mergeCell ref="O13:P13"/>
    <mergeCell ref="S13:T13"/>
    <mergeCell ref="U13:V13"/>
    <mergeCell ref="O14:P14"/>
    <mergeCell ref="AI13:AJ13"/>
    <mergeCell ref="AK13:AL13"/>
    <mergeCell ref="AM13:AN13"/>
    <mergeCell ref="AQ13:AR13"/>
    <mergeCell ref="W12:X12"/>
    <mergeCell ref="Y12:Y19"/>
    <mergeCell ref="AA12:AB12"/>
    <mergeCell ref="AC12:AD12"/>
    <mergeCell ref="AE14:AF14"/>
    <mergeCell ref="AC15:AD15"/>
    <mergeCell ref="AE15:AF15"/>
    <mergeCell ref="AI15:AJ15"/>
    <mergeCell ref="AA16:AB16"/>
    <mergeCell ref="AC16:AD16"/>
    <mergeCell ref="AE16:AF16"/>
    <mergeCell ref="AI16:AJ16"/>
    <mergeCell ref="AK16:AL16"/>
    <mergeCell ref="AQ15:AR15"/>
    <mergeCell ref="AM19:AN19"/>
    <mergeCell ref="AQ19:AR19"/>
    <mergeCell ref="AU13:AV13"/>
    <mergeCell ref="AY13:AZ13"/>
    <mergeCell ref="BA13:BB13"/>
    <mergeCell ref="BC13:BD13"/>
    <mergeCell ref="C14:D14"/>
    <mergeCell ref="E14:F14"/>
    <mergeCell ref="G14:H14"/>
    <mergeCell ref="K14:L14"/>
    <mergeCell ref="M14:N14"/>
    <mergeCell ref="AW12:AW19"/>
    <mergeCell ref="AY12:AZ12"/>
    <mergeCell ref="BA12:BB12"/>
    <mergeCell ref="BC12:BD12"/>
    <mergeCell ref="C13:D13"/>
    <mergeCell ref="E13:F13"/>
    <mergeCell ref="G13:H13"/>
    <mergeCell ref="K13:L13"/>
    <mergeCell ref="M13:N13"/>
    <mergeCell ref="AI12:AJ12"/>
    <mergeCell ref="AK12:AL12"/>
    <mergeCell ref="AM12:AN12"/>
    <mergeCell ref="AO12:AO19"/>
    <mergeCell ref="AQ12:AR12"/>
    <mergeCell ref="AS12:AT12"/>
    <mergeCell ref="AY14:AZ14"/>
    <mergeCell ref="BA14:BB14"/>
    <mergeCell ref="BC14:BD14"/>
    <mergeCell ref="C15:D15"/>
    <mergeCell ref="E15:F15"/>
    <mergeCell ref="G15:H15"/>
    <mergeCell ref="K15:L15"/>
    <mergeCell ref="M15:N15"/>
    <mergeCell ref="O15:P15"/>
    <mergeCell ref="S15:T15"/>
    <mergeCell ref="AI14:AJ14"/>
    <mergeCell ref="AK14:AL14"/>
    <mergeCell ref="AM14:AN14"/>
    <mergeCell ref="AQ14:AR14"/>
    <mergeCell ref="AS14:AT14"/>
    <mergeCell ref="AU14:AV14"/>
    <mergeCell ref="S14:T14"/>
    <mergeCell ref="U14:V14"/>
    <mergeCell ref="W14:X14"/>
    <mergeCell ref="AA14:AB14"/>
    <mergeCell ref="AC14:AD14"/>
    <mergeCell ref="BA15:BB15"/>
    <mergeCell ref="BC15:BD15"/>
    <mergeCell ref="AM15:AN15"/>
    <mergeCell ref="C16:D16"/>
    <mergeCell ref="E16:F16"/>
    <mergeCell ref="G16:H16"/>
    <mergeCell ref="K16:L16"/>
    <mergeCell ref="M16:N16"/>
    <mergeCell ref="O16:P16"/>
    <mergeCell ref="S16:T16"/>
    <mergeCell ref="U16:V16"/>
    <mergeCell ref="AK15:AL15"/>
    <mergeCell ref="AS15:AT15"/>
    <mergeCell ref="AU15:AV15"/>
    <mergeCell ref="AY15:AZ15"/>
    <mergeCell ref="U15:V15"/>
    <mergeCell ref="W15:X15"/>
    <mergeCell ref="AA15:AB15"/>
    <mergeCell ref="BC17:BD17"/>
    <mergeCell ref="AA17:AB17"/>
    <mergeCell ref="AC17:AD17"/>
    <mergeCell ref="AE17:AF17"/>
    <mergeCell ref="AI17:AJ17"/>
    <mergeCell ref="AK17:AL17"/>
    <mergeCell ref="AM17:AN17"/>
    <mergeCell ref="BC16:BD16"/>
    <mergeCell ref="AM16:AN16"/>
    <mergeCell ref="AQ16:AR16"/>
    <mergeCell ref="AS16:AT16"/>
    <mergeCell ref="AU16:AV16"/>
    <mergeCell ref="AY16:AZ16"/>
    <mergeCell ref="BA16:BB16"/>
    <mergeCell ref="W16:X16"/>
    <mergeCell ref="C17:D17"/>
    <mergeCell ref="E17:F17"/>
    <mergeCell ref="G17:H17"/>
    <mergeCell ref="K17:L17"/>
    <mergeCell ref="M17:N17"/>
    <mergeCell ref="O17:P17"/>
    <mergeCell ref="S17:T17"/>
    <mergeCell ref="U17:V17"/>
    <mergeCell ref="W17:X17"/>
    <mergeCell ref="G18:H18"/>
    <mergeCell ref="K18:L18"/>
    <mergeCell ref="M18:N18"/>
    <mergeCell ref="O18:P18"/>
    <mergeCell ref="AQ17:AR17"/>
    <mergeCell ref="AS17:AT17"/>
    <mergeCell ref="AU17:AV17"/>
    <mergeCell ref="AY17:AZ17"/>
    <mergeCell ref="BA17:BB17"/>
    <mergeCell ref="AY18:AZ18"/>
    <mergeCell ref="BA18:BB18"/>
    <mergeCell ref="BC18:BD18"/>
    <mergeCell ref="C19:D19"/>
    <mergeCell ref="E19:F19"/>
    <mergeCell ref="G19:H19"/>
    <mergeCell ref="K19:L19"/>
    <mergeCell ref="M19:N19"/>
    <mergeCell ref="O19:P19"/>
    <mergeCell ref="S19:T19"/>
    <mergeCell ref="AI18:AJ18"/>
    <mergeCell ref="AK18:AL18"/>
    <mergeCell ref="AM18:AN18"/>
    <mergeCell ref="AQ18:AR18"/>
    <mergeCell ref="AS18:AT18"/>
    <mergeCell ref="AU18:AV18"/>
    <mergeCell ref="S18:T18"/>
    <mergeCell ref="U18:V18"/>
    <mergeCell ref="W18:X18"/>
    <mergeCell ref="AA18:AB18"/>
    <mergeCell ref="AC18:AD18"/>
    <mergeCell ref="AE18:AF18"/>
    <mergeCell ref="C18:D18"/>
    <mergeCell ref="E18:F18"/>
    <mergeCell ref="BA19:BB19"/>
    <mergeCell ref="BC19:BD19"/>
    <mergeCell ref="AS19:AT19"/>
    <mergeCell ref="AU19:AV19"/>
    <mergeCell ref="AY19:AZ19"/>
    <mergeCell ref="U19:V19"/>
    <mergeCell ref="W19:X19"/>
    <mergeCell ref="AA19:AB19"/>
    <mergeCell ref="AC19:AD19"/>
    <mergeCell ref="AE19:AF19"/>
    <mergeCell ref="AI19:AJ19"/>
    <mergeCell ref="AK19:AL19"/>
    <mergeCell ref="AM20:AN20"/>
    <mergeCell ref="AS20:AT20"/>
    <mergeCell ref="AU20:AV20"/>
    <mergeCell ref="E21:F21"/>
    <mergeCell ref="G21:H21"/>
    <mergeCell ref="M21:N21"/>
    <mergeCell ref="O21:P21"/>
    <mergeCell ref="U21:V21"/>
    <mergeCell ref="W21:X21"/>
    <mergeCell ref="E20:F20"/>
    <mergeCell ref="G20:H20"/>
    <mergeCell ref="M20:N20"/>
    <mergeCell ref="O20:P20"/>
    <mergeCell ref="U20:V20"/>
    <mergeCell ref="W20:X20"/>
    <mergeCell ref="AC20:AD20"/>
    <mergeCell ref="AE20:AF20"/>
    <mergeCell ref="AK20:AL20"/>
    <mergeCell ref="G22:H22"/>
    <mergeCell ref="I22:I24"/>
    <mergeCell ref="K22:L22"/>
    <mergeCell ref="AC21:AD21"/>
    <mergeCell ref="AE21:AF21"/>
    <mergeCell ref="AK21:AL21"/>
    <mergeCell ref="AM21:AN21"/>
    <mergeCell ref="AS21:AT21"/>
    <mergeCell ref="AU21:AV21"/>
    <mergeCell ref="M22:N22"/>
    <mergeCell ref="O22:P22"/>
    <mergeCell ref="Q22:Q24"/>
    <mergeCell ref="S22:T22"/>
    <mergeCell ref="U22:V22"/>
    <mergeCell ref="W22:X22"/>
    <mergeCell ref="S23:T23"/>
    <mergeCell ref="U23:V23"/>
    <mergeCell ref="W23:X23"/>
    <mergeCell ref="S24:T24"/>
    <mergeCell ref="AS22:AT22"/>
    <mergeCell ref="AU22:AV22"/>
    <mergeCell ref="AK23:AL23"/>
    <mergeCell ref="AM23:AN23"/>
    <mergeCell ref="AQ23:AR23"/>
    <mergeCell ref="AA22:AB22"/>
    <mergeCell ref="AC22:AD22"/>
    <mergeCell ref="AE22:AF22"/>
    <mergeCell ref="AG22:AG24"/>
    <mergeCell ref="AI22:AJ22"/>
    <mergeCell ref="AA23:AB23"/>
    <mergeCell ref="AC23:AD23"/>
    <mergeCell ref="AE23:AF23"/>
    <mergeCell ref="AI23:AJ23"/>
    <mergeCell ref="AE24:AF24"/>
    <mergeCell ref="AI24:AJ24"/>
    <mergeCell ref="BA23:BB23"/>
    <mergeCell ref="BC23:BD23"/>
    <mergeCell ref="C24:D24"/>
    <mergeCell ref="E24:F24"/>
    <mergeCell ref="G24:H24"/>
    <mergeCell ref="K24:L24"/>
    <mergeCell ref="M24:N24"/>
    <mergeCell ref="O24:P24"/>
    <mergeCell ref="AW22:AW24"/>
    <mergeCell ref="AY22:AZ22"/>
    <mergeCell ref="BA22:BB22"/>
    <mergeCell ref="BC22:BD22"/>
    <mergeCell ref="C23:D23"/>
    <mergeCell ref="E23:F23"/>
    <mergeCell ref="G23:H23"/>
    <mergeCell ref="K23:L23"/>
    <mergeCell ref="M23:N23"/>
    <mergeCell ref="O23:P23"/>
    <mergeCell ref="AK22:AL22"/>
    <mergeCell ref="AM22:AN22"/>
    <mergeCell ref="AO22:AO24"/>
    <mergeCell ref="AQ22:AR22"/>
    <mergeCell ref="AS23:AT23"/>
    <mergeCell ref="Y22:Y24"/>
    <mergeCell ref="BC24:BD24"/>
    <mergeCell ref="A25:B25"/>
    <mergeCell ref="C25:D25"/>
    <mergeCell ref="E25:F25"/>
    <mergeCell ref="G25:H25"/>
    <mergeCell ref="I25:J25"/>
    <mergeCell ref="K25:L25"/>
    <mergeCell ref="M25:N25"/>
    <mergeCell ref="O25:P25"/>
    <mergeCell ref="AK24:AL24"/>
    <mergeCell ref="AM24:AN24"/>
    <mergeCell ref="AQ24:AR24"/>
    <mergeCell ref="AS24:AT24"/>
    <mergeCell ref="AU24:AV24"/>
    <mergeCell ref="AY24:AZ24"/>
    <mergeCell ref="U24:V24"/>
    <mergeCell ref="W24:X24"/>
    <mergeCell ref="AA24:AB24"/>
    <mergeCell ref="AC24:AD24"/>
    <mergeCell ref="A22:A24"/>
    <mergeCell ref="C22:D22"/>
    <mergeCell ref="E22:F22"/>
    <mergeCell ref="AU23:AV23"/>
    <mergeCell ref="AY23:AZ23"/>
    <mergeCell ref="AK25:AL25"/>
    <mergeCell ref="AM25:AN25"/>
    <mergeCell ref="Q25:R25"/>
    <mergeCell ref="S25:T25"/>
    <mergeCell ref="U25:V25"/>
    <mergeCell ref="W25:X25"/>
    <mergeCell ref="Y25:Z25"/>
    <mergeCell ref="AA25:AB25"/>
    <mergeCell ref="BA24:BB24"/>
    <mergeCell ref="A27:H27"/>
    <mergeCell ref="I27:P27"/>
    <mergeCell ref="Q27:X27"/>
    <mergeCell ref="Y27:AF27"/>
    <mergeCell ref="BA25:BB25"/>
    <mergeCell ref="BC25:BD25"/>
    <mergeCell ref="A26:B26"/>
    <mergeCell ref="E26:F26"/>
    <mergeCell ref="G26:H26"/>
    <mergeCell ref="I26:J26"/>
    <mergeCell ref="M26:N26"/>
    <mergeCell ref="O26:P26"/>
    <mergeCell ref="Q26:R26"/>
    <mergeCell ref="U26:V26"/>
    <mergeCell ref="AO25:AP25"/>
    <mergeCell ref="AQ25:AR25"/>
    <mergeCell ref="AS25:AT25"/>
    <mergeCell ref="AU25:AV25"/>
    <mergeCell ref="AW25:AX25"/>
    <mergeCell ref="AY25:AZ25"/>
    <mergeCell ref="AC25:AD25"/>
    <mergeCell ref="AE25:AF25"/>
    <mergeCell ref="AG25:AH25"/>
    <mergeCell ref="AI25:AJ25"/>
    <mergeCell ref="BC26:BD26"/>
    <mergeCell ref="I28:P28"/>
    <mergeCell ref="Q28:X28"/>
    <mergeCell ref="Y28:AF28"/>
    <mergeCell ref="AG28:AN28"/>
    <mergeCell ref="AO28:AV28"/>
    <mergeCell ref="AW28:BD28"/>
    <mergeCell ref="AM26:AN26"/>
    <mergeCell ref="AO26:AP26"/>
    <mergeCell ref="AS26:AT26"/>
    <mergeCell ref="AU26:AV26"/>
    <mergeCell ref="AW26:AX26"/>
    <mergeCell ref="BA26:BB26"/>
    <mergeCell ref="W26:X26"/>
    <mergeCell ref="Y26:Z26"/>
    <mergeCell ref="AC26:AD26"/>
    <mergeCell ref="AE26:AF26"/>
    <mergeCell ref="AG26:AH26"/>
    <mergeCell ref="AK26:AL26"/>
    <mergeCell ref="AG27:AN27"/>
    <mergeCell ref="AO27:AV27"/>
    <mergeCell ref="AW27:BD27"/>
    <mergeCell ref="A29:B29"/>
    <mergeCell ref="AG31:AH31"/>
    <mergeCell ref="AM31:AN31"/>
    <mergeCell ref="AO31:AP31"/>
    <mergeCell ref="AU31:AV31"/>
    <mergeCell ref="A30:B30"/>
    <mergeCell ref="G30:H30"/>
    <mergeCell ref="I30:J30"/>
    <mergeCell ref="K30:N30"/>
    <mergeCell ref="O30:P30"/>
    <mergeCell ref="Q30:R30"/>
    <mergeCell ref="AG29:AH29"/>
    <mergeCell ref="AI29:AL29"/>
    <mergeCell ref="K31:N31"/>
    <mergeCell ref="S31:V31"/>
    <mergeCell ref="AA31:AD31"/>
    <mergeCell ref="AA29:AD29"/>
    <mergeCell ref="AE29:AF29"/>
    <mergeCell ref="C29:F29"/>
    <mergeCell ref="Y30:Z30"/>
    <mergeCell ref="AA30:AD30"/>
    <mergeCell ref="AE30:AF30"/>
    <mergeCell ref="AG30:AH30"/>
    <mergeCell ref="AM29:AN29"/>
    <mergeCell ref="BC31:BD31"/>
    <mergeCell ref="AY30:BB30"/>
    <mergeCell ref="BC30:BD30"/>
    <mergeCell ref="A31:B31"/>
    <mergeCell ref="G31:H31"/>
    <mergeCell ref="I31:J31"/>
    <mergeCell ref="O31:P31"/>
    <mergeCell ref="Q31:R31"/>
    <mergeCell ref="W31:X31"/>
    <mergeCell ref="Y31:Z31"/>
    <mergeCell ref="AE31:AF31"/>
    <mergeCell ref="AI30:AL30"/>
    <mergeCell ref="AM30:AN30"/>
    <mergeCell ref="AO30:AP30"/>
    <mergeCell ref="AQ30:AT30"/>
    <mergeCell ref="AU30:AV30"/>
    <mergeCell ref="AW30:AX30"/>
    <mergeCell ref="S30:V30"/>
    <mergeCell ref="W30:X30"/>
    <mergeCell ref="AU32:AV32"/>
    <mergeCell ref="A32:B32"/>
    <mergeCell ref="G32:H32"/>
    <mergeCell ref="I32:J32"/>
    <mergeCell ref="O32:P32"/>
    <mergeCell ref="Q32:R32"/>
    <mergeCell ref="W32:X32"/>
    <mergeCell ref="K32:N32"/>
    <mergeCell ref="AW31:AX31"/>
    <mergeCell ref="Q33:R33"/>
    <mergeCell ref="W33:X33"/>
    <mergeCell ref="Y33:Z33"/>
    <mergeCell ref="AE33:AF33"/>
    <mergeCell ref="Y32:Z32"/>
    <mergeCell ref="AE32:AF32"/>
    <mergeCell ref="AG32:AH32"/>
    <mergeCell ref="AM32:AN32"/>
    <mergeCell ref="AO32:AP32"/>
    <mergeCell ref="A12:A19"/>
    <mergeCell ref="A28:B28"/>
    <mergeCell ref="C28:F28"/>
    <mergeCell ref="G28:H28"/>
    <mergeCell ref="C30:D30"/>
    <mergeCell ref="C31:D31"/>
    <mergeCell ref="A33:H33"/>
    <mergeCell ref="AW34:BD34"/>
    <mergeCell ref="A34:H34"/>
    <mergeCell ref="I34:P34"/>
    <mergeCell ref="Q34:X34"/>
    <mergeCell ref="Y34:AF34"/>
    <mergeCell ref="AG34:AN34"/>
    <mergeCell ref="AO34:AV34"/>
    <mergeCell ref="AG33:AH33"/>
    <mergeCell ref="AM33:AN33"/>
    <mergeCell ref="AO33:AP33"/>
    <mergeCell ref="AU33:AV33"/>
    <mergeCell ref="AW33:AX33"/>
    <mergeCell ref="BC33:BD33"/>
    <mergeCell ref="AW32:AX32"/>
    <mergeCell ref="BC32:BD32"/>
    <mergeCell ref="I33:J33"/>
    <mergeCell ref="O33:P33"/>
  </mergeCells>
  <phoneticPr fontId="4" type="noConversion"/>
  <printOptions horizontalCentered="1" verticalCentered="1"/>
  <pageMargins left="0.70866141732283472" right="0.70866141732283472" top="0.74803149606299213" bottom="0.74803149606299213" header="0.31496062992125984" footer="0.31496062992125984"/>
  <pageSetup paperSize="9" scale="11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2995-D1BA-4F18-8112-2BA6F9154117}">
  <dimension ref="A1:BF35"/>
  <sheetViews>
    <sheetView view="pageBreakPreview" topLeftCell="A4" zoomScale="90" zoomScaleNormal="100" zoomScaleSheetLayoutView="90" workbookViewId="0">
      <selection activeCell="AY30" sqref="AY30:BB31"/>
    </sheetView>
  </sheetViews>
  <sheetFormatPr defaultRowHeight="16.5"/>
  <cols>
    <col min="1" max="1" width="9.125" customWidth="1"/>
    <col min="2" max="2" width="11.25" customWidth="1"/>
    <col min="3" max="4" width="7.875" customWidth="1"/>
    <col min="5" max="6" width="9.125"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4" width="7.875" customWidth="1"/>
    <col min="25" max="25" width="9.125" customWidth="1"/>
    <col min="26" max="26" width="11.25" customWidth="1"/>
    <col min="27" max="28" width="7.875" customWidth="1"/>
    <col min="29" max="30" width="9.125" customWidth="1"/>
    <col min="31" max="32" width="7.875" customWidth="1"/>
    <col min="33" max="56" width="9.125" hidden="1" customWidth="1"/>
  </cols>
  <sheetData>
    <row r="1" spans="1:56" ht="17.25" hidden="1" thickBot="1">
      <c r="A1" s="540">
        <v>15</v>
      </c>
      <c r="B1" s="540"/>
      <c r="C1" s="540"/>
      <c r="D1" s="540"/>
      <c r="E1" s="540"/>
      <c r="F1" s="540"/>
      <c r="G1" s="540"/>
      <c r="H1" s="540"/>
      <c r="I1" s="540">
        <f>A1+1</f>
        <v>16</v>
      </c>
      <c r="J1" s="540"/>
      <c r="K1" s="540"/>
      <c r="L1" s="540"/>
      <c r="M1" s="540"/>
      <c r="N1" s="540"/>
      <c r="O1" s="540"/>
      <c r="P1" s="540"/>
      <c r="Q1" s="540">
        <f>I1+1</f>
        <v>17</v>
      </c>
      <c r="R1" s="540"/>
      <c r="S1" s="540"/>
      <c r="T1" s="540"/>
      <c r="U1" s="540"/>
      <c r="V1" s="540"/>
      <c r="W1" s="540"/>
      <c r="X1" s="540"/>
      <c r="Y1" s="540">
        <f>Q1+1</f>
        <v>18</v>
      </c>
      <c r="Z1" s="540"/>
      <c r="AA1" s="540"/>
      <c r="AB1" s="540"/>
      <c r="AC1" s="540"/>
      <c r="AD1" s="540"/>
      <c r="AE1" s="540"/>
      <c r="AF1" s="540"/>
      <c r="AG1" s="540">
        <f>Y1+1</f>
        <v>19</v>
      </c>
      <c r="AH1" s="540"/>
      <c r="AI1" s="540"/>
      <c r="AJ1" s="540"/>
      <c r="AK1" s="540"/>
      <c r="AL1" s="540"/>
      <c r="AM1" s="540"/>
      <c r="AN1" s="540"/>
      <c r="AO1" s="540">
        <f>AG1+1</f>
        <v>20</v>
      </c>
      <c r="AP1" s="540"/>
      <c r="AQ1" s="540"/>
      <c r="AR1" s="540"/>
      <c r="AS1" s="540"/>
      <c r="AT1" s="540"/>
      <c r="AU1" s="540"/>
      <c r="AV1" s="540"/>
      <c r="AW1" s="540">
        <f>AO1+1</f>
        <v>21</v>
      </c>
      <c r="AX1" s="540"/>
      <c r="AY1" s="540"/>
      <c r="AZ1" s="540"/>
      <c r="BA1" s="540"/>
      <c r="BB1" s="540"/>
      <c r="BC1" s="540"/>
      <c r="BD1" s="540"/>
    </row>
    <row r="2" spans="1:56" ht="20.100000000000001"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0.100000000000001" customHeight="1">
      <c r="A3" s="541" t="s">
        <v>13</v>
      </c>
      <c r="B3" s="542"/>
      <c r="C3" s="542"/>
      <c r="D3" s="542"/>
      <c r="E3" s="542"/>
      <c r="F3" s="542"/>
      <c r="G3" s="542"/>
      <c r="H3" s="543"/>
      <c r="I3" s="541" t="s">
        <v>13</v>
      </c>
      <c r="J3" s="542"/>
      <c r="K3" s="542"/>
      <c r="L3" s="542"/>
      <c r="M3" s="542"/>
      <c r="N3" s="542"/>
      <c r="O3" s="542"/>
      <c r="P3" s="543"/>
      <c r="Q3" s="541" t="s">
        <v>13</v>
      </c>
      <c r="R3" s="542"/>
      <c r="S3" s="542"/>
      <c r="T3" s="542"/>
      <c r="U3" s="542"/>
      <c r="V3" s="542"/>
      <c r="W3" s="542"/>
      <c r="X3" s="543"/>
      <c r="Y3" s="541" t="s">
        <v>13</v>
      </c>
      <c r="Z3" s="542"/>
      <c r="AA3" s="542"/>
      <c r="AB3" s="542"/>
      <c r="AC3" s="542"/>
      <c r="AD3" s="542"/>
      <c r="AE3" s="542"/>
      <c r="AF3" s="543"/>
      <c r="AG3" s="541" t="s">
        <v>13</v>
      </c>
      <c r="AH3" s="542"/>
      <c r="AI3" s="542"/>
      <c r="AJ3" s="542"/>
      <c r="AK3" s="542"/>
      <c r="AL3" s="542"/>
      <c r="AM3" s="542"/>
      <c r="AN3" s="543"/>
      <c r="AO3" s="541" t="s">
        <v>13</v>
      </c>
      <c r="AP3" s="542"/>
      <c r="AQ3" s="542"/>
      <c r="AR3" s="542"/>
      <c r="AS3" s="542"/>
      <c r="AT3" s="542"/>
      <c r="AU3" s="542"/>
      <c r="AV3" s="543"/>
      <c r="AW3" s="541" t="s">
        <v>13</v>
      </c>
      <c r="AX3" s="542"/>
      <c r="AY3" s="542"/>
      <c r="AZ3" s="542"/>
      <c r="BA3" s="542"/>
      <c r="BB3" s="542"/>
      <c r="BC3" s="542"/>
      <c r="BD3" s="543"/>
    </row>
    <row r="4" spans="1:56" ht="20.100000000000001"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0.100000000000001" customHeight="1">
      <c r="A5" s="544" t="s">
        <v>40</v>
      </c>
      <c r="B5" s="526"/>
      <c r="C5" s="509" t="str">
        <f>급여대장!$A$4</f>
        <v>제이엠건축인테리어 주식회사</v>
      </c>
      <c r="D5" s="545"/>
      <c r="E5" s="545"/>
      <c r="F5" s="545"/>
      <c r="G5" s="545"/>
      <c r="H5" s="546"/>
      <c r="I5" s="544" t="s">
        <v>40</v>
      </c>
      <c r="J5" s="526"/>
      <c r="K5" s="509" t="str">
        <f>급여대장!$A$4</f>
        <v>제이엠건축인테리어 주식회사</v>
      </c>
      <c r="L5" s="545"/>
      <c r="M5" s="545"/>
      <c r="N5" s="545"/>
      <c r="O5" s="545"/>
      <c r="P5" s="546"/>
      <c r="Q5" s="544" t="s">
        <v>40</v>
      </c>
      <c r="R5" s="526"/>
      <c r="S5" s="509" t="str">
        <f>급여대장!$A$4</f>
        <v>제이엠건축인테리어 주식회사</v>
      </c>
      <c r="T5" s="545"/>
      <c r="U5" s="545"/>
      <c r="V5" s="545"/>
      <c r="W5" s="545"/>
      <c r="X5" s="546"/>
      <c r="Y5" s="544" t="s">
        <v>40</v>
      </c>
      <c r="Z5" s="526"/>
      <c r="AA5" s="509" t="str">
        <f>급여대장!$A$4</f>
        <v>제이엠건축인테리어 주식회사</v>
      </c>
      <c r="AB5" s="545"/>
      <c r="AC5" s="545"/>
      <c r="AD5" s="545"/>
      <c r="AE5" s="545"/>
      <c r="AF5" s="546"/>
      <c r="AG5" s="564" t="s">
        <v>40</v>
      </c>
      <c r="AH5" s="512"/>
      <c r="AI5" s="511" t="str">
        <f>급여대장!$A$4</f>
        <v>제이엠건축인테리어 주식회사</v>
      </c>
      <c r="AJ5" s="499"/>
      <c r="AK5" s="499"/>
      <c r="AL5" s="499"/>
      <c r="AM5" s="499"/>
      <c r="AN5" s="500"/>
      <c r="AO5" s="564" t="s">
        <v>40</v>
      </c>
      <c r="AP5" s="512"/>
      <c r="AQ5" s="511" t="str">
        <f>급여대장!$A$4</f>
        <v>제이엠건축인테리어 주식회사</v>
      </c>
      <c r="AR5" s="499"/>
      <c r="AS5" s="499"/>
      <c r="AT5" s="499"/>
      <c r="AU5" s="499"/>
      <c r="AV5" s="500"/>
      <c r="AW5" s="564" t="s">
        <v>40</v>
      </c>
      <c r="AX5" s="512"/>
      <c r="AY5" s="511" t="str">
        <f>급여대장!$A$4</f>
        <v>제이엠건축인테리어 주식회사</v>
      </c>
      <c r="AZ5" s="499"/>
      <c r="BA5" s="499"/>
      <c r="BB5" s="499"/>
      <c r="BC5" s="499"/>
      <c r="BD5" s="500"/>
    </row>
    <row r="6" spans="1:56" ht="20.100000000000001" customHeight="1">
      <c r="A6" s="501" t="s">
        <v>14</v>
      </c>
      <c r="B6" s="502"/>
      <c r="C6" s="505">
        <f>급여대장!$AD$3</f>
        <v>46082</v>
      </c>
      <c r="D6" s="505"/>
      <c r="E6" s="525" t="s">
        <v>15</v>
      </c>
      <c r="F6" s="526"/>
      <c r="G6" s="547" t="str">
        <f>급여대장!$AD$4</f>
        <v>매월 5일</v>
      </c>
      <c r="H6" s="548"/>
      <c r="I6" s="501" t="s">
        <v>14</v>
      </c>
      <c r="J6" s="502"/>
      <c r="K6" s="505">
        <f>급여대장!$AD$3</f>
        <v>46082</v>
      </c>
      <c r="L6" s="505"/>
      <c r="M6" s="525" t="s">
        <v>15</v>
      </c>
      <c r="N6" s="526"/>
      <c r="O6" s="547" t="str">
        <f>급여대장!$AD$4</f>
        <v>매월 5일</v>
      </c>
      <c r="P6" s="548"/>
      <c r="Q6" s="501" t="s">
        <v>14</v>
      </c>
      <c r="R6" s="502"/>
      <c r="S6" s="505">
        <f>급여대장!$AD$3</f>
        <v>46082</v>
      </c>
      <c r="T6" s="505"/>
      <c r="U6" s="525" t="s">
        <v>15</v>
      </c>
      <c r="V6" s="526"/>
      <c r="W6" s="547" t="str">
        <f>급여대장!$AD$4</f>
        <v>매월 5일</v>
      </c>
      <c r="X6" s="548"/>
      <c r="Y6" s="501" t="s">
        <v>14</v>
      </c>
      <c r="Z6" s="502"/>
      <c r="AA6" s="505">
        <f>급여대장!$AD$3</f>
        <v>46082</v>
      </c>
      <c r="AB6" s="505"/>
      <c r="AC6" s="525" t="s">
        <v>15</v>
      </c>
      <c r="AD6" s="526"/>
      <c r="AE6" s="547" t="str">
        <f>급여대장!$AD$4</f>
        <v>매월 5일</v>
      </c>
      <c r="AF6" s="548"/>
      <c r="AG6" s="534" t="s">
        <v>14</v>
      </c>
      <c r="AH6" s="505"/>
      <c r="AI6" s="505">
        <f>급여대장!$AD$3</f>
        <v>46082</v>
      </c>
      <c r="AJ6" s="505"/>
      <c r="AK6" s="511" t="s">
        <v>15</v>
      </c>
      <c r="AL6" s="512"/>
      <c r="AM6" s="547" t="str">
        <f>급여대장!$AD$4</f>
        <v>매월 5일</v>
      </c>
      <c r="AN6" s="548"/>
      <c r="AO6" s="534" t="s">
        <v>14</v>
      </c>
      <c r="AP6" s="505"/>
      <c r="AQ6" s="505">
        <f>급여대장!$AD$3</f>
        <v>46082</v>
      </c>
      <c r="AR6" s="505"/>
      <c r="AS6" s="511" t="s">
        <v>15</v>
      </c>
      <c r="AT6" s="512"/>
      <c r="AU6" s="547" t="str">
        <f>급여대장!$AD$4</f>
        <v>매월 5일</v>
      </c>
      <c r="AV6" s="548"/>
      <c r="AW6" s="534" t="s">
        <v>14</v>
      </c>
      <c r="AX6" s="505"/>
      <c r="AY6" s="505">
        <f>급여대장!$AD$3</f>
        <v>46082</v>
      </c>
      <c r="AZ6" s="505"/>
      <c r="BA6" s="511" t="s">
        <v>15</v>
      </c>
      <c r="BB6" s="512"/>
      <c r="BC6" s="547" t="str">
        <f>급여대장!$AD$4</f>
        <v>매월 5일</v>
      </c>
      <c r="BD6" s="548"/>
    </row>
    <row r="7" spans="1:56" ht="20.100000000000001" customHeight="1">
      <c r="A7" s="501" t="s">
        <v>16</v>
      </c>
      <c r="B7" s="502"/>
      <c r="C7" s="549" t="e">
        <f>급여대장!#REF!</f>
        <v>#REF!</v>
      </c>
      <c r="D7" s="550"/>
      <c r="E7" s="525" t="s">
        <v>17</v>
      </c>
      <c r="F7" s="526"/>
      <c r="G7" s="554"/>
      <c r="H7" s="555"/>
      <c r="I7" s="501" t="s">
        <v>16</v>
      </c>
      <c r="J7" s="502"/>
      <c r="K7" s="549" t="e">
        <f>급여대장!#REF!</f>
        <v>#REF!</v>
      </c>
      <c r="L7" s="550"/>
      <c r="M7" s="525" t="s">
        <v>17</v>
      </c>
      <c r="N7" s="526"/>
      <c r="O7" s="554"/>
      <c r="P7" s="555"/>
      <c r="Q7" s="501" t="s">
        <v>16</v>
      </c>
      <c r="R7" s="502"/>
      <c r="S7" s="549" t="e">
        <f>급여대장!#REF!</f>
        <v>#REF!</v>
      </c>
      <c r="T7" s="550"/>
      <c r="U7" s="525" t="s">
        <v>17</v>
      </c>
      <c r="V7" s="526"/>
      <c r="W7" s="554"/>
      <c r="X7" s="555"/>
      <c r="Y7" s="501" t="s">
        <v>16</v>
      </c>
      <c r="Z7" s="502"/>
      <c r="AA7" s="549" t="e">
        <f>급여대장!#REF!</f>
        <v>#REF!</v>
      </c>
      <c r="AB7" s="550"/>
      <c r="AC7" s="525" t="s">
        <v>17</v>
      </c>
      <c r="AD7" s="526"/>
      <c r="AE7" s="554"/>
      <c r="AF7" s="555"/>
      <c r="AG7" s="534" t="s">
        <v>16</v>
      </c>
      <c r="AH7" s="505"/>
      <c r="AI7" s="594" t="e">
        <f>VLOOKUP(AG1,급여대장!$A$6:$B$15,2,0)</f>
        <v>#N/A</v>
      </c>
      <c r="AJ7" s="505"/>
      <c r="AK7" s="511" t="s">
        <v>17</v>
      </c>
      <c r="AL7" s="512"/>
      <c r="AM7" s="595" t="e">
        <f>VLOOKUP(AG1,급여대장!$A$6:$AD$15,3,0)</f>
        <v>#N/A</v>
      </c>
      <c r="AN7" s="596"/>
      <c r="AO7" s="534" t="s">
        <v>16</v>
      </c>
      <c r="AP7" s="505"/>
      <c r="AQ7" s="594" t="e">
        <f>VLOOKUP(AO1,급여대장!$A$6:$B$15,2,0)</f>
        <v>#N/A</v>
      </c>
      <c r="AR7" s="505"/>
      <c r="AS7" s="511" t="s">
        <v>17</v>
      </c>
      <c r="AT7" s="512"/>
      <c r="AU7" s="595" t="e">
        <f>VLOOKUP(AO1,급여대장!$A$6:$AD$15,3,0)</f>
        <v>#N/A</v>
      </c>
      <c r="AV7" s="596"/>
      <c r="AW7" s="534" t="s">
        <v>16</v>
      </c>
      <c r="AX7" s="505"/>
      <c r="AY7" s="594" t="e">
        <f>VLOOKUP(AW1,급여대장!$A$6:$B$15,2,0)</f>
        <v>#N/A</v>
      </c>
      <c r="AZ7" s="505"/>
      <c r="BA7" s="511" t="s">
        <v>17</v>
      </c>
      <c r="BB7" s="512"/>
      <c r="BC7" s="595" t="e">
        <f>VLOOKUP(AW1,급여대장!$A$6:$AD$15,3,0)</f>
        <v>#N/A</v>
      </c>
      <c r="BD7" s="596"/>
    </row>
    <row r="8" spans="1:56" ht="20.100000000000001" customHeight="1">
      <c r="A8" s="22"/>
      <c r="B8" s="23"/>
      <c r="C8" s="594"/>
      <c r="D8" s="505"/>
      <c r="E8" s="23"/>
      <c r="F8" s="23"/>
      <c r="G8" s="7"/>
      <c r="H8" s="8"/>
      <c r="I8" s="22"/>
      <c r="J8" s="23"/>
      <c r="K8" s="594"/>
      <c r="L8" s="505"/>
      <c r="M8" s="23"/>
      <c r="N8" s="23"/>
      <c r="O8" s="7"/>
      <c r="P8" s="8"/>
      <c r="Q8" s="22"/>
      <c r="R8" s="23"/>
      <c r="S8" s="594"/>
      <c r="T8" s="505"/>
      <c r="U8" s="7"/>
      <c r="V8" s="7"/>
      <c r="W8" s="7"/>
      <c r="X8" s="8"/>
      <c r="Y8" s="22"/>
      <c r="Z8" s="23"/>
      <c r="AA8" s="594"/>
      <c r="AB8" s="505"/>
      <c r="AC8" s="7"/>
      <c r="AD8" s="7"/>
      <c r="AE8" s="7"/>
      <c r="AF8" s="8"/>
      <c r="AG8" s="6"/>
      <c r="AH8" s="7"/>
      <c r="AI8" s="594"/>
      <c r="AJ8" s="505"/>
      <c r="AK8" s="7"/>
      <c r="AL8" s="7"/>
      <c r="AM8" s="7"/>
      <c r="AN8" s="8"/>
      <c r="AO8" s="6"/>
      <c r="AP8" s="7"/>
      <c r="AQ8" s="594"/>
      <c r="AR8" s="505"/>
      <c r="AS8" s="7"/>
      <c r="AT8" s="7"/>
      <c r="AU8" s="7"/>
      <c r="AV8" s="8"/>
      <c r="AW8" s="6"/>
      <c r="AX8" s="7"/>
      <c r="AY8" s="594"/>
      <c r="AZ8" s="505"/>
      <c r="BA8" s="7"/>
      <c r="BB8" s="7"/>
      <c r="BC8" s="7"/>
      <c r="BD8" s="8"/>
    </row>
    <row r="9" spans="1:56" ht="20.100000000000001" customHeight="1">
      <c r="A9" s="534" t="s">
        <v>18</v>
      </c>
      <c r="B9" s="505"/>
      <c r="C9" s="505"/>
      <c r="D9" s="505"/>
      <c r="E9" s="505"/>
      <c r="F9" s="505"/>
      <c r="G9" s="505"/>
      <c r="H9" s="506"/>
      <c r="I9" s="534" t="s">
        <v>18</v>
      </c>
      <c r="J9" s="505"/>
      <c r="K9" s="505"/>
      <c r="L9" s="505"/>
      <c r="M9" s="505"/>
      <c r="N9" s="505"/>
      <c r="O9" s="505"/>
      <c r="P9" s="506"/>
      <c r="Q9" s="534" t="s">
        <v>18</v>
      </c>
      <c r="R9" s="505"/>
      <c r="S9" s="505"/>
      <c r="T9" s="505"/>
      <c r="U9" s="505"/>
      <c r="V9" s="505"/>
      <c r="W9" s="505"/>
      <c r="X9" s="506"/>
      <c r="Y9" s="534" t="s">
        <v>18</v>
      </c>
      <c r="Z9" s="505"/>
      <c r="AA9" s="505"/>
      <c r="AB9" s="505"/>
      <c r="AC9" s="505"/>
      <c r="AD9" s="505"/>
      <c r="AE9" s="505"/>
      <c r="AF9" s="506"/>
      <c r="AG9" s="534" t="s">
        <v>18</v>
      </c>
      <c r="AH9" s="505"/>
      <c r="AI9" s="505"/>
      <c r="AJ9" s="505"/>
      <c r="AK9" s="505"/>
      <c r="AL9" s="505"/>
      <c r="AM9" s="505"/>
      <c r="AN9" s="506"/>
      <c r="AO9" s="534" t="s">
        <v>18</v>
      </c>
      <c r="AP9" s="505"/>
      <c r="AQ9" s="505"/>
      <c r="AR9" s="505"/>
      <c r="AS9" s="505"/>
      <c r="AT9" s="505"/>
      <c r="AU9" s="505"/>
      <c r="AV9" s="506"/>
      <c r="AW9" s="534" t="s">
        <v>18</v>
      </c>
      <c r="AX9" s="505"/>
      <c r="AY9" s="505"/>
      <c r="AZ9" s="505"/>
      <c r="BA9" s="505"/>
      <c r="BB9" s="505"/>
      <c r="BC9" s="505"/>
      <c r="BD9" s="506"/>
    </row>
    <row r="10" spans="1:56" ht="20.100000000000001" customHeight="1">
      <c r="A10" s="515" t="s">
        <v>19</v>
      </c>
      <c r="B10" s="516"/>
      <c r="C10" s="516"/>
      <c r="D10" s="516"/>
      <c r="E10" s="517" t="s">
        <v>20</v>
      </c>
      <c r="F10" s="518"/>
      <c r="G10" s="518"/>
      <c r="H10" s="519"/>
      <c r="I10" s="515" t="s">
        <v>19</v>
      </c>
      <c r="J10" s="516"/>
      <c r="K10" s="516"/>
      <c r="L10" s="516"/>
      <c r="M10" s="517" t="s">
        <v>20</v>
      </c>
      <c r="N10" s="518"/>
      <c r="O10" s="518"/>
      <c r="P10" s="519"/>
      <c r="Q10" s="515" t="s">
        <v>19</v>
      </c>
      <c r="R10" s="516"/>
      <c r="S10" s="516"/>
      <c r="T10" s="516"/>
      <c r="U10" s="517" t="s">
        <v>20</v>
      </c>
      <c r="V10" s="518"/>
      <c r="W10" s="518"/>
      <c r="X10" s="519"/>
      <c r="Y10" s="515" t="s">
        <v>19</v>
      </c>
      <c r="Z10" s="516"/>
      <c r="AA10" s="516"/>
      <c r="AB10" s="516"/>
      <c r="AC10" s="517" t="s">
        <v>20</v>
      </c>
      <c r="AD10" s="518"/>
      <c r="AE10" s="518"/>
      <c r="AF10" s="519"/>
      <c r="AG10" s="534" t="s">
        <v>19</v>
      </c>
      <c r="AH10" s="505"/>
      <c r="AI10" s="505"/>
      <c r="AJ10" s="505"/>
      <c r="AK10" s="511" t="s">
        <v>20</v>
      </c>
      <c r="AL10" s="499"/>
      <c r="AM10" s="499"/>
      <c r="AN10" s="500"/>
      <c r="AO10" s="534" t="s">
        <v>19</v>
      </c>
      <c r="AP10" s="505"/>
      <c r="AQ10" s="505"/>
      <c r="AR10" s="505"/>
      <c r="AS10" s="511" t="s">
        <v>20</v>
      </c>
      <c r="AT10" s="499"/>
      <c r="AU10" s="499"/>
      <c r="AV10" s="500"/>
      <c r="AW10" s="534" t="s">
        <v>19</v>
      </c>
      <c r="AX10" s="505"/>
      <c r="AY10" s="505"/>
      <c r="AZ10" s="505"/>
      <c r="BA10" s="511" t="s">
        <v>20</v>
      </c>
      <c r="BB10" s="499"/>
      <c r="BC10" s="499"/>
      <c r="BD10" s="500"/>
    </row>
    <row r="11" spans="1:56" ht="20.100000000000001" customHeight="1">
      <c r="A11" s="501" t="s">
        <v>79</v>
      </c>
      <c r="B11" s="502"/>
      <c r="C11" s="505" t="s">
        <v>82</v>
      </c>
      <c r="D11" s="505"/>
      <c r="E11" s="525" t="s">
        <v>23</v>
      </c>
      <c r="F11" s="526"/>
      <c r="G11" s="505" t="s">
        <v>78</v>
      </c>
      <c r="H11" s="506"/>
      <c r="I11" s="501" t="s">
        <v>79</v>
      </c>
      <c r="J11" s="502"/>
      <c r="K11" s="505" t="s">
        <v>82</v>
      </c>
      <c r="L11" s="505"/>
      <c r="M11" s="525" t="s">
        <v>23</v>
      </c>
      <c r="N11" s="526"/>
      <c r="O11" s="505" t="s">
        <v>78</v>
      </c>
      <c r="P11" s="506"/>
      <c r="Q11" s="501" t="s">
        <v>79</v>
      </c>
      <c r="R11" s="502"/>
      <c r="S11" s="505" t="s">
        <v>82</v>
      </c>
      <c r="T11" s="505"/>
      <c r="U11" s="525" t="s">
        <v>23</v>
      </c>
      <c r="V11" s="526"/>
      <c r="W11" s="505" t="s">
        <v>78</v>
      </c>
      <c r="X11" s="506"/>
      <c r="Y11" s="501" t="s">
        <v>79</v>
      </c>
      <c r="Z11" s="502"/>
      <c r="AA11" s="505" t="s">
        <v>82</v>
      </c>
      <c r="AB11" s="505"/>
      <c r="AC11" s="525" t="s">
        <v>23</v>
      </c>
      <c r="AD11" s="526"/>
      <c r="AE11" s="505" t="s">
        <v>78</v>
      </c>
      <c r="AF11" s="506"/>
      <c r="AG11" s="534" t="s">
        <v>21</v>
      </c>
      <c r="AH11" s="505"/>
      <c r="AI11" s="505" t="s">
        <v>22</v>
      </c>
      <c r="AJ11" s="505"/>
      <c r="AK11" s="511" t="s">
        <v>23</v>
      </c>
      <c r="AL11" s="512"/>
      <c r="AM11" s="505" t="s">
        <v>24</v>
      </c>
      <c r="AN11" s="506"/>
      <c r="AO11" s="534" t="s">
        <v>21</v>
      </c>
      <c r="AP11" s="505"/>
      <c r="AQ11" s="505" t="s">
        <v>22</v>
      </c>
      <c r="AR11" s="505"/>
      <c r="AS11" s="511" t="s">
        <v>23</v>
      </c>
      <c r="AT11" s="512"/>
      <c r="AU11" s="505" t="s">
        <v>24</v>
      </c>
      <c r="AV11" s="506"/>
      <c r="AW11" s="534" t="s">
        <v>21</v>
      </c>
      <c r="AX11" s="505"/>
      <c r="AY11" s="505" t="s">
        <v>22</v>
      </c>
      <c r="AZ11" s="505"/>
      <c r="BA11" s="511" t="s">
        <v>23</v>
      </c>
      <c r="BB11" s="512"/>
      <c r="BC11" s="505" t="s">
        <v>24</v>
      </c>
      <c r="BD11" s="506"/>
    </row>
    <row r="12" spans="1:56" ht="20.100000000000001" customHeight="1">
      <c r="A12" s="520" t="s">
        <v>25</v>
      </c>
      <c r="B12" s="24" t="s">
        <v>26</v>
      </c>
      <c r="C12" s="503" t="e">
        <f>급여대장!#REF!</f>
        <v>#REF!</v>
      </c>
      <c r="D12" s="503"/>
      <c r="E12" s="525" t="s">
        <v>27</v>
      </c>
      <c r="F12" s="526"/>
      <c r="G12" s="503" t="e">
        <f>급여대장!#REF!</f>
        <v>#REF!</v>
      </c>
      <c r="H12" s="539"/>
      <c r="I12" s="520" t="s">
        <v>25</v>
      </c>
      <c r="J12" s="24" t="s">
        <v>26</v>
      </c>
      <c r="K12" s="503" t="e">
        <f>급여대장!#REF!</f>
        <v>#REF!</v>
      </c>
      <c r="L12" s="503"/>
      <c r="M12" s="525" t="s">
        <v>27</v>
      </c>
      <c r="N12" s="526"/>
      <c r="O12" s="503" t="e">
        <f>급여대장!#REF!</f>
        <v>#REF!</v>
      </c>
      <c r="P12" s="539"/>
      <c r="Q12" s="520" t="s">
        <v>25</v>
      </c>
      <c r="R12" s="24" t="s">
        <v>26</v>
      </c>
      <c r="S12" s="503" t="e">
        <f>급여대장!#REF!</f>
        <v>#REF!</v>
      </c>
      <c r="T12" s="503"/>
      <c r="U12" s="553" t="s">
        <v>27</v>
      </c>
      <c r="V12" s="526"/>
      <c r="W12" s="503" t="e">
        <f>급여대장!#REF!</f>
        <v>#REF!</v>
      </c>
      <c r="X12" s="539"/>
      <c r="Y12" s="520" t="s">
        <v>25</v>
      </c>
      <c r="Z12" s="24" t="s">
        <v>26</v>
      </c>
      <c r="AA12" s="503" t="e">
        <f>급여대장!#REF!</f>
        <v>#REF!</v>
      </c>
      <c r="AB12" s="503"/>
      <c r="AC12" s="553" t="s">
        <v>27</v>
      </c>
      <c r="AD12" s="526"/>
      <c r="AE12" s="503" t="e">
        <f>급여대장!#REF!</f>
        <v>#REF!</v>
      </c>
      <c r="AF12" s="539"/>
      <c r="AG12" s="520" t="s">
        <v>25</v>
      </c>
      <c r="AH12" s="9" t="s">
        <v>26</v>
      </c>
      <c r="AI12" s="503" t="e">
        <f>VLOOKUP(AG1,급여대장!$A$6:$AD$15,7,0)</f>
        <v>#N/A</v>
      </c>
      <c r="AJ12" s="539"/>
      <c r="AK12" s="511" t="s">
        <v>27</v>
      </c>
      <c r="AL12" s="512"/>
      <c r="AM12" s="503" t="e">
        <f>VLOOKUP(AG1,급여대장!$A$6:$AD$15,16,0)</f>
        <v>#N/A</v>
      </c>
      <c r="AN12" s="539"/>
      <c r="AO12" s="520" t="s">
        <v>25</v>
      </c>
      <c r="AP12" s="9" t="s">
        <v>26</v>
      </c>
      <c r="AQ12" s="503" t="e">
        <f>VLOOKUP(AO1,급여대장!$A$6:$AD$15,7,0)</f>
        <v>#N/A</v>
      </c>
      <c r="AR12" s="539"/>
      <c r="AS12" s="511" t="s">
        <v>27</v>
      </c>
      <c r="AT12" s="512"/>
      <c r="AU12" s="503" t="e">
        <f>VLOOKUP(AO1,급여대장!$A$6:$AD$15,16,0)</f>
        <v>#N/A</v>
      </c>
      <c r="AV12" s="539"/>
      <c r="AW12" s="520" t="s">
        <v>25</v>
      </c>
      <c r="AX12" s="9" t="s">
        <v>26</v>
      </c>
      <c r="AY12" s="503" t="e">
        <f>VLOOKUP(AW1,급여대장!$A$6:$AD$15,7,0)</f>
        <v>#N/A</v>
      </c>
      <c r="AZ12" s="539"/>
      <c r="BA12" s="511" t="s">
        <v>27</v>
      </c>
      <c r="BB12" s="512"/>
      <c r="BC12" s="503" t="e">
        <f>VLOOKUP(AW1,급여대장!$A$6:$AD$15,16,0)</f>
        <v>#N/A</v>
      </c>
      <c r="BD12" s="539"/>
    </row>
    <row r="13" spans="1:56" ht="20.100000000000001" customHeight="1">
      <c r="A13" s="521"/>
      <c r="B13" s="24" t="s">
        <v>28</v>
      </c>
      <c r="C13" s="503" t="e">
        <f>급여대장!#REF!</f>
        <v>#REF!</v>
      </c>
      <c r="D13" s="503"/>
      <c r="E13" s="525" t="s">
        <v>42</v>
      </c>
      <c r="F13" s="526"/>
      <c r="G13" s="503" t="e">
        <f>급여대장!#REF!</f>
        <v>#REF!</v>
      </c>
      <c r="H13" s="539"/>
      <c r="I13" s="521"/>
      <c r="J13" s="24" t="s">
        <v>28</v>
      </c>
      <c r="K13" s="503" t="e">
        <f>급여대장!#REF!</f>
        <v>#REF!</v>
      </c>
      <c r="L13" s="503"/>
      <c r="M13" s="525" t="s">
        <v>42</v>
      </c>
      <c r="N13" s="526"/>
      <c r="O13" s="513" t="e">
        <f>급여대장!#REF!</f>
        <v>#REF!</v>
      </c>
      <c r="P13" s="514"/>
      <c r="Q13" s="521"/>
      <c r="R13" s="24" t="s">
        <v>28</v>
      </c>
      <c r="S13" s="503" t="e">
        <f>급여대장!#REF!</f>
        <v>#REF!</v>
      </c>
      <c r="T13" s="503"/>
      <c r="U13" s="553" t="s">
        <v>42</v>
      </c>
      <c r="V13" s="526"/>
      <c r="W13" s="513" t="e">
        <f>급여대장!#REF!</f>
        <v>#REF!</v>
      </c>
      <c r="X13" s="514"/>
      <c r="Y13" s="521"/>
      <c r="Z13" s="24" t="s">
        <v>28</v>
      </c>
      <c r="AA13" s="503" t="e">
        <f>급여대장!#REF!</f>
        <v>#REF!</v>
      </c>
      <c r="AB13" s="503"/>
      <c r="AC13" s="553" t="s">
        <v>42</v>
      </c>
      <c r="AD13" s="526"/>
      <c r="AE13" s="513" t="e">
        <f>급여대장!#REF!</f>
        <v>#REF!</v>
      </c>
      <c r="AF13" s="514"/>
      <c r="AG13" s="521"/>
      <c r="AH13" s="9" t="s">
        <v>28</v>
      </c>
      <c r="AI13" s="503" t="e">
        <f>VLOOKUP(AG1,급여대장!$A$6:$AD$15,8,0)</f>
        <v>#N/A</v>
      </c>
      <c r="AJ13" s="539"/>
      <c r="AK13" s="511" t="s">
        <v>42</v>
      </c>
      <c r="AL13" s="512"/>
      <c r="AM13" s="513" t="e">
        <f>VLOOKUP(AG1,급여대장!$A$6:$AD$15,17,0)</f>
        <v>#N/A</v>
      </c>
      <c r="AN13" s="514"/>
      <c r="AO13" s="521"/>
      <c r="AP13" s="9" t="s">
        <v>28</v>
      </c>
      <c r="AQ13" s="503" t="e">
        <f>VLOOKUP(AO1,급여대장!$A$6:$AD$15,8,0)</f>
        <v>#N/A</v>
      </c>
      <c r="AR13" s="539"/>
      <c r="AS13" s="511" t="s">
        <v>42</v>
      </c>
      <c r="AT13" s="512"/>
      <c r="AU13" s="503" t="e">
        <f>VLOOKUP(AO1,급여대장!$A$6:$AD$15,17,0)</f>
        <v>#N/A</v>
      </c>
      <c r="AV13" s="539"/>
      <c r="AW13" s="521"/>
      <c r="AX13" s="9" t="s">
        <v>28</v>
      </c>
      <c r="AY13" s="503" t="e">
        <f>VLOOKUP(AW1,급여대장!$A$6:$AD$15,8,0)</f>
        <v>#N/A</v>
      </c>
      <c r="AZ13" s="503"/>
      <c r="BA13" s="511" t="s">
        <v>42</v>
      </c>
      <c r="BB13" s="512"/>
      <c r="BC13" s="503" t="e">
        <f>VLOOKUP(AW1,급여대장!$A$6:$AD$15,17,0)</f>
        <v>#N/A</v>
      </c>
      <c r="BD13" s="539"/>
    </row>
    <row r="14" spans="1:56" ht="20.100000000000001" customHeight="1">
      <c r="A14" s="521"/>
      <c r="B14" s="24" t="s">
        <v>46</v>
      </c>
      <c r="C14" s="503" t="e">
        <f>급여대장!#REF!</f>
        <v>#REF!</v>
      </c>
      <c r="D14" s="503"/>
      <c r="E14" s="525" t="s">
        <v>41</v>
      </c>
      <c r="F14" s="526"/>
      <c r="G14" s="503" t="e">
        <f>급여대장!#REF!</f>
        <v>#REF!</v>
      </c>
      <c r="H14" s="539"/>
      <c r="I14" s="521"/>
      <c r="J14" s="24" t="s">
        <v>46</v>
      </c>
      <c r="K14" s="503" t="e">
        <f>급여대장!#REF!</f>
        <v>#REF!</v>
      </c>
      <c r="L14" s="503"/>
      <c r="M14" s="525" t="s">
        <v>41</v>
      </c>
      <c r="N14" s="526"/>
      <c r="O14" s="513" t="e">
        <f>급여대장!#REF!</f>
        <v>#REF!</v>
      </c>
      <c r="P14" s="514"/>
      <c r="Q14" s="521"/>
      <c r="R14" s="24" t="s">
        <v>46</v>
      </c>
      <c r="S14" s="503" t="e">
        <f>급여대장!#REF!</f>
        <v>#REF!</v>
      </c>
      <c r="T14" s="503"/>
      <c r="U14" s="553" t="s">
        <v>41</v>
      </c>
      <c r="V14" s="526"/>
      <c r="W14" s="513" t="e">
        <f>급여대장!#REF!</f>
        <v>#REF!</v>
      </c>
      <c r="X14" s="514"/>
      <c r="Y14" s="521"/>
      <c r="Z14" s="24" t="s">
        <v>46</v>
      </c>
      <c r="AA14" s="503" t="e">
        <f>급여대장!#REF!</f>
        <v>#REF!</v>
      </c>
      <c r="AB14" s="503"/>
      <c r="AC14" s="553" t="s">
        <v>41</v>
      </c>
      <c r="AD14" s="526"/>
      <c r="AE14" s="513" t="e">
        <f>급여대장!#REF!</f>
        <v>#REF!</v>
      </c>
      <c r="AF14" s="514"/>
      <c r="AG14" s="521"/>
      <c r="AH14" s="9" t="s">
        <v>46</v>
      </c>
      <c r="AI14" s="503" t="e">
        <f>VLOOKUP(AG1,급여대장!$A$6:$AD$15,9,0)</f>
        <v>#N/A</v>
      </c>
      <c r="AJ14" s="539"/>
      <c r="AK14" s="511" t="s">
        <v>41</v>
      </c>
      <c r="AL14" s="512"/>
      <c r="AM14" s="513" t="e">
        <f>VLOOKUP(AG1,급여대장!$A$6:$AD$15,18,0)</f>
        <v>#N/A</v>
      </c>
      <c r="AN14" s="514"/>
      <c r="AO14" s="521"/>
      <c r="AP14" s="9" t="s">
        <v>46</v>
      </c>
      <c r="AQ14" s="503" t="e">
        <f>VLOOKUP(AO1,급여대장!$A$6:$AD$15,9,0)</f>
        <v>#N/A</v>
      </c>
      <c r="AR14" s="539"/>
      <c r="AS14" s="511" t="s">
        <v>41</v>
      </c>
      <c r="AT14" s="512"/>
      <c r="AU14" s="503" t="e">
        <f>VLOOKUP(AO1,급여대장!$A$6:$AD$15,18,0)</f>
        <v>#N/A</v>
      </c>
      <c r="AV14" s="539"/>
      <c r="AW14" s="521"/>
      <c r="AX14" s="9" t="s">
        <v>46</v>
      </c>
      <c r="AY14" s="503" t="e">
        <f>VLOOKUP(AW1,급여대장!$A$6:$AD$15,9,0)</f>
        <v>#N/A</v>
      </c>
      <c r="AZ14" s="503"/>
      <c r="BA14" s="511" t="s">
        <v>41</v>
      </c>
      <c r="BB14" s="512"/>
      <c r="BC14" s="503" t="e">
        <f>VLOOKUP(AW1,급여대장!$A$6:$AD$15,18,0)</f>
        <v>#N/A</v>
      </c>
      <c r="BD14" s="539"/>
    </row>
    <row r="15" spans="1:56" ht="20.100000000000001" customHeight="1">
      <c r="A15" s="521"/>
      <c r="B15" s="25" t="s">
        <v>57</v>
      </c>
      <c r="C15" s="503" t="e">
        <f>급여대장!#REF!</f>
        <v>#REF!</v>
      </c>
      <c r="D15" s="503"/>
      <c r="E15" s="525" t="s">
        <v>29</v>
      </c>
      <c r="F15" s="526"/>
      <c r="G15" s="513" t="e">
        <f>급여대장!#REF!</f>
        <v>#REF!</v>
      </c>
      <c r="H15" s="514"/>
      <c r="I15" s="521"/>
      <c r="J15" s="25" t="s">
        <v>57</v>
      </c>
      <c r="K15" s="503" t="e">
        <f>급여대장!#REF!</f>
        <v>#REF!</v>
      </c>
      <c r="L15" s="503"/>
      <c r="M15" s="525" t="s">
        <v>29</v>
      </c>
      <c r="N15" s="526"/>
      <c r="O15" s="513" t="e">
        <f>급여대장!#REF!</f>
        <v>#REF!</v>
      </c>
      <c r="P15" s="514"/>
      <c r="Q15" s="521"/>
      <c r="R15" s="25" t="s">
        <v>57</v>
      </c>
      <c r="S15" s="503" t="e">
        <f>급여대장!#REF!</f>
        <v>#REF!</v>
      </c>
      <c r="T15" s="503"/>
      <c r="U15" s="553" t="s">
        <v>29</v>
      </c>
      <c r="V15" s="526"/>
      <c r="W15" s="513" t="e">
        <f>급여대장!#REF!</f>
        <v>#REF!</v>
      </c>
      <c r="X15" s="514"/>
      <c r="Y15" s="521"/>
      <c r="Z15" s="25" t="s">
        <v>57</v>
      </c>
      <c r="AA15" s="503">
        <v>0</v>
      </c>
      <c r="AB15" s="503"/>
      <c r="AC15" s="553" t="s">
        <v>29</v>
      </c>
      <c r="AD15" s="526"/>
      <c r="AE15" s="513" t="e">
        <f>급여대장!#REF!</f>
        <v>#REF!</v>
      </c>
      <c r="AF15" s="514"/>
      <c r="AG15" s="521"/>
      <c r="AH15" s="13" t="s">
        <v>47</v>
      </c>
      <c r="AI15" s="503" t="e">
        <f>VLOOKUP(AG1,급여대장!$A$6:$AD$15,10,0)</f>
        <v>#N/A</v>
      </c>
      <c r="AJ15" s="539"/>
      <c r="AK15" s="511" t="s">
        <v>29</v>
      </c>
      <c r="AL15" s="512"/>
      <c r="AM15" s="513" t="e">
        <f>VLOOKUP(AG1,급여대장!$A$6:$AD$15,19,0)</f>
        <v>#N/A</v>
      </c>
      <c r="AN15" s="514"/>
      <c r="AO15" s="521"/>
      <c r="AP15" s="13" t="s">
        <v>47</v>
      </c>
      <c r="AQ15" s="503" t="e">
        <f>VLOOKUP(AO1,급여대장!$A$6:$AD$15,10,0)</f>
        <v>#N/A</v>
      </c>
      <c r="AR15" s="539"/>
      <c r="AS15" s="511" t="s">
        <v>29</v>
      </c>
      <c r="AT15" s="512"/>
      <c r="AU15" s="503" t="e">
        <f>VLOOKUP(AO1,급여대장!$A$6:$AD$15,19,0)</f>
        <v>#N/A</v>
      </c>
      <c r="AV15" s="539"/>
      <c r="AW15" s="521"/>
      <c r="AX15" s="13" t="s">
        <v>47</v>
      </c>
      <c r="AY15" s="503" t="e">
        <f>VLOOKUP(AW1,급여대장!$A$6:$AD$15,10,0)</f>
        <v>#N/A</v>
      </c>
      <c r="AZ15" s="503"/>
      <c r="BA15" s="511" t="s">
        <v>29</v>
      </c>
      <c r="BB15" s="512"/>
      <c r="BC15" s="513" t="e">
        <f>VLOOKUP(AW1,급여대장!$A$6:$AD$15,19,0)</f>
        <v>#N/A</v>
      </c>
      <c r="BD15" s="514"/>
    </row>
    <row r="16" spans="1:56" ht="20.100000000000001" customHeight="1">
      <c r="A16" s="521"/>
      <c r="B16" s="24" t="s">
        <v>70</v>
      </c>
      <c r="C16" s="503" t="e">
        <f>급여대장!#REF!</f>
        <v>#REF!</v>
      </c>
      <c r="D16" s="503"/>
      <c r="E16" s="525" t="s">
        <v>30</v>
      </c>
      <c r="F16" s="526"/>
      <c r="G16" s="513" t="e">
        <f>급여대장!#REF!</f>
        <v>#REF!</v>
      </c>
      <c r="H16" s="514"/>
      <c r="I16" s="521"/>
      <c r="J16" s="24" t="s">
        <v>70</v>
      </c>
      <c r="K16" s="503" t="e">
        <f>급여대장!#REF!</f>
        <v>#REF!</v>
      </c>
      <c r="L16" s="503"/>
      <c r="M16" s="525" t="s">
        <v>30</v>
      </c>
      <c r="N16" s="526"/>
      <c r="O16" s="513" t="e">
        <f>급여대장!#REF!</f>
        <v>#REF!</v>
      </c>
      <c r="P16" s="514"/>
      <c r="Q16" s="521"/>
      <c r="R16" s="24" t="s">
        <v>70</v>
      </c>
      <c r="S16" s="503" t="e">
        <f>급여대장!#REF!</f>
        <v>#REF!</v>
      </c>
      <c r="T16" s="503"/>
      <c r="U16" s="553" t="s">
        <v>30</v>
      </c>
      <c r="V16" s="526"/>
      <c r="W16" s="513" t="e">
        <f>급여대장!#REF!</f>
        <v>#REF!</v>
      </c>
      <c r="X16" s="514"/>
      <c r="Y16" s="521"/>
      <c r="Z16" s="24" t="s">
        <v>70</v>
      </c>
      <c r="AA16" s="503">
        <v>0</v>
      </c>
      <c r="AB16" s="503"/>
      <c r="AC16" s="553" t="s">
        <v>30</v>
      </c>
      <c r="AD16" s="526"/>
      <c r="AE16" s="513" t="e">
        <f>급여대장!#REF!</f>
        <v>#REF!</v>
      </c>
      <c r="AF16" s="514"/>
      <c r="AG16" s="521"/>
      <c r="AH16" s="9" t="s">
        <v>49</v>
      </c>
      <c r="AI16" s="503" t="e">
        <f>VLOOKUP(AG1,급여대장!$A$6:$AD$15,13,0)</f>
        <v>#N/A</v>
      </c>
      <c r="AJ16" s="503"/>
      <c r="AK16" s="511" t="s">
        <v>30</v>
      </c>
      <c r="AL16" s="512"/>
      <c r="AM16" s="513" t="e">
        <f>VLOOKUP(AG1,급여대장!$A$6:$AD$15,20,0)</f>
        <v>#N/A</v>
      </c>
      <c r="AN16" s="514"/>
      <c r="AO16" s="521"/>
      <c r="AP16" s="9" t="s">
        <v>49</v>
      </c>
      <c r="AQ16" s="503" t="e">
        <f>VLOOKUP(AO1,급여대장!$A$6:$AD$15,13,0)</f>
        <v>#N/A</v>
      </c>
      <c r="AR16" s="539"/>
      <c r="AS16" s="511" t="s">
        <v>30</v>
      </c>
      <c r="AT16" s="512"/>
      <c r="AU16" s="503" t="e">
        <f>VLOOKUP(AO1,급여대장!$A$6:$AD$15,20,0)</f>
        <v>#N/A</v>
      </c>
      <c r="AV16" s="539"/>
      <c r="AW16" s="521"/>
      <c r="AX16" s="9" t="s">
        <v>49</v>
      </c>
      <c r="AY16" s="503" t="e">
        <f>VLOOKUP(AW1,급여대장!$A$6:$AD$15,13,0)</f>
        <v>#N/A</v>
      </c>
      <c r="AZ16" s="539"/>
      <c r="BA16" s="511" t="s">
        <v>30</v>
      </c>
      <c r="BB16" s="512"/>
      <c r="BC16" s="513" t="e">
        <f>VLOOKUP(AW1,급여대장!$A$6:$AD$15,20,0)</f>
        <v>#N/A</v>
      </c>
      <c r="BD16" s="514"/>
    </row>
    <row r="17" spans="1:58" ht="20.100000000000001" customHeight="1">
      <c r="A17" s="521"/>
      <c r="B17" s="24"/>
      <c r="C17" s="503"/>
      <c r="D17" s="503"/>
      <c r="E17" s="525" t="s">
        <v>31</v>
      </c>
      <c r="F17" s="526"/>
      <c r="G17" s="513" t="e">
        <f>급여대장!#REF!</f>
        <v>#REF!</v>
      </c>
      <c r="H17" s="514"/>
      <c r="I17" s="521"/>
      <c r="J17" s="24"/>
      <c r="K17" s="503"/>
      <c r="L17" s="503"/>
      <c r="M17" s="525" t="s">
        <v>31</v>
      </c>
      <c r="N17" s="526"/>
      <c r="O17" s="513" t="e">
        <f>급여대장!#REF!</f>
        <v>#REF!</v>
      </c>
      <c r="P17" s="514"/>
      <c r="Q17" s="521"/>
      <c r="R17" s="24"/>
      <c r="S17" s="503"/>
      <c r="T17" s="503"/>
      <c r="U17" s="525" t="s">
        <v>31</v>
      </c>
      <c r="V17" s="526"/>
      <c r="W17" s="513" t="e">
        <f>급여대장!#REF!</f>
        <v>#REF!</v>
      </c>
      <c r="X17" s="514"/>
      <c r="Y17" s="521"/>
      <c r="Z17" s="24"/>
      <c r="AA17" s="503"/>
      <c r="AB17" s="503"/>
      <c r="AC17" s="525" t="s">
        <v>31</v>
      </c>
      <c r="AD17" s="526"/>
      <c r="AE17" s="513" t="e">
        <f>급여대장!#REF!</f>
        <v>#REF!</v>
      </c>
      <c r="AF17" s="514"/>
      <c r="AG17" s="521"/>
      <c r="AH17" s="9"/>
      <c r="AI17" s="503"/>
      <c r="AJ17" s="503"/>
      <c r="AK17" s="511" t="s">
        <v>31</v>
      </c>
      <c r="AL17" s="512"/>
      <c r="AM17" s="513" t="e">
        <f>VLOOKUP(AG1,급여대장!$A$6:$AD$15,21,0)</f>
        <v>#N/A</v>
      </c>
      <c r="AN17" s="514"/>
      <c r="AO17" s="521"/>
      <c r="AP17" s="9"/>
      <c r="AQ17" s="503"/>
      <c r="AR17" s="503"/>
      <c r="AS17" s="511" t="s">
        <v>31</v>
      </c>
      <c r="AT17" s="512"/>
      <c r="AU17" s="503" t="e">
        <f>VLOOKUP(AO1,급여대장!$A$6:$AD$15,21,0)</f>
        <v>#N/A</v>
      </c>
      <c r="AV17" s="539"/>
      <c r="AW17" s="521"/>
      <c r="AX17" s="9"/>
      <c r="AY17" s="503"/>
      <c r="AZ17" s="503"/>
      <c r="BA17" s="511" t="s">
        <v>31</v>
      </c>
      <c r="BB17" s="512"/>
      <c r="BC17" s="513" t="e">
        <f>VLOOKUP(AW1,급여대장!$A$6:$AD$15,21,0)</f>
        <v>#N/A</v>
      </c>
      <c r="BD17" s="514"/>
      <c r="BF17" s="27"/>
    </row>
    <row r="18" spans="1:58" ht="20.100000000000001" customHeight="1">
      <c r="A18" s="521"/>
      <c r="B18" s="24"/>
      <c r="C18" s="503"/>
      <c r="D18" s="503"/>
      <c r="E18" s="523" t="s">
        <v>71</v>
      </c>
      <c r="F18" s="524"/>
      <c r="G18" s="513" t="e">
        <f>급여대장!#REF!</f>
        <v>#REF!</v>
      </c>
      <c r="H18" s="514"/>
      <c r="I18" s="521"/>
      <c r="J18" s="24"/>
      <c r="K18" s="503"/>
      <c r="L18" s="503"/>
      <c r="M18" s="523" t="s">
        <v>71</v>
      </c>
      <c r="N18" s="524"/>
      <c r="O18" s="513" t="e">
        <f>급여대장!#REF!</f>
        <v>#REF!</v>
      </c>
      <c r="P18" s="514"/>
      <c r="Q18" s="521"/>
      <c r="R18" s="24"/>
      <c r="S18" s="503"/>
      <c r="T18" s="503"/>
      <c r="U18" s="523" t="s">
        <v>71</v>
      </c>
      <c r="V18" s="524"/>
      <c r="W18" s="513" t="e">
        <f>급여대장!#REF!</f>
        <v>#REF!</v>
      </c>
      <c r="X18" s="514"/>
      <c r="Y18" s="521"/>
      <c r="Z18" s="24"/>
      <c r="AA18" s="503"/>
      <c r="AB18" s="503"/>
      <c r="AC18" s="523" t="s">
        <v>71</v>
      </c>
      <c r="AD18" s="524"/>
      <c r="AE18" s="513">
        <v>0</v>
      </c>
      <c r="AF18" s="514"/>
      <c r="AG18" s="521"/>
      <c r="AH18" s="9"/>
      <c r="AI18" s="513"/>
      <c r="AJ18" s="527"/>
      <c r="AK18" s="537" t="s">
        <v>45</v>
      </c>
      <c r="AL18" s="538"/>
      <c r="AM18" s="513" t="e">
        <f>VLOOKUP(AG1,급여대장!$A$6:$AD$15,24,0)</f>
        <v>#N/A</v>
      </c>
      <c r="AN18" s="514"/>
      <c r="AO18" s="521"/>
      <c r="AP18" s="9"/>
      <c r="AQ18" s="513"/>
      <c r="AR18" s="527"/>
      <c r="AS18" s="537"/>
      <c r="AT18" s="538"/>
      <c r="AU18" s="513"/>
      <c r="AV18" s="514"/>
      <c r="AW18" s="521"/>
      <c r="AX18" s="9"/>
      <c r="AY18" s="513"/>
      <c r="AZ18" s="527"/>
      <c r="BA18" s="537"/>
      <c r="BB18" s="538"/>
      <c r="BC18" s="513"/>
      <c r="BD18" s="514"/>
    </row>
    <row r="19" spans="1:58" ht="20.100000000000001" customHeight="1">
      <c r="A19" s="521"/>
      <c r="B19" s="24"/>
      <c r="C19" s="513"/>
      <c r="D19" s="527"/>
      <c r="E19" s="523" t="s">
        <v>76</v>
      </c>
      <c r="F19" s="524"/>
      <c r="G19" s="513" t="e">
        <f>급여대장!#REF!</f>
        <v>#REF!</v>
      </c>
      <c r="H19" s="514"/>
      <c r="I19" s="522"/>
      <c r="J19" s="24"/>
      <c r="K19" s="513"/>
      <c r="L19" s="527"/>
      <c r="M19" s="523" t="s">
        <v>76</v>
      </c>
      <c r="N19" s="524"/>
      <c r="O19" s="513" t="e">
        <f>급여대장!#REF!</f>
        <v>#REF!</v>
      </c>
      <c r="P19" s="514"/>
      <c r="Q19" s="522"/>
      <c r="R19" s="24"/>
      <c r="S19" s="513"/>
      <c r="T19" s="527"/>
      <c r="U19" s="523"/>
      <c r="V19" s="524"/>
      <c r="W19" s="513" t="e">
        <f>급여대장!#REF!</f>
        <v>#REF!</v>
      </c>
      <c r="X19" s="514"/>
      <c r="Y19" s="522"/>
      <c r="Z19" s="24"/>
      <c r="AA19" s="513"/>
      <c r="AB19" s="527"/>
      <c r="AC19" s="523"/>
      <c r="AD19" s="524"/>
      <c r="AE19" s="513"/>
      <c r="AF19" s="514"/>
      <c r="AG19" s="522"/>
      <c r="AH19" s="9"/>
      <c r="AI19" s="513"/>
      <c r="AJ19" s="527"/>
      <c r="AK19" s="537" t="s">
        <v>48</v>
      </c>
      <c r="AL19" s="538"/>
      <c r="AM19" s="513" t="e">
        <f>VLOOKUP(AG1,급여대장!$A$6:$AD$15,25,0)</f>
        <v>#N/A</v>
      </c>
      <c r="AN19" s="514"/>
      <c r="AO19" s="522"/>
      <c r="AP19" s="9"/>
      <c r="AQ19" s="513"/>
      <c r="AR19" s="527"/>
      <c r="AS19" s="537"/>
      <c r="AT19" s="538"/>
      <c r="AU19" s="513"/>
      <c r="AV19" s="514"/>
      <c r="AW19" s="522"/>
      <c r="AX19" s="9"/>
      <c r="AY19" s="513"/>
      <c r="AZ19" s="527"/>
      <c r="BA19" s="537"/>
      <c r="BB19" s="538"/>
      <c r="BC19" s="513"/>
      <c r="BD19" s="514"/>
    </row>
    <row r="20" spans="1:58" ht="20.100000000000001" customHeight="1">
      <c r="A20" s="521"/>
      <c r="B20" s="24"/>
      <c r="C20" s="14"/>
      <c r="D20" s="15"/>
      <c r="E20" s="523"/>
      <c r="F20" s="524"/>
      <c r="G20" s="513"/>
      <c r="H20" s="514"/>
      <c r="I20" s="19"/>
      <c r="J20" s="24"/>
      <c r="K20" s="14"/>
      <c r="L20" s="15"/>
      <c r="M20" s="523"/>
      <c r="N20" s="524"/>
      <c r="O20" s="513"/>
      <c r="P20" s="514"/>
      <c r="Q20" s="19"/>
      <c r="R20" s="24"/>
      <c r="S20" s="14"/>
      <c r="T20" s="15"/>
      <c r="U20" s="523"/>
      <c r="V20" s="524"/>
      <c r="W20" s="513"/>
      <c r="X20" s="514"/>
      <c r="Y20" s="19"/>
      <c r="Z20" s="24"/>
      <c r="AA20" s="14"/>
      <c r="AB20" s="15"/>
      <c r="AC20" s="523"/>
      <c r="AD20" s="524"/>
      <c r="AE20" s="513"/>
      <c r="AF20" s="514"/>
      <c r="AG20" s="19"/>
      <c r="AH20" s="9"/>
      <c r="AI20" s="14"/>
      <c r="AJ20" s="15"/>
      <c r="AK20" s="537"/>
      <c r="AL20" s="538"/>
      <c r="AM20" s="513"/>
      <c r="AN20" s="514"/>
      <c r="AO20" s="19"/>
      <c r="AP20" s="9"/>
      <c r="AQ20" s="14"/>
      <c r="AR20" s="15"/>
      <c r="AS20" s="537"/>
      <c r="AT20" s="538"/>
      <c r="AU20" s="513"/>
      <c r="AV20" s="514"/>
      <c r="AW20" s="19"/>
      <c r="AX20" s="9"/>
      <c r="AY20" s="14"/>
      <c r="AZ20" s="15"/>
      <c r="BA20" s="16"/>
      <c r="BB20" s="17"/>
      <c r="BC20" s="14"/>
      <c r="BD20" s="18"/>
    </row>
    <row r="21" spans="1:58" ht="20.100000000000001" customHeight="1">
      <c r="A21" s="522"/>
      <c r="B21" s="24"/>
      <c r="C21" s="14"/>
      <c r="D21" s="15"/>
      <c r="E21" s="523"/>
      <c r="F21" s="524"/>
      <c r="G21" s="513"/>
      <c r="H21" s="514"/>
      <c r="I21" s="19"/>
      <c r="J21" s="24"/>
      <c r="K21" s="14"/>
      <c r="L21" s="15"/>
      <c r="M21" s="523"/>
      <c r="N21" s="524"/>
      <c r="O21" s="513"/>
      <c r="P21" s="514"/>
      <c r="Q21" s="19"/>
      <c r="R21" s="24"/>
      <c r="S21" s="14"/>
      <c r="T21" s="15"/>
      <c r="U21" s="523"/>
      <c r="V21" s="524"/>
      <c r="W21" s="513"/>
      <c r="X21" s="514"/>
      <c r="Y21" s="19"/>
      <c r="Z21" s="24"/>
      <c r="AA21" s="14"/>
      <c r="AB21" s="15"/>
      <c r="AC21" s="523"/>
      <c r="AD21" s="524"/>
      <c r="AE21" s="513"/>
      <c r="AF21" s="514"/>
      <c r="AG21" s="19"/>
      <c r="AH21" s="9"/>
      <c r="AI21" s="14"/>
      <c r="AJ21" s="15"/>
      <c r="AK21" s="537"/>
      <c r="AL21" s="538"/>
      <c r="AM21" s="513"/>
      <c r="AN21" s="514"/>
      <c r="AO21" s="19"/>
      <c r="AP21" s="9"/>
      <c r="AQ21" s="14"/>
      <c r="AR21" s="15"/>
      <c r="AS21" s="537"/>
      <c r="AT21" s="538"/>
      <c r="AU21" s="513"/>
      <c r="AV21" s="514"/>
      <c r="AW21" s="19"/>
      <c r="AX21" s="9"/>
      <c r="AY21" s="14"/>
      <c r="AZ21" s="15"/>
      <c r="BA21" s="16"/>
      <c r="BB21" s="17"/>
      <c r="BC21" s="14"/>
      <c r="BD21" s="18"/>
    </row>
    <row r="22" spans="1:58" ht="20.100000000000001" customHeight="1">
      <c r="A22" s="520" t="s">
        <v>32</v>
      </c>
      <c r="B22" s="24" t="s">
        <v>49</v>
      </c>
      <c r="C22" s="503" t="e">
        <f>급여대장!#REF!</f>
        <v>#REF!</v>
      </c>
      <c r="D22" s="503"/>
      <c r="E22" s="523"/>
      <c r="F22" s="524"/>
      <c r="G22" s="562"/>
      <c r="H22" s="563"/>
      <c r="I22" s="520" t="s">
        <v>32</v>
      </c>
      <c r="J22" s="24" t="s">
        <v>49</v>
      </c>
      <c r="K22" s="503" t="e">
        <f>급여대장!#REF!</f>
        <v>#REF!</v>
      </c>
      <c r="L22" s="503"/>
      <c r="M22" s="523"/>
      <c r="N22" s="524"/>
      <c r="O22" s="513"/>
      <c r="P22" s="514"/>
      <c r="Q22" s="520" t="s">
        <v>32</v>
      </c>
      <c r="R22" s="24" t="s">
        <v>49</v>
      </c>
      <c r="S22" s="503" t="e">
        <f>급여대장!#REF!</f>
        <v>#REF!</v>
      </c>
      <c r="T22" s="503"/>
      <c r="U22" s="523"/>
      <c r="V22" s="524"/>
      <c r="W22" s="513"/>
      <c r="X22" s="514"/>
      <c r="Y22" s="520" t="s">
        <v>32</v>
      </c>
      <c r="Z22" s="24" t="s">
        <v>49</v>
      </c>
      <c r="AA22" s="503" t="e">
        <f>VLOOKUP(Y1,급여대장!$A$6:$AD$15,13,0)</f>
        <v>#N/A</v>
      </c>
      <c r="AB22" s="503"/>
      <c r="AC22" s="537"/>
      <c r="AD22" s="538"/>
      <c r="AE22" s="513"/>
      <c r="AF22" s="514"/>
      <c r="AG22" s="520" t="s">
        <v>32</v>
      </c>
      <c r="AH22" s="9"/>
      <c r="AI22" s="513"/>
      <c r="AJ22" s="527"/>
      <c r="AK22" s="537"/>
      <c r="AL22" s="538"/>
      <c r="AM22" s="513"/>
      <c r="AN22" s="514"/>
      <c r="AO22" s="520" t="s">
        <v>32</v>
      </c>
      <c r="AP22" s="9"/>
      <c r="AQ22" s="513"/>
      <c r="AR22" s="527"/>
      <c r="AS22" s="537"/>
      <c r="AT22" s="538"/>
      <c r="AU22" s="513"/>
      <c r="AV22" s="514"/>
      <c r="AW22" s="520" t="s">
        <v>32</v>
      </c>
      <c r="AX22" s="9"/>
      <c r="AY22" s="513"/>
      <c r="AZ22" s="527"/>
      <c r="BA22" s="537"/>
      <c r="BB22" s="538"/>
      <c r="BC22" s="513"/>
      <c r="BD22" s="514"/>
    </row>
    <row r="23" spans="1:58" ht="20.100000000000001" customHeight="1">
      <c r="A23" s="521"/>
      <c r="B23" s="24"/>
      <c r="C23" s="513"/>
      <c r="D23" s="527"/>
      <c r="E23" s="523"/>
      <c r="F23" s="524"/>
      <c r="G23" s="562"/>
      <c r="H23" s="563"/>
      <c r="I23" s="521"/>
      <c r="J23" s="24"/>
      <c r="K23" s="513"/>
      <c r="L23" s="527"/>
      <c r="M23" s="523"/>
      <c r="N23" s="524"/>
      <c r="O23" s="513"/>
      <c r="P23" s="514"/>
      <c r="Q23" s="521"/>
      <c r="R23" s="24"/>
      <c r="S23" s="513"/>
      <c r="T23" s="527"/>
      <c r="U23" s="523"/>
      <c r="V23" s="524"/>
      <c r="W23" s="513"/>
      <c r="X23" s="514"/>
      <c r="Y23" s="521"/>
      <c r="Z23" s="24"/>
      <c r="AA23" s="513"/>
      <c r="AB23" s="527"/>
      <c r="AC23" s="537"/>
      <c r="AD23" s="538"/>
      <c r="AE23" s="513"/>
      <c r="AF23" s="514"/>
      <c r="AG23" s="521"/>
      <c r="AH23" s="9"/>
      <c r="AI23" s="513"/>
      <c r="AJ23" s="527"/>
      <c r="AK23" s="537"/>
      <c r="AL23" s="538"/>
      <c r="AM23" s="513"/>
      <c r="AN23" s="514"/>
      <c r="AO23" s="521"/>
      <c r="AP23" s="9"/>
      <c r="AQ23" s="513"/>
      <c r="AR23" s="527"/>
      <c r="AS23" s="537"/>
      <c r="AT23" s="538"/>
      <c r="AU23" s="513"/>
      <c r="AV23" s="514"/>
      <c r="AW23" s="521"/>
      <c r="AX23" s="9"/>
      <c r="AY23" s="513"/>
      <c r="AZ23" s="527"/>
      <c r="BA23" s="537"/>
      <c r="BB23" s="538"/>
      <c r="BC23" s="513"/>
      <c r="BD23" s="514"/>
    </row>
    <row r="24" spans="1:58" ht="20.100000000000001" customHeight="1">
      <c r="A24" s="522"/>
      <c r="B24" s="24"/>
      <c r="C24" s="513"/>
      <c r="D24" s="527"/>
      <c r="E24" s="523"/>
      <c r="F24" s="524"/>
      <c r="G24" s="513"/>
      <c r="H24" s="514"/>
      <c r="I24" s="522"/>
      <c r="J24" s="24"/>
      <c r="K24" s="513"/>
      <c r="L24" s="527"/>
      <c r="M24" s="523"/>
      <c r="N24" s="524"/>
      <c r="O24" s="513"/>
      <c r="P24" s="514"/>
      <c r="Q24" s="522"/>
      <c r="R24" s="24"/>
      <c r="S24" s="513"/>
      <c r="T24" s="527"/>
      <c r="U24" s="523"/>
      <c r="V24" s="524"/>
      <c r="W24" s="513"/>
      <c r="X24" s="514"/>
      <c r="Y24" s="522"/>
      <c r="Z24" s="24"/>
      <c r="AA24" s="513"/>
      <c r="AB24" s="527"/>
      <c r="AC24" s="537"/>
      <c r="AD24" s="538"/>
      <c r="AE24" s="513"/>
      <c r="AF24" s="514"/>
      <c r="AG24" s="522"/>
      <c r="AH24" s="9"/>
      <c r="AI24" s="513"/>
      <c r="AJ24" s="527"/>
      <c r="AK24" s="537"/>
      <c r="AL24" s="538"/>
      <c r="AM24" s="513"/>
      <c r="AN24" s="514"/>
      <c r="AO24" s="522"/>
      <c r="AP24" s="9"/>
      <c r="AQ24" s="513"/>
      <c r="AR24" s="527"/>
      <c r="AS24" s="537"/>
      <c r="AT24" s="538"/>
      <c r="AU24" s="513"/>
      <c r="AV24" s="514"/>
      <c r="AW24" s="522"/>
      <c r="AX24" s="9"/>
      <c r="AY24" s="513"/>
      <c r="AZ24" s="527"/>
      <c r="BA24" s="537"/>
      <c r="BB24" s="538"/>
      <c r="BC24" s="513"/>
      <c r="BD24" s="514"/>
    </row>
    <row r="25" spans="1:58" ht="20.100000000000001" customHeight="1">
      <c r="A25" s="561" t="s">
        <v>33</v>
      </c>
      <c r="B25" s="550"/>
      <c r="C25" s="528" t="e">
        <f>SUM(C12:D24)</f>
        <v>#REF!</v>
      </c>
      <c r="D25" s="528"/>
      <c r="E25" s="509" t="s">
        <v>34</v>
      </c>
      <c r="F25" s="510"/>
      <c r="G25" s="528" t="e">
        <f>SUM(G12:H24)</f>
        <v>#REF!</v>
      </c>
      <c r="H25" s="529"/>
      <c r="I25" s="561" t="s">
        <v>33</v>
      </c>
      <c r="J25" s="550"/>
      <c r="K25" s="528" t="e">
        <f>SUM(K12:L24)</f>
        <v>#REF!</v>
      </c>
      <c r="L25" s="528"/>
      <c r="M25" s="509" t="s">
        <v>34</v>
      </c>
      <c r="N25" s="510"/>
      <c r="O25" s="528" t="e">
        <f>SUM(O12:P24)</f>
        <v>#REF!</v>
      </c>
      <c r="P25" s="529"/>
      <c r="Q25" s="561" t="s">
        <v>33</v>
      </c>
      <c r="R25" s="550"/>
      <c r="S25" s="528" t="e">
        <f>SUM(S12:T24)</f>
        <v>#REF!</v>
      </c>
      <c r="T25" s="528"/>
      <c r="U25" s="509" t="s">
        <v>34</v>
      </c>
      <c r="V25" s="510"/>
      <c r="W25" s="528" t="e">
        <f>SUM(W12:X24)</f>
        <v>#REF!</v>
      </c>
      <c r="X25" s="529"/>
      <c r="Y25" s="561" t="s">
        <v>33</v>
      </c>
      <c r="Z25" s="550"/>
      <c r="AA25" s="528" t="e">
        <f>SUM(AA12:AB24)</f>
        <v>#REF!</v>
      </c>
      <c r="AB25" s="528"/>
      <c r="AC25" s="509" t="s">
        <v>34</v>
      </c>
      <c r="AD25" s="510"/>
      <c r="AE25" s="528" t="e">
        <f>SUM(AE12:AF24)</f>
        <v>#REF!</v>
      </c>
      <c r="AF25" s="529"/>
      <c r="AG25" s="534" t="s">
        <v>33</v>
      </c>
      <c r="AH25" s="505"/>
      <c r="AI25" s="503" t="e">
        <f>SUM(AI12:AJ24)</f>
        <v>#N/A</v>
      </c>
      <c r="AJ25" s="503"/>
      <c r="AK25" s="511" t="s">
        <v>34</v>
      </c>
      <c r="AL25" s="512"/>
      <c r="AM25" s="503" t="e">
        <f>SUM(AM12:AN24)</f>
        <v>#N/A</v>
      </c>
      <c r="AN25" s="539"/>
      <c r="AO25" s="534" t="s">
        <v>33</v>
      </c>
      <c r="AP25" s="505"/>
      <c r="AQ25" s="503" t="e">
        <f>SUM(AQ12:AR24)</f>
        <v>#N/A</v>
      </c>
      <c r="AR25" s="503"/>
      <c r="AS25" s="511" t="s">
        <v>34</v>
      </c>
      <c r="AT25" s="512"/>
      <c r="AU25" s="503" t="e">
        <f>SUM(AU12:AV24)</f>
        <v>#N/A</v>
      </c>
      <c r="AV25" s="539"/>
      <c r="AW25" s="534" t="s">
        <v>33</v>
      </c>
      <c r="AX25" s="505"/>
      <c r="AY25" s="503" t="e">
        <f>SUM(AY12:AZ24)</f>
        <v>#N/A</v>
      </c>
      <c r="AZ25" s="503"/>
      <c r="BA25" s="511" t="s">
        <v>34</v>
      </c>
      <c r="BB25" s="512"/>
      <c r="BC25" s="503" t="e">
        <f>SUM(BC12:BD24)</f>
        <v>#N/A</v>
      </c>
      <c r="BD25" s="539"/>
    </row>
    <row r="26" spans="1:58" ht="20.100000000000001" customHeight="1">
      <c r="A26" s="507"/>
      <c r="B26" s="508"/>
      <c r="C26" s="10"/>
      <c r="D26" s="10"/>
      <c r="E26" s="509" t="s">
        <v>35</v>
      </c>
      <c r="F26" s="510"/>
      <c r="G26" s="528" t="e">
        <f>C25-G25</f>
        <v>#REF!</v>
      </c>
      <c r="H26" s="529"/>
      <c r="I26" s="507"/>
      <c r="J26" s="508"/>
      <c r="K26" s="10"/>
      <c r="L26" s="10"/>
      <c r="M26" s="509" t="s">
        <v>35</v>
      </c>
      <c r="N26" s="510"/>
      <c r="O26" s="528" t="e">
        <f>K25-O25</f>
        <v>#REF!</v>
      </c>
      <c r="P26" s="529"/>
      <c r="Q26" s="507"/>
      <c r="R26" s="508"/>
      <c r="S26" s="10"/>
      <c r="T26" s="10"/>
      <c r="U26" s="509" t="s">
        <v>35</v>
      </c>
      <c r="V26" s="510"/>
      <c r="W26" s="528" t="e">
        <f>S25-W25</f>
        <v>#REF!</v>
      </c>
      <c r="X26" s="529"/>
      <c r="Y26" s="507"/>
      <c r="Z26" s="508"/>
      <c r="AA26" s="10"/>
      <c r="AB26" s="10"/>
      <c r="AC26" s="509" t="s">
        <v>35</v>
      </c>
      <c r="AD26" s="510"/>
      <c r="AE26" s="528" t="e">
        <f>AA25-AE25</f>
        <v>#REF!</v>
      </c>
      <c r="AF26" s="529"/>
      <c r="AG26" s="507"/>
      <c r="AH26" s="508"/>
      <c r="AI26" s="10"/>
      <c r="AJ26" s="10"/>
      <c r="AK26" s="511" t="s">
        <v>35</v>
      </c>
      <c r="AL26" s="512"/>
      <c r="AM26" s="503" t="e">
        <f>AI25-AM25</f>
        <v>#N/A</v>
      </c>
      <c r="AN26" s="539"/>
      <c r="AO26" s="507"/>
      <c r="AP26" s="508"/>
      <c r="AQ26" s="10"/>
      <c r="AR26" s="10"/>
      <c r="AS26" s="511" t="s">
        <v>35</v>
      </c>
      <c r="AT26" s="512"/>
      <c r="AU26" s="503" t="e">
        <f>AQ25-AU25</f>
        <v>#N/A</v>
      </c>
      <c r="AV26" s="539"/>
      <c r="AW26" s="507"/>
      <c r="AX26" s="508"/>
      <c r="AY26" s="10"/>
      <c r="AZ26" s="10"/>
      <c r="BA26" s="511" t="s">
        <v>35</v>
      </c>
      <c r="BB26" s="512"/>
      <c r="BC26" s="503" t="e">
        <f>AY25-BC25</f>
        <v>#N/A</v>
      </c>
      <c r="BD26" s="539"/>
    </row>
    <row r="27" spans="1:58" ht="22.5" customHeight="1">
      <c r="A27" s="588" t="s">
        <v>77</v>
      </c>
      <c r="B27" s="589"/>
      <c r="C27" s="589"/>
      <c r="D27" s="589"/>
      <c r="E27" s="589"/>
      <c r="F27" s="589"/>
      <c r="G27" s="589"/>
      <c r="H27" s="590"/>
      <c r="I27" s="588" t="s">
        <v>77</v>
      </c>
      <c r="J27" s="589"/>
      <c r="K27" s="589"/>
      <c r="L27" s="589"/>
      <c r="M27" s="589"/>
      <c r="N27" s="589"/>
      <c r="O27" s="589"/>
      <c r="P27" s="590"/>
      <c r="Q27" s="588" t="s">
        <v>77</v>
      </c>
      <c r="R27" s="589"/>
      <c r="S27" s="589"/>
      <c r="T27" s="589"/>
      <c r="U27" s="589"/>
      <c r="V27" s="589"/>
      <c r="W27" s="589"/>
      <c r="X27" s="590"/>
      <c r="Y27" s="588" t="s">
        <v>77</v>
      </c>
      <c r="Z27" s="589"/>
      <c r="AA27" s="589"/>
      <c r="AB27" s="589"/>
      <c r="AC27" s="589"/>
      <c r="AD27" s="589"/>
      <c r="AE27" s="589"/>
      <c r="AF27" s="590"/>
      <c r="AG27" s="588" t="s">
        <v>77</v>
      </c>
      <c r="AH27" s="589"/>
      <c r="AI27" s="589"/>
      <c r="AJ27" s="589"/>
      <c r="AK27" s="589"/>
      <c r="AL27" s="589"/>
      <c r="AM27" s="589"/>
      <c r="AN27" s="590"/>
      <c r="AO27" s="588" t="s">
        <v>77</v>
      </c>
      <c r="AP27" s="589"/>
      <c r="AQ27" s="589"/>
      <c r="AR27" s="589"/>
      <c r="AS27" s="589"/>
      <c r="AT27" s="589"/>
      <c r="AU27" s="589"/>
      <c r="AV27" s="590"/>
      <c r="AW27" s="588" t="s">
        <v>77</v>
      </c>
      <c r="AX27" s="589"/>
      <c r="AY27" s="589"/>
      <c r="AZ27" s="589"/>
      <c r="BA27" s="589"/>
      <c r="BB27" s="589"/>
      <c r="BC27" s="589"/>
      <c r="BD27" s="590"/>
    </row>
    <row r="28" spans="1:58" ht="20.100000000000001" customHeight="1">
      <c r="A28" s="534" t="s">
        <v>36</v>
      </c>
      <c r="B28" s="505"/>
      <c r="C28" s="505"/>
      <c r="D28" s="505"/>
      <c r="E28" s="505"/>
      <c r="F28" s="505"/>
      <c r="G28" s="505"/>
      <c r="H28" s="506"/>
      <c r="I28" s="534" t="s">
        <v>36</v>
      </c>
      <c r="J28" s="505"/>
      <c r="K28" s="505"/>
      <c r="L28" s="505"/>
      <c r="M28" s="505"/>
      <c r="N28" s="505"/>
      <c r="O28" s="505"/>
      <c r="P28" s="506"/>
      <c r="Q28" s="534" t="s">
        <v>36</v>
      </c>
      <c r="R28" s="505"/>
      <c r="S28" s="505"/>
      <c r="T28" s="505"/>
      <c r="U28" s="505"/>
      <c r="V28" s="505"/>
      <c r="W28" s="505"/>
      <c r="X28" s="506"/>
      <c r="Y28" s="534" t="s">
        <v>36</v>
      </c>
      <c r="Z28" s="505"/>
      <c r="AA28" s="505"/>
      <c r="AB28" s="505"/>
      <c r="AC28" s="505"/>
      <c r="AD28" s="505"/>
      <c r="AE28" s="505"/>
      <c r="AF28" s="506"/>
      <c r="AG28" s="534" t="s">
        <v>36</v>
      </c>
      <c r="AH28" s="505"/>
      <c r="AI28" s="505"/>
      <c r="AJ28" s="505"/>
      <c r="AK28" s="505"/>
      <c r="AL28" s="505"/>
      <c r="AM28" s="505"/>
      <c r="AN28" s="506"/>
      <c r="AO28" s="534" t="s">
        <v>36</v>
      </c>
      <c r="AP28" s="505"/>
      <c r="AQ28" s="505"/>
      <c r="AR28" s="505"/>
      <c r="AS28" s="505"/>
      <c r="AT28" s="505"/>
      <c r="AU28" s="505"/>
      <c r="AV28" s="506"/>
      <c r="AW28" s="534" t="s">
        <v>36</v>
      </c>
      <c r="AX28" s="505"/>
      <c r="AY28" s="505"/>
      <c r="AZ28" s="505"/>
      <c r="BA28" s="505"/>
      <c r="BB28" s="505"/>
      <c r="BC28" s="505"/>
      <c r="BD28" s="506"/>
    </row>
    <row r="29" spans="1:58" ht="20.100000000000001" customHeight="1">
      <c r="A29" s="501" t="s">
        <v>37</v>
      </c>
      <c r="B29" s="502"/>
      <c r="C29" s="505" t="s">
        <v>38</v>
      </c>
      <c r="D29" s="505"/>
      <c r="E29" s="505"/>
      <c r="F29" s="505"/>
      <c r="G29" s="505" t="s">
        <v>39</v>
      </c>
      <c r="H29" s="506"/>
      <c r="I29" s="501" t="s">
        <v>37</v>
      </c>
      <c r="J29" s="502"/>
      <c r="K29" s="505" t="s">
        <v>38</v>
      </c>
      <c r="L29" s="505"/>
      <c r="M29" s="505"/>
      <c r="N29" s="505"/>
      <c r="O29" s="505" t="s">
        <v>39</v>
      </c>
      <c r="P29" s="506"/>
      <c r="Q29" s="501" t="s">
        <v>37</v>
      </c>
      <c r="R29" s="502"/>
      <c r="S29" s="505" t="s">
        <v>38</v>
      </c>
      <c r="T29" s="505"/>
      <c r="U29" s="505"/>
      <c r="V29" s="505"/>
      <c r="W29" s="505" t="s">
        <v>39</v>
      </c>
      <c r="X29" s="506"/>
      <c r="Y29" s="501" t="s">
        <v>37</v>
      </c>
      <c r="Z29" s="502"/>
      <c r="AA29" s="505" t="s">
        <v>38</v>
      </c>
      <c r="AB29" s="505"/>
      <c r="AC29" s="505"/>
      <c r="AD29" s="505"/>
      <c r="AE29" s="505" t="s">
        <v>39</v>
      </c>
      <c r="AF29" s="506"/>
      <c r="AG29" s="534" t="s">
        <v>37</v>
      </c>
      <c r="AH29" s="505"/>
      <c r="AI29" s="505" t="s">
        <v>38</v>
      </c>
      <c r="AJ29" s="505"/>
      <c r="AK29" s="505"/>
      <c r="AL29" s="505"/>
      <c r="AM29" s="505" t="s">
        <v>39</v>
      </c>
      <c r="AN29" s="506"/>
      <c r="AO29" s="534" t="s">
        <v>37</v>
      </c>
      <c r="AP29" s="505"/>
      <c r="AQ29" s="505" t="s">
        <v>38</v>
      </c>
      <c r="AR29" s="505"/>
      <c r="AS29" s="505"/>
      <c r="AT29" s="505"/>
      <c r="AU29" s="505" t="s">
        <v>39</v>
      </c>
      <c r="AV29" s="506"/>
      <c r="AW29" s="534" t="s">
        <v>37</v>
      </c>
      <c r="AX29" s="505"/>
      <c r="AY29" s="505" t="s">
        <v>38</v>
      </c>
      <c r="AZ29" s="505"/>
      <c r="BA29" s="505"/>
      <c r="BB29" s="505"/>
      <c r="BC29" s="505" t="s">
        <v>39</v>
      </c>
      <c r="BD29" s="506"/>
    </row>
    <row r="30" spans="1:58" ht="20.100000000000001" customHeight="1">
      <c r="A30" s="501" t="s">
        <v>65</v>
      </c>
      <c r="B30" s="502"/>
      <c r="C30" s="511" t="s">
        <v>85</v>
      </c>
      <c r="D30" s="499"/>
      <c r="E30" s="499"/>
      <c r="F30" s="512"/>
      <c r="G30" s="503" t="e">
        <f>C12</f>
        <v>#REF!</v>
      </c>
      <c r="H30" s="504"/>
      <c r="I30" s="501" t="s">
        <v>65</v>
      </c>
      <c r="J30" s="502"/>
      <c r="K30" s="511" t="s">
        <v>85</v>
      </c>
      <c r="L30" s="499"/>
      <c r="M30" s="499"/>
      <c r="N30" s="512"/>
      <c r="O30" s="503" t="e">
        <f>K12</f>
        <v>#REF!</v>
      </c>
      <c r="P30" s="504"/>
      <c r="Q30" s="501" t="s">
        <v>65</v>
      </c>
      <c r="R30" s="502"/>
      <c r="S30" s="511" t="s">
        <v>85</v>
      </c>
      <c r="T30" s="499"/>
      <c r="U30" s="499"/>
      <c r="V30" s="512"/>
      <c r="W30" s="503" t="e">
        <f>S12</f>
        <v>#REF!</v>
      </c>
      <c r="X30" s="504"/>
      <c r="Y30" s="501" t="s">
        <v>65</v>
      </c>
      <c r="Z30" s="502"/>
      <c r="AA30" s="511" t="s">
        <v>85</v>
      </c>
      <c r="AB30" s="499"/>
      <c r="AC30" s="499"/>
      <c r="AD30" s="512"/>
      <c r="AE30" s="503" t="e">
        <f>AA12</f>
        <v>#REF!</v>
      </c>
      <c r="AF30" s="504"/>
      <c r="AG30" s="534" t="s">
        <v>57</v>
      </c>
      <c r="AH30" s="505"/>
      <c r="AI30" s="511" t="s">
        <v>58</v>
      </c>
      <c r="AJ30" s="499"/>
      <c r="AK30" s="499"/>
      <c r="AL30" s="512"/>
      <c r="AM30" s="503" t="e">
        <f>AI15</f>
        <v>#N/A</v>
      </c>
      <c r="AN30" s="504"/>
      <c r="AO30" s="534" t="s">
        <v>57</v>
      </c>
      <c r="AP30" s="505"/>
      <c r="AQ30" s="511" t="s">
        <v>58</v>
      </c>
      <c r="AR30" s="499"/>
      <c r="AS30" s="499"/>
      <c r="AT30" s="512"/>
      <c r="AU30" s="503" t="e">
        <f>BC30</f>
        <v>#N/A</v>
      </c>
      <c r="AV30" s="504"/>
      <c r="AW30" s="534" t="s">
        <v>57</v>
      </c>
      <c r="AX30" s="505"/>
      <c r="AY30" s="511" t="s">
        <v>58</v>
      </c>
      <c r="AZ30" s="499"/>
      <c r="BA30" s="499"/>
      <c r="BB30" s="512"/>
      <c r="BC30" s="503" t="e">
        <f>AY15</f>
        <v>#N/A</v>
      </c>
      <c r="BD30" s="504"/>
    </row>
    <row r="31" spans="1:58" ht="20.100000000000001" customHeight="1">
      <c r="A31" s="501" t="s">
        <v>57</v>
      </c>
      <c r="B31" s="502"/>
      <c r="C31" s="511" t="s">
        <v>86</v>
      </c>
      <c r="D31" s="499"/>
      <c r="E31" s="499"/>
      <c r="F31" s="512"/>
      <c r="G31" s="503" t="e">
        <f>C15</f>
        <v>#REF!</v>
      </c>
      <c r="H31" s="504"/>
      <c r="I31" s="501" t="s">
        <v>57</v>
      </c>
      <c r="J31" s="502"/>
      <c r="K31" s="511" t="s">
        <v>86</v>
      </c>
      <c r="L31" s="499"/>
      <c r="M31" s="499"/>
      <c r="N31" s="512"/>
      <c r="O31" s="503" t="e">
        <f>K15</f>
        <v>#REF!</v>
      </c>
      <c r="P31" s="504"/>
      <c r="Q31" s="501" t="s">
        <v>57</v>
      </c>
      <c r="R31" s="502"/>
      <c r="S31" s="511" t="s">
        <v>86</v>
      </c>
      <c r="T31" s="499"/>
      <c r="U31" s="499"/>
      <c r="V31" s="512"/>
      <c r="W31" s="503" t="e">
        <f>S15</f>
        <v>#REF!</v>
      </c>
      <c r="X31" s="504"/>
      <c r="Y31" s="501" t="s">
        <v>57</v>
      </c>
      <c r="Z31" s="502"/>
      <c r="AA31" s="511" t="s">
        <v>86</v>
      </c>
      <c r="AB31" s="499"/>
      <c r="AC31" s="499"/>
      <c r="AD31" s="512"/>
      <c r="AE31" s="503">
        <f>AA15</f>
        <v>0</v>
      </c>
      <c r="AF31" s="504"/>
      <c r="AG31" s="534"/>
      <c r="AH31" s="505"/>
      <c r="AI31" s="11"/>
      <c r="AJ31" s="7"/>
      <c r="AK31" s="7"/>
      <c r="AL31" s="9"/>
      <c r="AM31" s="587"/>
      <c r="AN31" s="504"/>
      <c r="AO31" s="534"/>
      <c r="AP31" s="505"/>
      <c r="AQ31" s="11"/>
      <c r="AR31" s="7"/>
      <c r="AS31" s="7"/>
      <c r="AT31" s="9"/>
      <c r="AU31" s="587"/>
      <c r="AV31" s="504"/>
      <c r="AW31" s="534"/>
      <c r="AX31" s="505"/>
      <c r="AY31" s="11"/>
      <c r="AZ31" s="7"/>
      <c r="BA31" s="7"/>
      <c r="BB31" s="9"/>
      <c r="BC31" s="587"/>
      <c r="BD31" s="504"/>
    </row>
    <row r="32" spans="1:58" ht="20.100000000000001" customHeight="1">
      <c r="A32" s="501" t="s">
        <v>70</v>
      </c>
      <c r="B32" s="502"/>
      <c r="C32" s="511" t="s">
        <v>86</v>
      </c>
      <c r="D32" s="499"/>
      <c r="E32" s="499"/>
      <c r="F32" s="512"/>
      <c r="G32" s="503" t="e">
        <f>C16</f>
        <v>#REF!</v>
      </c>
      <c r="H32" s="504"/>
      <c r="I32" s="501" t="s">
        <v>70</v>
      </c>
      <c r="J32" s="502"/>
      <c r="K32" s="511" t="s">
        <v>86</v>
      </c>
      <c r="L32" s="499"/>
      <c r="M32" s="499"/>
      <c r="N32" s="512"/>
      <c r="O32" s="503" t="e">
        <f>K16</f>
        <v>#REF!</v>
      </c>
      <c r="P32" s="504"/>
      <c r="Q32" s="501" t="s">
        <v>70</v>
      </c>
      <c r="R32" s="502"/>
      <c r="S32" s="511" t="s">
        <v>86</v>
      </c>
      <c r="T32" s="499"/>
      <c r="U32" s="499"/>
      <c r="V32" s="512"/>
      <c r="W32" s="503" t="e">
        <f>S16</f>
        <v>#REF!</v>
      </c>
      <c r="X32" s="504"/>
      <c r="Y32" s="501"/>
      <c r="Z32" s="502"/>
      <c r="AA32" s="11"/>
      <c r="AB32" s="7"/>
      <c r="AC32" s="7"/>
      <c r="AD32" s="9"/>
      <c r="AE32" s="587"/>
      <c r="AF32" s="504"/>
      <c r="AG32" s="534"/>
      <c r="AH32" s="505"/>
      <c r="AI32" s="11"/>
      <c r="AJ32" s="7"/>
      <c r="AK32" s="7"/>
      <c r="AL32" s="9"/>
      <c r="AM32" s="587"/>
      <c r="AN32" s="504"/>
      <c r="AO32" s="534"/>
      <c r="AP32" s="505"/>
      <c r="AQ32" s="11"/>
      <c r="AR32" s="7"/>
      <c r="AS32" s="7"/>
      <c r="AT32" s="9"/>
      <c r="AU32" s="587"/>
      <c r="AV32" s="504"/>
      <c r="AW32" s="534"/>
      <c r="AX32" s="505"/>
      <c r="AY32" s="11"/>
      <c r="AZ32" s="7"/>
      <c r="BA32" s="7"/>
      <c r="BB32" s="9"/>
      <c r="BC32" s="587"/>
      <c r="BD32" s="504"/>
    </row>
    <row r="33" spans="1:56" ht="20.100000000000001" customHeight="1">
      <c r="A33" s="564"/>
      <c r="B33" s="512"/>
      <c r="C33" s="511"/>
      <c r="D33" s="499"/>
      <c r="E33" s="499"/>
      <c r="F33" s="512"/>
      <c r="G33" s="597"/>
      <c r="H33" s="598"/>
      <c r="I33" s="564"/>
      <c r="J33" s="512"/>
      <c r="K33" s="511"/>
      <c r="L33" s="499"/>
      <c r="M33" s="499"/>
      <c r="N33" s="512"/>
      <c r="O33" s="597"/>
      <c r="P33" s="598"/>
      <c r="Q33" s="564"/>
      <c r="R33" s="512"/>
      <c r="S33" s="511"/>
      <c r="T33" s="499"/>
      <c r="U33" s="499"/>
      <c r="V33" s="512"/>
      <c r="W33" s="597"/>
      <c r="X33" s="598"/>
      <c r="Y33" s="544"/>
      <c r="Z33" s="526"/>
      <c r="AA33" s="11"/>
      <c r="AB33" s="7"/>
      <c r="AC33" s="7"/>
      <c r="AD33" s="9"/>
      <c r="AE33" s="537"/>
      <c r="AF33" s="565"/>
      <c r="AG33" s="564"/>
      <c r="AH33" s="512"/>
      <c r="AI33" s="11"/>
      <c r="AJ33" s="7"/>
      <c r="AK33" s="7"/>
      <c r="AL33" s="9"/>
      <c r="AM33" s="537"/>
      <c r="AN33" s="565"/>
      <c r="AO33" s="564"/>
      <c r="AP33" s="512"/>
      <c r="AQ33" s="11"/>
      <c r="AR33" s="7"/>
      <c r="AS33" s="7"/>
      <c r="AT33" s="9"/>
      <c r="AU33" s="537"/>
      <c r="AV33" s="565"/>
      <c r="AW33" s="564"/>
      <c r="AX33" s="512"/>
      <c r="AY33" s="11"/>
      <c r="AZ33" s="7"/>
      <c r="BA33" s="7"/>
      <c r="BB33" s="9"/>
      <c r="BC33" s="537"/>
      <c r="BD33" s="565"/>
    </row>
    <row r="34" spans="1:56" ht="32.25" customHeight="1">
      <c r="A34" s="498" t="s">
        <v>59</v>
      </c>
      <c r="B34" s="499"/>
      <c r="C34" s="499"/>
      <c r="D34" s="499"/>
      <c r="E34" s="499"/>
      <c r="F34" s="499"/>
      <c r="G34" s="499"/>
      <c r="H34" s="500"/>
      <c r="I34" s="498" t="s">
        <v>59</v>
      </c>
      <c r="J34" s="499"/>
      <c r="K34" s="499"/>
      <c r="L34" s="499"/>
      <c r="M34" s="499"/>
      <c r="N34" s="499"/>
      <c r="O34" s="499"/>
      <c r="P34" s="500"/>
      <c r="Q34" s="498" t="s">
        <v>59</v>
      </c>
      <c r="R34" s="499"/>
      <c r="S34" s="499"/>
      <c r="T34" s="499"/>
      <c r="U34" s="499"/>
      <c r="V34" s="499"/>
      <c r="W34" s="499"/>
      <c r="X34" s="500"/>
      <c r="Y34" s="498" t="s">
        <v>59</v>
      </c>
      <c r="Z34" s="499"/>
      <c r="AA34" s="499"/>
      <c r="AB34" s="499"/>
      <c r="AC34" s="499"/>
      <c r="AD34" s="499"/>
      <c r="AE34" s="499"/>
      <c r="AF34" s="500"/>
      <c r="AG34" s="498" t="s">
        <v>59</v>
      </c>
      <c r="AH34" s="499"/>
      <c r="AI34" s="499"/>
      <c r="AJ34" s="499"/>
      <c r="AK34" s="499"/>
      <c r="AL34" s="499"/>
      <c r="AM34" s="499"/>
      <c r="AN34" s="500"/>
      <c r="AO34" s="498" t="s">
        <v>59</v>
      </c>
      <c r="AP34" s="499"/>
      <c r="AQ34" s="499"/>
      <c r="AR34" s="499"/>
      <c r="AS34" s="499"/>
      <c r="AT34" s="499"/>
      <c r="AU34" s="499"/>
      <c r="AV34" s="500"/>
      <c r="AW34" s="498" t="s">
        <v>59</v>
      </c>
      <c r="AX34" s="499"/>
      <c r="AY34" s="499"/>
      <c r="AZ34" s="499"/>
      <c r="BA34" s="499"/>
      <c r="BB34" s="499"/>
      <c r="BC34" s="499"/>
      <c r="BD34" s="500"/>
    </row>
    <row r="35" spans="1:56" s="12" customFormat="1" ht="17.25" customHeight="1"/>
  </sheetData>
  <mergeCells count="573">
    <mergeCell ref="A27:H27"/>
    <mergeCell ref="I27:P27"/>
    <mergeCell ref="Q27:X27"/>
    <mergeCell ref="Y27:AF27"/>
    <mergeCell ref="AG27:AN27"/>
    <mergeCell ref="AO27:AV27"/>
    <mergeCell ref="AW27:BD27"/>
    <mergeCell ref="AW1:BD1"/>
    <mergeCell ref="A3:H3"/>
    <mergeCell ref="I3:P3"/>
    <mergeCell ref="Q3:X3"/>
    <mergeCell ref="Y3:AF3"/>
    <mergeCell ref="AG3:AN3"/>
    <mergeCell ref="AO3:AV3"/>
    <mergeCell ref="AW3:BD3"/>
    <mergeCell ref="A1:H1"/>
    <mergeCell ref="I1:P1"/>
    <mergeCell ref="Q1:X1"/>
    <mergeCell ref="Y1:AF1"/>
    <mergeCell ref="AG1:AN1"/>
    <mergeCell ref="AO1:AV1"/>
    <mergeCell ref="A6:B6"/>
    <mergeCell ref="C6:D6"/>
    <mergeCell ref="E6:F6"/>
    <mergeCell ref="G6:H6"/>
    <mergeCell ref="I6:J6"/>
    <mergeCell ref="K6:L6"/>
    <mergeCell ref="M6:N6"/>
    <mergeCell ref="O6:P6"/>
    <mergeCell ref="Y5:Z5"/>
    <mergeCell ref="A5:B5"/>
    <mergeCell ref="C5:H5"/>
    <mergeCell ref="I5:J5"/>
    <mergeCell ref="K5:P5"/>
    <mergeCell ref="Q5:R5"/>
    <mergeCell ref="S5:X5"/>
    <mergeCell ref="AM6:AN6"/>
    <mergeCell ref="Q6:R6"/>
    <mergeCell ref="S6:T6"/>
    <mergeCell ref="U6:V6"/>
    <mergeCell ref="W6:X6"/>
    <mergeCell ref="Y6:Z6"/>
    <mergeCell ref="AA6:AB6"/>
    <mergeCell ref="AW5:AX5"/>
    <mergeCell ref="AY5:BD5"/>
    <mergeCell ref="AA5:AF5"/>
    <mergeCell ref="AG5:AH5"/>
    <mergeCell ref="AI5:AN5"/>
    <mergeCell ref="AO5:AP5"/>
    <mergeCell ref="AQ5:AV5"/>
    <mergeCell ref="W7:X7"/>
    <mergeCell ref="Y7:Z7"/>
    <mergeCell ref="AA7:AB7"/>
    <mergeCell ref="BA6:BB6"/>
    <mergeCell ref="BC6:BD6"/>
    <mergeCell ref="A7:B7"/>
    <mergeCell ref="C7:D7"/>
    <mergeCell ref="E7:F7"/>
    <mergeCell ref="G7:H7"/>
    <mergeCell ref="I7:J7"/>
    <mergeCell ref="K7:L7"/>
    <mergeCell ref="M7:N7"/>
    <mergeCell ref="O7:P7"/>
    <mergeCell ref="AO6:AP6"/>
    <mergeCell ref="AQ6:AR6"/>
    <mergeCell ref="AS6:AT6"/>
    <mergeCell ref="AU6:AV6"/>
    <mergeCell ref="AW6:AX6"/>
    <mergeCell ref="AY6:AZ6"/>
    <mergeCell ref="AC6:AD6"/>
    <mergeCell ref="AE6:AF6"/>
    <mergeCell ref="AG6:AH6"/>
    <mergeCell ref="AI6:AJ6"/>
    <mergeCell ref="AK6:AL6"/>
    <mergeCell ref="BA7:BB7"/>
    <mergeCell ref="BC7:BD7"/>
    <mergeCell ref="C8:D8"/>
    <mergeCell ref="K8:L8"/>
    <mergeCell ref="S8:T8"/>
    <mergeCell ref="AA8:AB8"/>
    <mergeCell ref="AI8:AJ8"/>
    <mergeCell ref="AQ8:AR8"/>
    <mergeCell ref="AY8:AZ8"/>
    <mergeCell ref="AO7:AP7"/>
    <mergeCell ref="AQ7:AR7"/>
    <mergeCell ref="AS7:AT7"/>
    <mergeCell ref="AU7:AV7"/>
    <mergeCell ref="AW7:AX7"/>
    <mergeCell ref="AY7:AZ7"/>
    <mergeCell ref="AC7:AD7"/>
    <mergeCell ref="AE7:AF7"/>
    <mergeCell ref="AG7:AH7"/>
    <mergeCell ref="AI7:AJ7"/>
    <mergeCell ref="AK7:AL7"/>
    <mergeCell ref="AM7:AN7"/>
    <mergeCell ref="Q7:R7"/>
    <mergeCell ref="S7:T7"/>
    <mergeCell ref="U7:V7"/>
    <mergeCell ref="A11:B11"/>
    <mergeCell ref="C11:D11"/>
    <mergeCell ref="E11:F11"/>
    <mergeCell ref="G11:H11"/>
    <mergeCell ref="I11:J11"/>
    <mergeCell ref="AW9:BD9"/>
    <mergeCell ref="A10:D10"/>
    <mergeCell ref="E10:H10"/>
    <mergeCell ref="I10:L10"/>
    <mergeCell ref="M10:P10"/>
    <mergeCell ref="Q10:T10"/>
    <mergeCell ref="U10:X10"/>
    <mergeCell ref="Y10:AB10"/>
    <mergeCell ref="AC10:AF10"/>
    <mergeCell ref="AG10:AJ10"/>
    <mergeCell ref="A9:H9"/>
    <mergeCell ref="I9:P9"/>
    <mergeCell ref="Q9:X9"/>
    <mergeCell ref="Y9:AF9"/>
    <mergeCell ref="AG9:AN9"/>
    <mergeCell ref="AO9:AV9"/>
    <mergeCell ref="O11:P11"/>
    <mergeCell ref="Q11:R11"/>
    <mergeCell ref="S11:T11"/>
    <mergeCell ref="AK10:AN10"/>
    <mergeCell ref="AO10:AR10"/>
    <mergeCell ref="AS10:AV10"/>
    <mergeCell ref="AW10:AZ10"/>
    <mergeCell ref="BA10:BD10"/>
    <mergeCell ref="AU11:AV11"/>
    <mergeCell ref="AW11:AX11"/>
    <mergeCell ref="AY11:AZ11"/>
    <mergeCell ref="BA11:BB11"/>
    <mergeCell ref="BC11:BD11"/>
    <mergeCell ref="AQ11:AR11"/>
    <mergeCell ref="AS11:AT11"/>
    <mergeCell ref="K11:L11"/>
    <mergeCell ref="M11:N11"/>
    <mergeCell ref="AE12:AF12"/>
    <mergeCell ref="AG12:AG19"/>
    <mergeCell ref="W13:X13"/>
    <mergeCell ref="AA13:AB13"/>
    <mergeCell ref="AC13:AD13"/>
    <mergeCell ref="AE13:AF13"/>
    <mergeCell ref="K12:L12"/>
    <mergeCell ref="U11:V11"/>
    <mergeCell ref="M12:N12"/>
    <mergeCell ref="O12:P12"/>
    <mergeCell ref="Q12:Q19"/>
    <mergeCell ref="S12:T12"/>
    <mergeCell ref="U12:V12"/>
    <mergeCell ref="O13:P13"/>
    <mergeCell ref="S13:T13"/>
    <mergeCell ref="U13:V13"/>
    <mergeCell ref="O14:P14"/>
    <mergeCell ref="AE14:AF14"/>
    <mergeCell ref="AA16:AB16"/>
    <mergeCell ref="AC16:AD16"/>
    <mergeCell ref="AE16:AF16"/>
    <mergeCell ref="K18:L18"/>
    <mergeCell ref="AI11:AJ11"/>
    <mergeCell ref="AK11:AL11"/>
    <mergeCell ref="AM11:AN11"/>
    <mergeCell ref="AO11:AP11"/>
    <mergeCell ref="W11:X11"/>
    <mergeCell ref="Y11:Z11"/>
    <mergeCell ref="AA11:AB11"/>
    <mergeCell ref="AC11:AD11"/>
    <mergeCell ref="AE11:AF11"/>
    <mergeCell ref="AG11:AH11"/>
    <mergeCell ref="AU12:AV12"/>
    <mergeCell ref="AW12:AW19"/>
    <mergeCell ref="AY12:AZ12"/>
    <mergeCell ref="BA12:BB12"/>
    <mergeCell ref="BC12:BD12"/>
    <mergeCell ref="C13:D13"/>
    <mergeCell ref="E13:F13"/>
    <mergeCell ref="G13:H13"/>
    <mergeCell ref="K13:L13"/>
    <mergeCell ref="M13:N13"/>
    <mergeCell ref="AI12:AJ12"/>
    <mergeCell ref="AK12:AL12"/>
    <mergeCell ref="AM12:AN12"/>
    <mergeCell ref="AO12:AO19"/>
    <mergeCell ref="AQ12:AR12"/>
    <mergeCell ref="AS12:AT12"/>
    <mergeCell ref="AI13:AJ13"/>
    <mergeCell ref="AK13:AL13"/>
    <mergeCell ref="AM13:AN13"/>
    <mergeCell ref="AQ13:AR13"/>
    <mergeCell ref="W12:X12"/>
    <mergeCell ref="Y12:Y19"/>
    <mergeCell ref="AA12:AB12"/>
    <mergeCell ref="AC12:AD12"/>
    <mergeCell ref="AS13:AT13"/>
    <mergeCell ref="AU13:AV13"/>
    <mergeCell ref="AY13:AZ13"/>
    <mergeCell ref="BA13:BB13"/>
    <mergeCell ref="BC13:BD13"/>
    <mergeCell ref="C14:D14"/>
    <mergeCell ref="E14:F14"/>
    <mergeCell ref="G14:H14"/>
    <mergeCell ref="K14:L14"/>
    <mergeCell ref="M14:N14"/>
    <mergeCell ref="I12:I19"/>
    <mergeCell ref="AC15:AD15"/>
    <mergeCell ref="AE15:AF15"/>
    <mergeCell ref="AI15:AJ15"/>
    <mergeCell ref="AY14:AZ14"/>
    <mergeCell ref="BA14:BB14"/>
    <mergeCell ref="BC14:BD14"/>
    <mergeCell ref="C15:D15"/>
    <mergeCell ref="E15:F15"/>
    <mergeCell ref="G15:H15"/>
    <mergeCell ref="K15:L15"/>
    <mergeCell ref="M15:N15"/>
    <mergeCell ref="O15:P15"/>
    <mergeCell ref="S15:T15"/>
    <mergeCell ref="AI14:AJ14"/>
    <mergeCell ref="AK14:AL14"/>
    <mergeCell ref="AM14:AN14"/>
    <mergeCell ref="AQ14:AR14"/>
    <mergeCell ref="AS14:AT14"/>
    <mergeCell ref="AU14:AV14"/>
    <mergeCell ref="S14:T14"/>
    <mergeCell ref="U14:V14"/>
    <mergeCell ref="W14:X14"/>
    <mergeCell ref="AA14:AB14"/>
    <mergeCell ref="AC14:AD14"/>
    <mergeCell ref="AI16:AJ16"/>
    <mergeCell ref="AK16:AL16"/>
    <mergeCell ref="BA15:BB15"/>
    <mergeCell ref="BC15:BD15"/>
    <mergeCell ref="C16:D16"/>
    <mergeCell ref="E16:F16"/>
    <mergeCell ref="G16:H16"/>
    <mergeCell ref="K16:L16"/>
    <mergeCell ref="M16:N16"/>
    <mergeCell ref="O16:P16"/>
    <mergeCell ref="S16:T16"/>
    <mergeCell ref="U16:V16"/>
    <mergeCell ref="AK15:AL15"/>
    <mergeCell ref="AM15:AN15"/>
    <mergeCell ref="AQ15:AR15"/>
    <mergeCell ref="AS15:AT15"/>
    <mergeCell ref="AU15:AV15"/>
    <mergeCell ref="AY15:AZ15"/>
    <mergeCell ref="U15:V15"/>
    <mergeCell ref="W15:X15"/>
    <mergeCell ref="AA15:AB15"/>
    <mergeCell ref="BC17:BD17"/>
    <mergeCell ref="AA17:AB17"/>
    <mergeCell ref="AC17:AD17"/>
    <mergeCell ref="AE17:AF17"/>
    <mergeCell ref="AI17:AJ17"/>
    <mergeCell ref="AK17:AL17"/>
    <mergeCell ref="AM17:AN17"/>
    <mergeCell ref="BC16:BD16"/>
    <mergeCell ref="C17:D17"/>
    <mergeCell ref="E17:F17"/>
    <mergeCell ref="G17:H17"/>
    <mergeCell ref="K17:L17"/>
    <mergeCell ref="M17:N17"/>
    <mergeCell ref="O17:P17"/>
    <mergeCell ref="S17:T17"/>
    <mergeCell ref="U17:V17"/>
    <mergeCell ref="W17:X17"/>
    <mergeCell ref="AM16:AN16"/>
    <mergeCell ref="AQ16:AR16"/>
    <mergeCell ref="AS16:AT16"/>
    <mergeCell ref="AU16:AV16"/>
    <mergeCell ref="AY16:AZ16"/>
    <mergeCell ref="BA16:BB16"/>
    <mergeCell ref="W16:X16"/>
    <mergeCell ref="M18:N18"/>
    <mergeCell ref="O18:P18"/>
    <mergeCell ref="AQ17:AR17"/>
    <mergeCell ref="AS17:AT17"/>
    <mergeCell ref="AU17:AV17"/>
    <mergeCell ref="AY17:AZ17"/>
    <mergeCell ref="BA17:BB17"/>
    <mergeCell ref="AY18:AZ18"/>
    <mergeCell ref="BA18:BB18"/>
    <mergeCell ref="BC18:BD18"/>
    <mergeCell ref="C19:D19"/>
    <mergeCell ref="E19:F19"/>
    <mergeCell ref="G19:H19"/>
    <mergeCell ref="K19:L19"/>
    <mergeCell ref="M19:N19"/>
    <mergeCell ref="O19:P19"/>
    <mergeCell ref="S19:T19"/>
    <mergeCell ref="AI18:AJ18"/>
    <mergeCell ref="AK18:AL18"/>
    <mergeCell ref="AM18:AN18"/>
    <mergeCell ref="AQ18:AR18"/>
    <mergeCell ref="AS18:AT18"/>
    <mergeCell ref="AU18:AV18"/>
    <mergeCell ref="S18:T18"/>
    <mergeCell ref="U18:V18"/>
    <mergeCell ref="W18:X18"/>
    <mergeCell ref="AA18:AB18"/>
    <mergeCell ref="AC18:AD18"/>
    <mergeCell ref="AE18:AF18"/>
    <mergeCell ref="C18:D18"/>
    <mergeCell ref="E18:F18"/>
    <mergeCell ref="BA19:BB19"/>
    <mergeCell ref="BC19:BD19"/>
    <mergeCell ref="AM19:AN19"/>
    <mergeCell ref="AQ19:AR19"/>
    <mergeCell ref="AS19:AT19"/>
    <mergeCell ref="AU19:AV19"/>
    <mergeCell ref="AY19:AZ19"/>
    <mergeCell ref="U19:V19"/>
    <mergeCell ref="W19:X19"/>
    <mergeCell ref="AA19:AB19"/>
    <mergeCell ref="AC19:AD19"/>
    <mergeCell ref="AE19:AF19"/>
    <mergeCell ref="AI19:AJ19"/>
    <mergeCell ref="AK19:AL19"/>
    <mergeCell ref="AM21:AN21"/>
    <mergeCell ref="AS21:AT21"/>
    <mergeCell ref="AU21:AV21"/>
    <mergeCell ref="AK20:AL20"/>
    <mergeCell ref="AM20:AN20"/>
    <mergeCell ref="AS20:AT20"/>
    <mergeCell ref="AU20:AV20"/>
    <mergeCell ref="E21:F21"/>
    <mergeCell ref="G21:H21"/>
    <mergeCell ref="M21:N21"/>
    <mergeCell ref="O21:P21"/>
    <mergeCell ref="U21:V21"/>
    <mergeCell ref="W21:X21"/>
    <mergeCell ref="E20:F20"/>
    <mergeCell ref="G20:H20"/>
    <mergeCell ref="M20:N20"/>
    <mergeCell ref="O20:P20"/>
    <mergeCell ref="U20:V20"/>
    <mergeCell ref="W20:X20"/>
    <mergeCell ref="AC20:AD20"/>
    <mergeCell ref="AE20:AF20"/>
    <mergeCell ref="A22:A24"/>
    <mergeCell ref="C22:D22"/>
    <mergeCell ref="E22:F22"/>
    <mergeCell ref="G22:H22"/>
    <mergeCell ref="I22:I24"/>
    <mergeCell ref="K22:L22"/>
    <mergeCell ref="AC21:AD21"/>
    <mergeCell ref="AE21:AF21"/>
    <mergeCell ref="AK21:AL21"/>
    <mergeCell ref="M22:N22"/>
    <mergeCell ref="O22:P22"/>
    <mergeCell ref="Q22:Q24"/>
    <mergeCell ref="S22:T22"/>
    <mergeCell ref="U22:V22"/>
    <mergeCell ref="W22:X22"/>
    <mergeCell ref="S23:T23"/>
    <mergeCell ref="U23:V23"/>
    <mergeCell ref="W23:X23"/>
    <mergeCell ref="S24:T24"/>
    <mergeCell ref="A12:A21"/>
    <mergeCell ref="C12:D12"/>
    <mergeCell ref="E12:F12"/>
    <mergeCell ref="G12:H12"/>
    <mergeCell ref="G18:H18"/>
    <mergeCell ref="AU22:AV22"/>
    <mergeCell ref="AK23:AL23"/>
    <mergeCell ref="AM23:AN23"/>
    <mergeCell ref="AQ23:AR23"/>
    <mergeCell ref="AS23:AT23"/>
    <mergeCell ref="Y22:Y24"/>
    <mergeCell ref="AA22:AB22"/>
    <mergeCell ref="AC22:AD22"/>
    <mergeCell ref="AE22:AF22"/>
    <mergeCell ref="AG22:AG24"/>
    <mergeCell ref="AI22:AJ22"/>
    <mergeCell ref="AA23:AB23"/>
    <mergeCell ref="AC23:AD23"/>
    <mergeCell ref="AE23:AF23"/>
    <mergeCell ref="AI23:AJ23"/>
    <mergeCell ref="AE24:AF24"/>
    <mergeCell ref="AI24:AJ24"/>
    <mergeCell ref="AU23:AV23"/>
    <mergeCell ref="AC24:AD24"/>
    <mergeCell ref="AY23:AZ23"/>
    <mergeCell ref="BA23:BB23"/>
    <mergeCell ref="BC23:BD23"/>
    <mergeCell ref="C24:D24"/>
    <mergeCell ref="E24:F24"/>
    <mergeCell ref="G24:H24"/>
    <mergeCell ref="K24:L24"/>
    <mergeCell ref="M24:N24"/>
    <mergeCell ref="O24:P24"/>
    <mergeCell ref="AW22:AW24"/>
    <mergeCell ref="AY22:AZ22"/>
    <mergeCell ref="BA22:BB22"/>
    <mergeCell ref="BC22:BD22"/>
    <mergeCell ref="C23:D23"/>
    <mergeCell ref="E23:F23"/>
    <mergeCell ref="G23:H23"/>
    <mergeCell ref="K23:L23"/>
    <mergeCell ref="M23:N23"/>
    <mergeCell ref="O23:P23"/>
    <mergeCell ref="AK22:AL22"/>
    <mergeCell ref="AM22:AN22"/>
    <mergeCell ref="AO22:AO24"/>
    <mergeCell ref="AQ22:AR22"/>
    <mergeCell ref="AS22:AT22"/>
    <mergeCell ref="S25:T25"/>
    <mergeCell ref="U25:V25"/>
    <mergeCell ref="W25:X25"/>
    <mergeCell ref="Y25:Z25"/>
    <mergeCell ref="AA25:AB25"/>
    <mergeCell ref="BA24:BB24"/>
    <mergeCell ref="BC24:BD24"/>
    <mergeCell ref="A25:B25"/>
    <mergeCell ref="C25:D25"/>
    <mergeCell ref="E25:F25"/>
    <mergeCell ref="G25:H25"/>
    <mergeCell ref="I25:J25"/>
    <mergeCell ref="K25:L25"/>
    <mergeCell ref="M25:N25"/>
    <mergeCell ref="O25:P25"/>
    <mergeCell ref="AK24:AL24"/>
    <mergeCell ref="AM24:AN24"/>
    <mergeCell ref="AQ24:AR24"/>
    <mergeCell ref="AS24:AT24"/>
    <mergeCell ref="AU24:AV24"/>
    <mergeCell ref="AY24:AZ24"/>
    <mergeCell ref="U24:V24"/>
    <mergeCell ref="W24:X24"/>
    <mergeCell ref="AA24:AB24"/>
    <mergeCell ref="AK26:AL26"/>
    <mergeCell ref="BA25:BB25"/>
    <mergeCell ref="BC25:BD25"/>
    <mergeCell ref="A26:B26"/>
    <mergeCell ref="E26:F26"/>
    <mergeCell ref="G26:H26"/>
    <mergeCell ref="I26:J26"/>
    <mergeCell ref="M26:N26"/>
    <mergeCell ref="O26:P26"/>
    <mergeCell ref="Q26:R26"/>
    <mergeCell ref="U26:V26"/>
    <mergeCell ref="AO25:AP25"/>
    <mergeCell ref="AQ25:AR25"/>
    <mergeCell ref="AS25:AT25"/>
    <mergeCell ref="AU25:AV25"/>
    <mergeCell ref="AW25:AX25"/>
    <mergeCell ref="AY25:AZ25"/>
    <mergeCell ref="AC25:AD25"/>
    <mergeCell ref="AE25:AF25"/>
    <mergeCell ref="AG25:AH25"/>
    <mergeCell ref="AI25:AJ25"/>
    <mergeCell ref="AK25:AL25"/>
    <mergeCell ref="AM25:AN25"/>
    <mergeCell ref="Q25:R25"/>
    <mergeCell ref="C29:F29"/>
    <mergeCell ref="G29:H29"/>
    <mergeCell ref="I29:J29"/>
    <mergeCell ref="K29:N29"/>
    <mergeCell ref="O29:P29"/>
    <mergeCell ref="BC26:BD26"/>
    <mergeCell ref="A28:H28"/>
    <mergeCell ref="I28:P28"/>
    <mergeCell ref="Q28:X28"/>
    <mergeCell ref="Y28:AF28"/>
    <mergeCell ref="AG28:AN28"/>
    <mergeCell ref="AO28:AV28"/>
    <mergeCell ref="AW28:BD28"/>
    <mergeCell ref="AM26:AN26"/>
    <mergeCell ref="AO26:AP26"/>
    <mergeCell ref="AS26:AT26"/>
    <mergeCell ref="AU26:AV26"/>
    <mergeCell ref="AW26:AX26"/>
    <mergeCell ref="BA26:BB26"/>
    <mergeCell ref="W26:X26"/>
    <mergeCell ref="Y26:Z26"/>
    <mergeCell ref="AC26:AD26"/>
    <mergeCell ref="AE26:AF26"/>
    <mergeCell ref="AG26:AH26"/>
    <mergeCell ref="AU31:AV31"/>
    <mergeCell ref="AW29:AX29"/>
    <mergeCell ref="AY29:BB29"/>
    <mergeCell ref="BC29:BD29"/>
    <mergeCell ref="A30:B30"/>
    <mergeCell ref="C30:F30"/>
    <mergeCell ref="G30:H30"/>
    <mergeCell ref="I30:J30"/>
    <mergeCell ref="K30:N30"/>
    <mergeCell ref="O30:P30"/>
    <mergeCell ref="Q30:R30"/>
    <mergeCell ref="AG29:AH29"/>
    <mergeCell ref="AI29:AL29"/>
    <mergeCell ref="AM29:AN29"/>
    <mergeCell ref="AO29:AP29"/>
    <mergeCell ref="AQ29:AT29"/>
    <mergeCell ref="AU29:AV29"/>
    <mergeCell ref="Q29:R29"/>
    <mergeCell ref="S29:V29"/>
    <mergeCell ref="W29:X29"/>
    <mergeCell ref="Y29:Z29"/>
    <mergeCell ref="AA29:AD29"/>
    <mergeCell ref="AE29:AF29"/>
    <mergeCell ref="A29:B29"/>
    <mergeCell ref="C32:F32"/>
    <mergeCell ref="AY30:BB30"/>
    <mergeCell ref="BC30:BD30"/>
    <mergeCell ref="A31:B31"/>
    <mergeCell ref="C31:F31"/>
    <mergeCell ref="G31:H31"/>
    <mergeCell ref="I31:J31"/>
    <mergeCell ref="K31:N31"/>
    <mergeCell ref="O31:P31"/>
    <mergeCell ref="Q31:R31"/>
    <mergeCell ref="S31:V31"/>
    <mergeCell ref="AI30:AL30"/>
    <mergeCell ref="AM30:AN30"/>
    <mergeCell ref="AO30:AP30"/>
    <mergeCell ref="AQ30:AT30"/>
    <mergeCell ref="AU30:AV30"/>
    <mergeCell ref="AW30:AX30"/>
    <mergeCell ref="S30:V30"/>
    <mergeCell ref="W30:X30"/>
    <mergeCell ref="Y30:Z30"/>
    <mergeCell ref="AA30:AD30"/>
    <mergeCell ref="AE30:AF30"/>
    <mergeCell ref="AG30:AH30"/>
    <mergeCell ref="AO31:AP31"/>
    <mergeCell ref="S33:V33"/>
    <mergeCell ref="W32:X32"/>
    <mergeCell ref="Y32:Z32"/>
    <mergeCell ref="AW31:AX31"/>
    <mergeCell ref="BC31:BD31"/>
    <mergeCell ref="A32:B32"/>
    <mergeCell ref="G32:H32"/>
    <mergeCell ref="I32:J32"/>
    <mergeCell ref="K32:N32"/>
    <mergeCell ref="O32:P32"/>
    <mergeCell ref="Q32:R32"/>
    <mergeCell ref="W31:X31"/>
    <mergeCell ref="Y31:Z31"/>
    <mergeCell ref="AA31:AD31"/>
    <mergeCell ref="AE31:AF31"/>
    <mergeCell ref="AG31:AH31"/>
    <mergeCell ref="AM31:AN31"/>
    <mergeCell ref="AU32:AV32"/>
    <mergeCell ref="AW32:AX32"/>
    <mergeCell ref="BC32:BD32"/>
    <mergeCell ref="AE32:AF32"/>
    <mergeCell ref="AG32:AH32"/>
    <mergeCell ref="AM32:AN32"/>
    <mergeCell ref="AO32:AP32"/>
    <mergeCell ref="S32:V32"/>
    <mergeCell ref="BC33:BD33"/>
    <mergeCell ref="A34:H34"/>
    <mergeCell ref="I34:P34"/>
    <mergeCell ref="Q34:X34"/>
    <mergeCell ref="Y34:AF34"/>
    <mergeCell ref="AG34:AN34"/>
    <mergeCell ref="AO34:AV34"/>
    <mergeCell ref="AW34:BD34"/>
    <mergeCell ref="AE33:AF33"/>
    <mergeCell ref="AG33:AH33"/>
    <mergeCell ref="AM33:AN33"/>
    <mergeCell ref="AO33:AP33"/>
    <mergeCell ref="AU33:AV33"/>
    <mergeCell ref="AW33:AX33"/>
    <mergeCell ref="A33:B33"/>
    <mergeCell ref="G33:H33"/>
    <mergeCell ref="I33:J33"/>
    <mergeCell ref="O33:P33"/>
    <mergeCell ref="Q33:R33"/>
    <mergeCell ref="W33:X33"/>
    <mergeCell ref="Y33:Z33"/>
    <mergeCell ref="C33:F33"/>
    <mergeCell ref="K33:N33"/>
  </mergeCells>
  <phoneticPr fontId="4" type="noConversion"/>
  <printOptions horizontalCentered="1" verticalCentered="1"/>
  <pageMargins left="0.70866141732283472" right="0.70866141732283472" top="0.74803149606299213" bottom="0.74803149606299213" header="0.31496062992125984" footer="0.31496062992125984"/>
  <pageSetup paperSize="9" scale="11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8048-CF96-4193-BB89-56A0C45B735C}">
  <dimension ref="A1:BF35"/>
  <sheetViews>
    <sheetView view="pageBreakPreview" topLeftCell="A3" zoomScale="90" zoomScaleNormal="100" zoomScaleSheetLayoutView="90" workbookViewId="0">
      <selection activeCell="AY30" sqref="AY30:BB31"/>
    </sheetView>
  </sheetViews>
  <sheetFormatPr defaultRowHeight="16.5"/>
  <cols>
    <col min="1" max="1" width="9.125" customWidth="1"/>
    <col min="2" max="2" width="11.25" customWidth="1"/>
    <col min="3" max="4" width="7.875" customWidth="1"/>
    <col min="5" max="6" width="9.125"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4" width="7.875" customWidth="1"/>
    <col min="25" max="25" width="9.125" customWidth="1"/>
    <col min="26" max="26" width="11.25" customWidth="1"/>
    <col min="27" max="28" width="7.875" customWidth="1"/>
    <col min="29" max="30" width="9.125" customWidth="1"/>
    <col min="31" max="32" width="7.875" customWidth="1"/>
    <col min="33" max="56" width="9.125" hidden="1" customWidth="1"/>
  </cols>
  <sheetData>
    <row r="1" spans="1:56" ht="17.25" hidden="1" thickBot="1">
      <c r="A1" s="540">
        <v>15</v>
      </c>
      <c r="B1" s="540"/>
      <c r="C1" s="540"/>
      <c r="D1" s="540"/>
      <c r="E1" s="540"/>
      <c r="F1" s="540"/>
      <c r="G1" s="540"/>
      <c r="H1" s="540"/>
      <c r="I1" s="540">
        <f>A1+1</f>
        <v>16</v>
      </c>
      <c r="J1" s="540"/>
      <c r="K1" s="540"/>
      <c r="L1" s="540"/>
      <c r="M1" s="540"/>
      <c r="N1" s="540"/>
      <c r="O1" s="540"/>
      <c r="P1" s="540"/>
      <c r="Q1" s="540">
        <f>I1+1</f>
        <v>17</v>
      </c>
      <c r="R1" s="540"/>
      <c r="S1" s="540"/>
      <c r="T1" s="540"/>
      <c r="U1" s="540"/>
      <c r="V1" s="540"/>
      <c r="W1" s="540"/>
      <c r="X1" s="540"/>
      <c r="Y1" s="540">
        <f>Q1+1</f>
        <v>18</v>
      </c>
      <c r="Z1" s="540"/>
      <c r="AA1" s="540"/>
      <c r="AB1" s="540"/>
      <c r="AC1" s="540"/>
      <c r="AD1" s="540"/>
      <c r="AE1" s="540"/>
      <c r="AF1" s="540"/>
      <c r="AG1" s="540">
        <f>Y1+1</f>
        <v>19</v>
      </c>
      <c r="AH1" s="540"/>
      <c r="AI1" s="540"/>
      <c r="AJ1" s="540"/>
      <c r="AK1" s="540"/>
      <c r="AL1" s="540"/>
      <c r="AM1" s="540"/>
      <c r="AN1" s="540"/>
      <c r="AO1" s="540">
        <f>AG1+1</f>
        <v>20</v>
      </c>
      <c r="AP1" s="540"/>
      <c r="AQ1" s="540"/>
      <c r="AR1" s="540"/>
      <c r="AS1" s="540"/>
      <c r="AT1" s="540"/>
      <c r="AU1" s="540"/>
      <c r="AV1" s="540"/>
      <c r="AW1" s="540">
        <f>AO1+1</f>
        <v>21</v>
      </c>
      <c r="AX1" s="540"/>
      <c r="AY1" s="540"/>
      <c r="AZ1" s="540"/>
      <c r="BA1" s="540"/>
      <c r="BB1" s="540"/>
      <c r="BC1" s="540"/>
      <c r="BD1" s="540"/>
    </row>
    <row r="2" spans="1:56" ht="20.100000000000001"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0.100000000000001" customHeight="1">
      <c r="A3" s="541" t="s">
        <v>13</v>
      </c>
      <c r="B3" s="542"/>
      <c r="C3" s="542"/>
      <c r="D3" s="542"/>
      <c r="E3" s="542"/>
      <c r="F3" s="542"/>
      <c r="G3" s="542"/>
      <c r="H3" s="543"/>
      <c r="I3" s="541" t="s">
        <v>13</v>
      </c>
      <c r="J3" s="542"/>
      <c r="K3" s="542"/>
      <c r="L3" s="542"/>
      <c r="M3" s="542"/>
      <c r="N3" s="542"/>
      <c r="O3" s="542"/>
      <c r="P3" s="543"/>
      <c r="Q3" s="541" t="s">
        <v>13</v>
      </c>
      <c r="R3" s="542"/>
      <c r="S3" s="542"/>
      <c r="T3" s="542"/>
      <c r="U3" s="542"/>
      <c r="V3" s="542"/>
      <c r="W3" s="542"/>
      <c r="X3" s="543"/>
      <c r="Y3" s="541" t="s">
        <v>13</v>
      </c>
      <c r="Z3" s="542"/>
      <c r="AA3" s="542"/>
      <c r="AB3" s="542"/>
      <c r="AC3" s="542"/>
      <c r="AD3" s="542"/>
      <c r="AE3" s="542"/>
      <c r="AF3" s="543"/>
      <c r="AG3" s="541" t="s">
        <v>13</v>
      </c>
      <c r="AH3" s="542"/>
      <c r="AI3" s="542"/>
      <c r="AJ3" s="542"/>
      <c r="AK3" s="542"/>
      <c r="AL3" s="542"/>
      <c r="AM3" s="542"/>
      <c r="AN3" s="543"/>
      <c r="AO3" s="541" t="s">
        <v>13</v>
      </c>
      <c r="AP3" s="542"/>
      <c r="AQ3" s="542"/>
      <c r="AR3" s="542"/>
      <c r="AS3" s="542"/>
      <c r="AT3" s="542"/>
      <c r="AU3" s="542"/>
      <c r="AV3" s="543"/>
      <c r="AW3" s="541" t="s">
        <v>13</v>
      </c>
      <c r="AX3" s="542"/>
      <c r="AY3" s="542"/>
      <c r="AZ3" s="542"/>
      <c r="BA3" s="542"/>
      <c r="BB3" s="542"/>
      <c r="BC3" s="542"/>
      <c r="BD3" s="543"/>
    </row>
    <row r="4" spans="1:56" ht="20.100000000000001"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0.100000000000001" customHeight="1">
      <c r="A5" s="544" t="s">
        <v>40</v>
      </c>
      <c r="B5" s="526"/>
      <c r="C5" s="509" t="str">
        <f>급여대장!$A$4</f>
        <v>제이엠건축인테리어 주식회사</v>
      </c>
      <c r="D5" s="545"/>
      <c r="E5" s="545"/>
      <c r="F5" s="545"/>
      <c r="G5" s="545"/>
      <c r="H5" s="546"/>
      <c r="I5" s="544" t="s">
        <v>40</v>
      </c>
      <c r="J5" s="526"/>
      <c r="K5" s="509" t="str">
        <f>급여대장!$A$4</f>
        <v>제이엠건축인테리어 주식회사</v>
      </c>
      <c r="L5" s="545"/>
      <c r="M5" s="545"/>
      <c r="N5" s="545"/>
      <c r="O5" s="545"/>
      <c r="P5" s="546"/>
      <c r="Q5" s="544" t="s">
        <v>40</v>
      </c>
      <c r="R5" s="526"/>
      <c r="S5" s="509" t="str">
        <f>급여대장!$A$4</f>
        <v>제이엠건축인테리어 주식회사</v>
      </c>
      <c r="T5" s="545"/>
      <c r="U5" s="545"/>
      <c r="V5" s="545"/>
      <c r="W5" s="545"/>
      <c r="X5" s="546"/>
      <c r="Y5" s="544" t="s">
        <v>40</v>
      </c>
      <c r="Z5" s="526"/>
      <c r="AA5" s="509" t="str">
        <f>급여대장!$A$4</f>
        <v>제이엠건축인테리어 주식회사</v>
      </c>
      <c r="AB5" s="545"/>
      <c r="AC5" s="545"/>
      <c r="AD5" s="545"/>
      <c r="AE5" s="545"/>
      <c r="AF5" s="546"/>
      <c r="AG5" s="564" t="s">
        <v>40</v>
      </c>
      <c r="AH5" s="512"/>
      <c r="AI5" s="511" t="str">
        <f>급여대장!$A$4</f>
        <v>제이엠건축인테리어 주식회사</v>
      </c>
      <c r="AJ5" s="499"/>
      <c r="AK5" s="499"/>
      <c r="AL5" s="499"/>
      <c r="AM5" s="499"/>
      <c r="AN5" s="500"/>
      <c r="AO5" s="564" t="s">
        <v>40</v>
      </c>
      <c r="AP5" s="512"/>
      <c r="AQ5" s="511" t="str">
        <f>급여대장!$A$4</f>
        <v>제이엠건축인테리어 주식회사</v>
      </c>
      <c r="AR5" s="499"/>
      <c r="AS5" s="499"/>
      <c r="AT5" s="499"/>
      <c r="AU5" s="499"/>
      <c r="AV5" s="500"/>
      <c r="AW5" s="564" t="s">
        <v>40</v>
      </c>
      <c r="AX5" s="512"/>
      <c r="AY5" s="511" t="str">
        <f>급여대장!$A$4</f>
        <v>제이엠건축인테리어 주식회사</v>
      </c>
      <c r="AZ5" s="499"/>
      <c r="BA5" s="499"/>
      <c r="BB5" s="499"/>
      <c r="BC5" s="499"/>
      <c r="BD5" s="500"/>
    </row>
    <row r="6" spans="1:56" ht="20.100000000000001" customHeight="1">
      <c r="A6" s="501" t="s">
        <v>14</v>
      </c>
      <c r="B6" s="502"/>
      <c r="C6" s="505">
        <f>급여대장!$AD$3</f>
        <v>46082</v>
      </c>
      <c r="D6" s="505"/>
      <c r="E6" s="525" t="s">
        <v>15</v>
      </c>
      <c r="F6" s="526"/>
      <c r="G6" s="547" t="str">
        <f>급여대장!$AD$4</f>
        <v>매월 5일</v>
      </c>
      <c r="H6" s="548"/>
      <c r="I6" s="501" t="s">
        <v>14</v>
      </c>
      <c r="J6" s="502"/>
      <c r="K6" s="556"/>
      <c r="L6" s="505"/>
      <c r="M6" s="525" t="s">
        <v>15</v>
      </c>
      <c r="N6" s="526"/>
      <c r="O6" s="547"/>
      <c r="P6" s="548"/>
      <c r="Q6" s="501" t="s">
        <v>14</v>
      </c>
      <c r="R6" s="502"/>
      <c r="S6" s="505"/>
      <c r="T6" s="505"/>
      <c r="U6" s="525" t="s">
        <v>15</v>
      </c>
      <c r="V6" s="526"/>
      <c r="W6" s="547"/>
      <c r="X6" s="548"/>
      <c r="Y6" s="501" t="s">
        <v>14</v>
      </c>
      <c r="Z6" s="502"/>
      <c r="AA6" s="505"/>
      <c r="AB6" s="505"/>
      <c r="AC6" s="525" t="s">
        <v>15</v>
      </c>
      <c r="AD6" s="526"/>
      <c r="AE6" s="547"/>
      <c r="AF6" s="548"/>
      <c r="AG6" s="534" t="s">
        <v>14</v>
      </c>
      <c r="AH6" s="505"/>
      <c r="AI6" s="505">
        <f>급여대장!$AD$3</f>
        <v>46082</v>
      </c>
      <c r="AJ6" s="505"/>
      <c r="AK6" s="511" t="s">
        <v>15</v>
      </c>
      <c r="AL6" s="512"/>
      <c r="AM6" s="547" t="str">
        <f>급여대장!$AD$4</f>
        <v>매월 5일</v>
      </c>
      <c r="AN6" s="548"/>
      <c r="AO6" s="534" t="s">
        <v>14</v>
      </c>
      <c r="AP6" s="505"/>
      <c r="AQ6" s="505">
        <f>급여대장!$AD$3</f>
        <v>46082</v>
      </c>
      <c r="AR6" s="505"/>
      <c r="AS6" s="511" t="s">
        <v>15</v>
      </c>
      <c r="AT6" s="512"/>
      <c r="AU6" s="547" t="str">
        <f>급여대장!$AD$4</f>
        <v>매월 5일</v>
      </c>
      <c r="AV6" s="548"/>
      <c r="AW6" s="534" t="s">
        <v>14</v>
      </c>
      <c r="AX6" s="505"/>
      <c r="AY6" s="505">
        <f>급여대장!$AD$3</f>
        <v>46082</v>
      </c>
      <c r="AZ6" s="505"/>
      <c r="BA6" s="511" t="s">
        <v>15</v>
      </c>
      <c r="BB6" s="512"/>
      <c r="BC6" s="547" t="str">
        <f>급여대장!$AD$4</f>
        <v>매월 5일</v>
      </c>
      <c r="BD6" s="548"/>
    </row>
    <row r="7" spans="1:56" ht="20.100000000000001" customHeight="1">
      <c r="A7" s="501" t="s">
        <v>16</v>
      </c>
      <c r="B7" s="502"/>
      <c r="C7" s="549" t="e">
        <f>급여대장!#REF!</f>
        <v>#REF!</v>
      </c>
      <c r="D7" s="550"/>
      <c r="E7" s="525" t="s">
        <v>17</v>
      </c>
      <c r="F7" s="526"/>
      <c r="G7" s="554" t="e">
        <f>급여대장!#REF!</f>
        <v>#REF!</v>
      </c>
      <c r="H7" s="555"/>
      <c r="I7" s="501" t="s">
        <v>16</v>
      </c>
      <c r="J7" s="502"/>
      <c r="K7" s="549"/>
      <c r="L7" s="550"/>
      <c r="M7" s="525" t="s">
        <v>17</v>
      </c>
      <c r="N7" s="526"/>
      <c r="O7" s="554"/>
      <c r="P7" s="555"/>
      <c r="Q7" s="501" t="s">
        <v>16</v>
      </c>
      <c r="R7" s="502"/>
      <c r="S7" s="549"/>
      <c r="T7" s="550"/>
      <c r="U7" s="525" t="s">
        <v>17</v>
      </c>
      <c r="V7" s="526"/>
      <c r="W7" s="554"/>
      <c r="X7" s="555"/>
      <c r="Y7" s="501" t="s">
        <v>16</v>
      </c>
      <c r="Z7" s="502"/>
      <c r="AA7" s="549"/>
      <c r="AB7" s="550"/>
      <c r="AC7" s="525" t="s">
        <v>17</v>
      </c>
      <c r="AD7" s="526"/>
      <c r="AE7" s="554"/>
      <c r="AF7" s="555"/>
      <c r="AG7" s="534" t="s">
        <v>16</v>
      </c>
      <c r="AH7" s="505"/>
      <c r="AI7" s="594" t="e">
        <f>VLOOKUP(AG1,급여대장!$A$6:$B$15,2,0)</f>
        <v>#N/A</v>
      </c>
      <c r="AJ7" s="505"/>
      <c r="AK7" s="511" t="s">
        <v>17</v>
      </c>
      <c r="AL7" s="512"/>
      <c r="AM7" s="595" t="e">
        <f>VLOOKUP(AG1,급여대장!$A$6:$AD$15,3,0)</f>
        <v>#N/A</v>
      </c>
      <c r="AN7" s="596"/>
      <c r="AO7" s="534" t="s">
        <v>16</v>
      </c>
      <c r="AP7" s="505"/>
      <c r="AQ7" s="594" t="e">
        <f>VLOOKUP(AO1,급여대장!$A$6:$B$15,2,0)</f>
        <v>#N/A</v>
      </c>
      <c r="AR7" s="505"/>
      <c r="AS7" s="511" t="s">
        <v>17</v>
      </c>
      <c r="AT7" s="512"/>
      <c r="AU7" s="595" t="e">
        <f>VLOOKUP(AO1,급여대장!$A$6:$AD$15,3,0)</f>
        <v>#N/A</v>
      </c>
      <c r="AV7" s="596"/>
      <c r="AW7" s="534" t="s">
        <v>16</v>
      </c>
      <c r="AX7" s="505"/>
      <c r="AY7" s="594" t="e">
        <f>VLOOKUP(AW1,급여대장!$A$6:$B$15,2,0)</f>
        <v>#N/A</v>
      </c>
      <c r="AZ7" s="505"/>
      <c r="BA7" s="511" t="s">
        <v>17</v>
      </c>
      <c r="BB7" s="512"/>
      <c r="BC7" s="595" t="e">
        <f>VLOOKUP(AW1,급여대장!$A$6:$AD$15,3,0)</f>
        <v>#N/A</v>
      </c>
      <c r="BD7" s="596"/>
    </row>
    <row r="8" spans="1:56" ht="20.100000000000001" customHeight="1">
      <c r="A8" s="22"/>
      <c r="B8" s="23"/>
      <c r="C8" s="594"/>
      <c r="D8" s="505"/>
      <c r="E8" s="23"/>
      <c r="F8" s="23"/>
      <c r="G8" s="7"/>
      <c r="H8" s="8"/>
      <c r="I8" s="22"/>
      <c r="J8" s="23"/>
      <c r="K8" s="594"/>
      <c r="L8" s="505"/>
      <c r="M8" s="23"/>
      <c r="N8" s="23"/>
      <c r="O8" s="7"/>
      <c r="P8" s="8"/>
      <c r="Q8" s="22"/>
      <c r="R8" s="23"/>
      <c r="S8" s="594"/>
      <c r="T8" s="505"/>
      <c r="U8" s="7"/>
      <c r="V8" s="7"/>
      <c r="W8" s="7"/>
      <c r="X8" s="8"/>
      <c r="Y8" s="22"/>
      <c r="Z8" s="23"/>
      <c r="AA8" s="594"/>
      <c r="AB8" s="505"/>
      <c r="AC8" s="7"/>
      <c r="AD8" s="7"/>
      <c r="AE8" s="7"/>
      <c r="AF8" s="8"/>
      <c r="AG8" s="6"/>
      <c r="AH8" s="7"/>
      <c r="AI8" s="594"/>
      <c r="AJ8" s="505"/>
      <c r="AK8" s="7"/>
      <c r="AL8" s="7"/>
      <c r="AM8" s="7"/>
      <c r="AN8" s="8"/>
      <c r="AO8" s="6"/>
      <c r="AP8" s="7"/>
      <c r="AQ8" s="594"/>
      <c r="AR8" s="505"/>
      <c r="AS8" s="7"/>
      <c r="AT8" s="7"/>
      <c r="AU8" s="7"/>
      <c r="AV8" s="8"/>
      <c r="AW8" s="6"/>
      <c r="AX8" s="7"/>
      <c r="AY8" s="594"/>
      <c r="AZ8" s="505"/>
      <c r="BA8" s="7"/>
      <c r="BB8" s="7"/>
      <c r="BC8" s="7"/>
      <c r="BD8" s="8"/>
    </row>
    <row r="9" spans="1:56" ht="20.100000000000001" customHeight="1">
      <c r="A9" s="534" t="s">
        <v>18</v>
      </c>
      <c r="B9" s="505"/>
      <c r="C9" s="505"/>
      <c r="D9" s="505"/>
      <c r="E9" s="505"/>
      <c r="F9" s="505"/>
      <c r="G9" s="505"/>
      <c r="H9" s="506"/>
      <c r="I9" s="534" t="s">
        <v>18</v>
      </c>
      <c r="J9" s="505"/>
      <c r="K9" s="505"/>
      <c r="L9" s="505"/>
      <c r="M9" s="505"/>
      <c r="N9" s="505"/>
      <c r="O9" s="505"/>
      <c r="P9" s="506"/>
      <c r="Q9" s="534" t="s">
        <v>18</v>
      </c>
      <c r="R9" s="505"/>
      <c r="S9" s="505"/>
      <c r="T9" s="505"/>
      <c r="U9" s="505"/>
      <c r="V9" s="505"/>
      <c r="W9" s="505"/>
      <c r="X9" s="506"/>
      <c r="Y9" s="534" t="s">
        <v>18</v>
      </c>
      <c r="Z9" s="505"/>
      <c r="AA9" s="505"/>
      <c r="AB9" s="505"/>
      <c r="AC9" s="505"/>
      <c r="AD9" s="505"/>
      <c r="AE9" s="505"/>
      <c r="AF9" s="506"/>
      <c r="AG9" s="534" t="s">
        <v>18</v>
      </c>
      <c r="AH9" s="505"/>
      <c r="AI9" s="505"/>
      <c r="AJ9" s="505"/>
      <c r="AK9" s="505"/>
      <c r="AL9" s="505"/>
      <c r="AM9" s="505"/>
      <c r="AN9" s="506"/>
      <c r="AO9" s="534" t="s">
        <v>18</v>
      </c>
      <c r="AP9" s="505"/>
      <c r="AQ9" s="505"/>
      <c r="AR9" s="505"/>
      <c r="AS9" s="505"/>
      <c r="AT9" s="505"/>
      <c r="AU9" s="505"/>
      <c r="AV9" s="506"/>
      <c r="AW9" s="534" t="s">
        <v>18</v>
      </c>
      <c r="AX9" s="505"/>
      <c r="AY9" s="505"/>
      <c r="AZ9" s="505"/>
      <c r="BA9" s="505"/>
      <c r="BB9" s="505"/>
      <c r="BC9" s="505"/>
      <c r="BD9" s="506"/>
    </row>
    <row r="10" spans="1:56" ht="20.100000000000001" customHeight="1">
      <c r="A10" s="515" t="s">
        <v>19</v>
      </c>
      <c r="B10" s="516"/>
      <c r="C10" s="516"/>
      <c r="D10" s="516"/>
      <c r="E10" s="517" t="s">
        <v>20</v>
      </c>
      <c r="F10" s="518"/>
      <c r="G10" s="518"/>
      <c r="H10" s="519"/>
      <c r="I10" s="515" t="s">
        <v>19</v>
      </c>
      <c r="J10" s="516"/>
      <c r="K10" s="516"/>
      <c r="L10" s="516"/>
      <c r="M10" s="517" t="s">
        <v>20</v>
      </c>
      <c r="N10" s="518"/>
      <c r="O10" s="518"/>
      <c r="P10" s="519"/>
      <c r="Q10" s="515" t="s">
        <v>19</v>
      </c>
      <c r="R10" s="516"/>
      <c r="S10" s="516"/>
      <c r="T10" s="516"/>
      <c r="U10" s="517" t="s">
        <v>20</v>
      </c>
      <c r="V10" s="518"/>
      <c r="W10" s="518"/>
      <c r="X10" s="519"/>
      <c r="Y10" s="515" t="s">
        <v>19</v>
      </c>
      <c r="Z10" s="516"/>
      <c r="AA10" s="516"/>
      <c r="AB10" s="516"/>
      <c r="AC10" s="517" t="s">
        <v>20</v>
      </c>
      <c r="AD10" s="518"/>
      <c r="AE10" s="518"/>
      <c r="AF10" s="519"/>
      <c r="AG10" s="534" t="s">
        <v>19</v>
      </c>
      <c r="AH10" s="505"/>
      <c r="AI10" s="505"/>
      <c r="AJ10" s="505"/>
      <c r="AK10" s="511" t="s">
        <v>20</v>
      </c>
      <c r="AL10" s="499"/>
      <c r="AM10" s="499"/>
      <c r="AN10" s="500"/>
      <c r="AO10" s="534" t="s">
        <v>19</v>
      </c>
      <c r="AP10" s="505"/>
      <c r="AQ10" s="505"/>
      <c r="AR10" s="505"/>
      <c r="AS10" s="511" t="s">
        <v>20</v>
      </c>
      <c r="AT10" s="499"/>
      <c r="AU10" s="499"/>
      <c r="AV10" s="500"/>
      <c r="AW10" s="534" t="s">
        <v>19</v>
      </c>
      <c r="AX10" s="505"/>
      <c r="AY10" s="505"/>
      <c r="AZ10" s="505"/>
      <c r="BA10" s="511" t="s">
        <v>20</v>
      </c>
      <c r="BB10" s="499"/>
      <c r="BC10" s="499"/>
      <c r="BD10" s="500"/>
    </row>
    <row r="11" spans="1:56" ht="20.100000000000001" customHeight="1">
      <c r="A11" s="501" t="s">
        <v>79</v>
      </c>
      <c r="B11" s="502"/>
      <c r="C11" s="505" t="s">
        <v>82</v>
      </c>
      <c r="D11" s="505"/>
      <c r="E11" s="525" t="s">
        <v>23</v>
      </c>
      <c r="F11" s="526"/>
      <c r="G11" s="505" t="s">
        <v>78</v>
      </c>
      <c r="H11" s="506"/>
      <c r="I11" s="501" t="s">
        <v>79</v>
      </c>
      <c r="J11" s="502"/>
      <c r="K11" s="505" t="s">
        <v>82</v>
      </c>
      <c r="L11" s="505"/>
      <c r="M11" s="525" t="s">
        <v>23</v>
      </c>
      <c r="N11" s="526"/>
      <c r="O11" s="505" t="s">
        <v>78</v>
      </c>
      <c r="P11" s="506"/>
      <c r="Q11" s="501" t="s">
        <v>79</v>
      </c>
      <c r="R11" s="502"/>
      <c r="S11" s="505" t="s">
        <v>82</v>
      </c>
      <c r="T11" s="505"/>
      <c r="U11" s="525" t="s">
        <v>23</v>
      </c>
      <c r="V11" s="526"/>
      <c r="W11" s="505" t="s">
        <v>78</v>
      </c>
      <c r="X11" s="506"/>
      <c r="Y11" s="501" t="s">
        <v>79</v>
      </c>
      <c r="Z11" s="502"/>
      <c r="AA11" s="505" t="s">
        <v>82</v>
      </c>
      <c r="AB11" s="505"/>
      <c r="AC11" s="525" t="s">
        <v>23</v>
      </c>
      <c r="AD11" s="526"/>
      <c r="AE11" s="505" t="s">
        <v>78</v>
      </c>
      <c r="AF11" s="506"/>
      <c r="AG11" s="534" t="s">
        <v>21</v>
      </c>
      <c r="AH11" s="505"/>
      <c r="AI11" s="505" t="s">
        <v>22</v>
      </c>
      <c r="AJ11" s="505"/>
      <c r="AK11" s="511" t="s">
        <v>23</v>
      </c>
      <c r="AL11" s="512"/>
      <c r="AM11" s="505" t="s">
        <v>24</v>
      </c>
      <c r="AN11" s="506"/>
      <c r="AO11" s="534" t="s">
        <v>21</v>
      </c>
      <c r="AP11" s="505"/>
      <c r="AQ11" s="505" t="s">
        <v>22</v>
      </c>
      <c r="AR11" s="505"/>
      <c r="AS11" s="511" t="s">
        <v>23</v>
      </c>
      <c r="AT11" s="512"/>
      <c r="AU11" s="505" t="s">
        <v>24</v>
      </c>
      <c r="AV11" s="506"/>
      <c r="AW11" s="534" t="s">
        <v>21</v>
      </c>
      <c r="AX11" s="505"/>
      <c r="AY11" s="505" t="s">
        <v>22</v>
      </c>
      <c r="AZ11" s="505"/>
      <c r="BA11" s="511" t="s">
        <v>23</v>
      </c>
      <c r="BB11" s="512"/>
      <c r="BC11" s="505" t="s">
        <v>24</v>
      </c>
      <c r="BD11" s="506"/>
    </row>
    <row r="12" spans="1:56" ht="20.100000000000001" customHeight="1">
      <c r="A12" s="520" t="s">
        <v>25</v>
      </c>
      <c r="B12" s="24" t="s">
        <v>26</v>
      </c>
      <c r="C12" s="503" t="e">
        <f>급여대장!#REF!</f>
        <v>#REF!</v>
      </c>
      <c r="D12" s="503"/>
      <c r="E12" s="525" t="s">
        <v>27</v>
      </c>
      <c r="F12" s="526"/>
      <c r="G12" s="503" t="e">
        <f>급여대장!#REF!</f>
        <v>#REF!</v>
      </c>
      <c r="H12" s="539"/>
      <c r="I12" s="520" t="s">
        <v>25</v>
      </c>
      <c r="J12" s="24" t="s">
        <v>26</v>
      </c>
      <c r="K12" s="503"/>
      <c r="L12" s="503"/>
      <c r="M12" s="525" t="s">
        <v>27</v>
      </c>
      <c r="N12" s="526"/>
      <c r="O12" s="503"/>
      <c r="P12" s="539"/>
      <c r="Q12" s="520" t="s">
        <v>25</v>
      </c>
      <c r="R12" s="24" t="s">
        <v>26</v>
      </c>
      <c r="S12" s="503"/>
      <c r="T12" s="503"/>
      <c r="U12" s="553" t="s">
        <v>27</v>
      </c>
      <c r="V12" s="526"/>
      <c r="W12" s="503"/>
      <c r="X12" s="539"/>
      <c r="Y12" s="520" t="s">
        <v>25</v>
      </c>
      <c r="Z12" s="24" t="s">
        <v>26</v>
      </c>
      <c r="AA12" s="503"/>
      <c r="AB12" s="503"/>
      <c r="AC12" s="553" t="s">
        <v>27</v>
      </c>
      <c r="AD12" s="526"/>
      <c r="AE12" s="503"/>
      <c r="AF12" s="539"/>
      <c r="AG12" s="520" t="s">
        <v>25</v>
      </c>
      <c r="AH12" s="9" t="s">
        <v>26</v>
      </c>
      <c r="AI12" s="503" t="e">
        <f>VLOOKUP(AG1,급여대장!$A$6:$AD$15,7,0)</f>
        <v>#N/A</v>
      </c>
      <c r="AJ12" s="539"/>
      <c r="AK12" s="511" t="s">
        <v>27</v>
      </c>
      <c r="AL12" s="512"/>
      <c r="AM12" s="503" t="e">
        <f>VLOOKUP(AG1,급여대장!$A$6:$AD$15,16,0)</f>
        <v>#N/A</v>
      </c>
      <c r="AN12" s="539"/>
      <c r="AO12" s="520" t="s">
        <v>25</v>
      </c>
      <c r="AP12" s="9" t="s">
        <v>26</v>
      </c>
      <c r="AQ12" s="503" t="e">
        <f>VLOOKUP(AO1,급여대장!$A$6:$AD$15,7,0)</f>
        <v>#N/A</v>
      </c>
      <c r="AR12" s="539"/>
      <c r="AS12" s="511" t="s">
        <v>27</v>
      </c>
      <c r="AT12" s="512"/>
      <c r="AU12" s="503" t="e">
        <f>VLOOKUP(AO1,급여대장!$A$6:$AD$15,16,0)</f>
        <v>#N/A</v>
      </c>
      <c r="AV12" s="539"/>
      <c r="AW12" s="520" t="s">
        <v>25</v>
      </c>
      <c r="AX12" s="9" t="s">
        <v>26</v>
      </c>
      <c r="AY12" s="503" t="e">
        <f>VLOOKUP(AW1,급여대장!$A$6:$AD$15,7,0)</f>
        <v>#N/A</v>
      </c>
      <c r="AZ12" s="539"/>
      <c r="BA12" s="511" t="s">
        <v>27</v>
      </c>
      <c r="BB12" s="512"/>
      <c r="BC12" s="503" t="e">
        <f>VLOOKUP(AW1,급여대장!$A$6:$AD$15,16,0)</f>
        <v>#N/A</v>
      </c>
      <c r="BD12" s="539"/>
    </row>
    <row r="13" spans="1:56" ht="20.100000000000001" customHeight="1">
      <c r="A13" s="521"/>
      <c r="B13" s="24" t="s">
        <v>28</v>
      </c>
      <c r="C13" s="503" t="e">
        <f>급여대장!#REF!</f>
        <v>#REF!</v>
      </c>
      <c r="D13" s="503"/>
      <c r="E13" s="525" t="s">
        <v>42</v>
      </c>
      <c r="F13" s="526"/>
      <c r="G13" s="503" t="e">
        <f>급여대장!#REF!</f>
        <v>#REF!</v>
      </c>
      <c r="H13" s="539"/>
      <c r="I13" s="521"/>
      <c r="J13" s="24" t="s">
        <v>28</v>
      </c>
      <c r="K13" s="503"/>
      <c r="L13" s="503"/>
      <c r="M13" s="525" t="s">
        <v>42</v>
      </c>
      <c r="N13" s="526"/>
      <c r="O13" s="513"/>
      <c r="P13" s="514"/>
      <c r="Q13" s="521"/>
      <c r="R13" s="24" t="s">
        <v>28</v>
      </c>
      <c r="S13" s="503"/>
      <c r="T13" s="503"/>
      <c r="U13" s="553" t="s">
        <v>42</v>
      </c>
      <c r="V13" s="526"/>
      <c r="W13" s="513"/>
      <c r="X13" s="514"/>
      <c r="Y13" s="521"/>
      <c r="Z13" s="24" t="s">
        <v>28</v>
      </c>
      <c r="AA13" s="503"/>
      <c r="AB13" s="503"/>
      <c r="AC13" s="553" t="s">
        <v>42</v>
      </c>
      <c r="AD13" s="526"/>
      <c r="AE13" s="513"/>
      <c r="AF13" s="514"/>
      <c r="AG13" s="521"/>
      <c r="AH13" s="9" t="s">
        <v>28</v>
      </c>
      <c r="AI13" s="503" t="e">
        <f>VLOOKUP(AG1,급여대장!$A$6:$AD$15,8,0)</f>
        <v>#N/A</v>
      </c>
      <c r="AJ13" s="539"/>
      <c r="AK13" s="511" t="s">
        <v>42</v>
      </c>
      <c r="AL13" s="512"/>
      <c r="AM13" s="513" t="e">
        <f>VLOOKUP(AG1,급여대장!$A$6:$AD$15,17,0)</f>
        <v>#N/A</v>
      </c>
      <c r="AN13" s="514"/>
      <c r="AO13" s="521"/>
      <c r="AP13" s="9" t="s">
        <v>28</v>
      </c>
      <c r="AQ13" s="503" t="e">
        <f>VLOOKUP(AO1,급여대장!$A$6:$AD$15,8,0)</f>
        <v>#N/A</v>
      </c>
      <c r="AR13" s="539"/>
      <c r="AS13" s="511" t="s">
        <v>42</v>
      </c>
      <c r="AT13" s="512"/>
      <c r="AU13" s="503" t="e">
        <f>VLOOKUP(AO1,급여대장!$A$6:$AD$15,17,0)</f>
        <v>#N/A</v>
      </c>
      <c r="AV13" s="539"/>
      <c r="AW13" s="521"/>
      <c r="AX13" s="9" t="s">
        <v>28</v>
      </c>
      <c r="AY13" s="503" t="e">
        <f>VLOOKUP(AW1,급여대장!$A$6:$AD$15,8,0)</f>
        <v>#N/A</v>
      </c>
      <c r="AZ13" s="503"/>
      <c r="BA13" s="511" t="s">
        <v>42</v>
      </c>
      <c r="BB13" s="512"/>
      <c r="BC13" s="503" t="e">
        <f>VLOOKUP(AW1,급여대장!$A$6:$AD$15,17,0)</f>
        <v>#N/A</v>
      </c>
      <c r="BD13" s="539"/>
    </row>
    <row r="14" spans="1:56" ht="20.100000000000001" customHeight="1">
      <c r="A14" s="521"/>
      <c r="B14" s="24" t="s">
        <v>46</v>
      </c>
      <c r="C14" s="503" t="e">
        <f>급여대장!#REF!</f>
        <v>#REF!</v>
      </c>
      <c r="D14" s="503"/>
      <c r="E14" s="525" t="s">
        <v>41</v>
      </c>
      <c r="F14" s="526"/>
      <c r="G14" s="503" t="e">
        <f>급여대장!#REF!</f>
        <v>#REF!</v>
      </c>
      <c r="H14" s="539"/>
      <c r="I14" s="521"/>
      <c r="J14" s="24" t="s">
        <v>46</v>
      </c>
      <c r="K14" s="503"/>
      <c r="L14" s="503"/>
      <c r="M14" s="525" t="s">
        <v>41</v>
      </c>
      <c r="N14" s="526"/>
      <c r="O14" s="513"/>
      <c r="P14" s="514"/>
      <c r="Q14" s="521"/>
      <c r="R14" s="24" t="s">
        <v>46</v>
      </c>
      <c r="S14" s="503"/>
      <c r="T14" s="503"/>
      <c r="U14" s="553" t="s">
        <v>41</v>
      </c>
      <c r="V14" s="526"/>
      <c r="W14" s="513"/>
      <c r="X14" s="514"/>
      <c r="Y14" s="521"/>
      <c r="Z14" s="24" t="s">
        <v>46</v>
      </c>
      <c r="AA14" s="503"/>
      <c r="AB14" s="503"/>
      <c r="AC14" s="553" t="s">
        <v>41</v>
      </c>
      <c r="AD14" s="526"/>
      <c r="AE14" s="513"/>
      <c r="AF14" s="514"/>
      <c r="AG14" s="521"/>
      <c r="AH14" s="9" t="s">
        <v>46</v>
      </c>
      <c r="AI14" s="503" t="e">
        <f>VLOOKUP(AG1,급여대장!$A$6:$AD$15,9,0)</f>
        <v>#N/A</v>
      </c>
      <c r="AJ14" s="539"/>
      <c r="AK14" s="511" t="s">
        <v>41</v>
      </c>
      <c r="AL14" s="512"/>
      <c r="AM14" s="513" t="e">
        <f>VLOOKUP(AG1,급여대장!$A$6:$AD$15,18,0)</f>
        <v>#N/A</v>
      </c>
      <c r="AN14" s="514"/>
      <c r="AO14" s="521"/>
      <c r="AP14" s="9" t="s">
        <v>46</v>
      </c>
      <c r="AQ14" s="503" t="e">
        <f>VLOOKUP(AO1,급여대장!$A$6:$AD$15,9,0)</f>
        <v>#N/A</v>
      </c>
      <c r="AR14" s="539"/>
      <c r="AS14" s="511" t="s">
        <v>41</v>
      </c>
      <c r="AT14" s="512"/>
      <c r="AU14" s="503" t="e">
        <f>VLOOKUP(AO1,급여대장!$A$6:$AD$15,18,0)</f>
        <v>#N/A</v>
      </c>
      <c r="AV14" s="539"/>
      <c r="AW14" s="521"/>
      <c r="AX14" s="9" t="s">
        <v>46</v>
      </c>
      <c r="AY14" s="503" t="e">
        <f>VLOOKUP(AW1,급여대장!$A$6:$AD$15,9,0)</f>
        <v>#N/A</v>
      </c>
      <c r="AZ14" s="503"/>
      <c r="BA14" s="511" t="s">
        <v>41</v>
      </c>
      <c r="BB14" s="512"/>
      <c r="BC14" s="503" t="e">
        <f>VLOOKUP(AW1,급여대장!$A$6:$AD$15,18,0)</f>
        <v>#N/A</v>
      </c>
      <c r="BD14" s="539"/>
    </row>
    <row r="15" spans="1:56" ht="20.100000000000001" customHeight="1">
      <c r="A15" s="521"/>
      <c r="B15" s="25" t="s">
        <v>57</v>
      </c>
      <c r="C15" s="503" t="e">
        <f>급여대장!#REF!</f>
        <v>#REF!</v>
      </c>
      <c r="D15" s="503"/>
      <c r="E15" s="525" t="s">
        <v>29</v>
      </c>
      <c r="F15" s="526"/>
      <c r="G15" s="513" t="e">
        <f>급여대장!#REF!</f>
        <v>#REF!</v>
      </c>
      <c r="H15" s="514"/>
      <c r="I15" s="521"/>
      <c r="J15" s="25" t="s">
        <v>57</v>
      </c>
      <c r="K15" s="503"/>
      <c r="L15" s="503"/>
      <c r="M15" s="525" t="s">
        <v>29</v>
      </c>
      <c r="N15" s="526"/>
      <c r="O15" s="513"/>
      <c r="P15" s="514"/>
      <c r="Q15" s="521"/>
      <c r="R15" s="25" t="s">
        <v>57</v>
      </c>
      <c r="S15" s="503"/>
      <c r="T15" s="503"/>
      <c r="U15" s="553" t="s">
        <v>29</v>
      </c>
      <c r="V15" s="526"/>
      <c r="W15" s="513"/>
      <c r="X15" s="514"/>
      <c r="Y15" s="521"/>
      <c r="Z15" s="25" t="s">
        <v>57</v>
      </c>
      <c r="AA15" s="503"/>
      <c r="AB15" s="503"/>
      <c r="AC15" s="553" t="s">
        <v>29</v>
      </c>
      <c r="AD15" s="526"/>
      <c r="AE15" s="513"/>
      <c r="AF15" s="514"/>
      <c r="AG15" s="521"/>
      <c r="AH15" s="13" t="s">
        <v>47</v>
      </c>
      <c r="AI15" s="503" t="e">
        <f>VLOOKUP(AG1,급여대장!$A$6:$AD$15,10,0)</f>
        <v>#N/A</v>
      </c>
      <c r="AJ15" s="539"/>
      <c r="AK15" s="511" t="s">
        <v>29</v>
      </c>
      <c r="AL15" s="512"/>
      <c r="AM15" s="513" t="e">
        <f>VLOOKUP(AG1,급여대장!$A$6:$AD$15,19,0)</f>
        <v>#N/A</v>
      </c>
      <c r="AN15" s="514"/>
      <c r="AO15" s="521"/>
      <c r="AP15" s="13" t="s">
        <v>47</v>
      </c>
      <c r="AQ15" s="503" t="e">
        <f>VLOOKUP(AO1,급여대장!$A$6:$AD$15,10,0)</f>
        <v>#N/A</v>
      </c>
      <c r="AR15" s="539"/>
      <c r="AS15" s="511" t="s">
        <v>29</v>
      </c>
      <c r="AT15" s="512"/>
      <c r="AU15" s="503" t="e">
        <f>VLOOKUP(AO1,급여대장!$A$6:$AD$15,19,0)</f>
        <v>#N/A</v>
      </c>
      <c r="AV15" s="539"/>
      <c r="AW15" s="521"/>
      <c r="AX15" s="13" t="s">
        <v>47</v>
      </c>
      <c r="AY15" s="503" t="e">
        <f>VLOOKUP(AW1,급여대장!$A$6:$AD$15,10,0)</f>
        <v>#N/A</v>
      </c>
      <c r="AZ15" s="503"/>
      <c r="BA15" s="511" t="s">
        <v>29</v>
      </c>
      <c r="BB15" s="512"/>
      <c r="BC15" s="513" t="e">
        <f>VLOOKUP(AW1,급여대장!$A$6:$AD$15,19,0)</f>
        <v>#N/A</v>
      </c>
      <c r="BD15" s="514"/>
    </row>
    <row r="16" spans="1:56" ht="20.100000000000001" customHeight="1">
      <c r="A16" s="521"/>
      <c r="B16" s="24" t="s">
        <v>70</v>
      </c>
      <c r="C16" s="503" t="e">
        <f>급여대장!#REF!</f>
        <v>#REF!</v>
      </c>
      <c r="D16" s="503"/>
      <c r="E16" s="525" t="s">
        <v>30</v>
      </c>
      <c r="F16" s="526"/>
      <c r="G16" s="513" t="e">
        <f>급여대장!#REF!</f>
        <v>#REF!</v>
      </c>
      <c r="H16" s="514"/>
      <c r="I16" s="521"/>
      <c r="J16" s="24" t="s">
        <v>70</v>
      </c>
      <c r="K16" s="503"/>
      <c r="L16" s="503"/>
      <c r="M16" s="525" t="s">
        <v>30</v>
      </c>
      <c r="N16" s="526"/>
      <c r="O16" s="513"/>
      <c r="P16" s="514"/>
      <c r="Q16" s="521"/>
      <c r="R16" s="24" t="s">
        <v>70</v>
      </c>
      <c r="S16" s="503"/>
      <c r="T16" s="503"/>
      <c r="U16" s="553" t="s">
        <v>30</v>
      </c>
      <c r="V16" s="526"/>
      <c r="W16" s="513"/>
      <c r="X16" s="514"/>
      <c r="Y16" s="521"/>
      <c r="Z16" s="24" t="s">
        <v>70</v>
      </c>
      <c r="AA16" s="503"/>
      <c r="AB16" s="503"/>
      <c r="AC16" s="553" t="s">
        <v>30</v>
      </c>
      <c r="AD16" s="526"/>
      <c r="AE16" s="513"/>
      <c r="AF16" s="514"/>
      <c r="AG16" s="521"/>
      <c r="AH16" s="9" t="s">
        <v>49</v>
      </c>
      <c r="AI16" s="503" t="e">
        <f>VLOOKUP(AG1,급여대장!$A$6:$AD$15,13,0)</f>
        <v>#N/A</v>
      </c>
      <c r="AJ16" s="503"/>
      <c r="AK16" s="511" t="s">
        <v>30</v>
      </c>
      <c r="AL16" s="512"/>
      <c r="AM16" s="513" t="e">
        <f>VLOOKUP(AG1,급여대장!$A$6:$AD$15,20,0)</f>
        <v>#N/A</v>
      </c>
      <c r="AN16" s="514"/>
      <c r="AO16" s="521"/>
      <c r="AP16" s="9" t="s">
        <v>49</v>
      </c>
      <c r="AQ16" s="503" t="e">
        <f>VLOOKUP(AO1,급여대장!$A$6:$AD$15,13,0)</f>
        <v>#N/A</v>
      </c>
      <c r="AR16" s="539"/>
      <c r="AS16" s="511" t="s">
        <v>30</v>
      </c>
      <c r="AT16" s="512"/>
      <c r="AU16" s="503" t="e">
        <f>VLOOKUP(AO1,급여대장!$A$6:$AD$15,20,0)</f>
        <v>#N/A</v>
      </c>
      <c r="AV16" s="539"/>
      <c r="AW16" s="521"/>
      <c r="AX16" s="9" t="s">
        <v>49</v>
      </c>
      <c r="AY16" s="503" t="e">
        <f>VLOOKUP(AW1,급여대장!$A$6:$AD$15,13,0)</f>
        <v>#N/A</v>
      </c>
      <c r="AZ16" s="539"/>
      <c r="BA16" s="511" t="s">
        <v>30</v>
      </c>
      <c r="BB16" s="512"/>
      <c r="BC16" s="513" t="e">
        <f>VLOOKUP(AW1,급여대장!$A$6:$AD$15,20,0)</f>
        <v>#N/A</v>
      </c>
      <c r="BD16" s="514"/>
    </row>
    <row r="17" spans="1:58" ht="20.100000000000001" customHeight="1">
      <c r="A17" s="521"/>
      <c r="B17" s="24"/>
      <c r="C17" s="503"/>
      <c r="D17" s="503"/>
      <c r="E17" s="525" t="s">
        <v>31</v>
      </c>
      <c r="F17" s="526"/>
      <c r="G17" s="513" t="e">
        <f>급여대장!#REF!</f>
        <v>#REF!</v>
      </c>
      <c r="H17" s="514"/>
      <c r="I17" s="521"/>
      <c r="J17" s="24"/>
      <c r="K17" s="503"/>
      <c r="L17" s="503"/>
      <c r="M17" s="525" t="s">
        <v>31</v>
      </c>
      <c r="N17" s="526"/>
      <c r="O17" s="513"/>
      <c r="P17" s="514"/>
      <c r="Q17" s="521"/>
      <c r="R17" s="24"/>
      <c r="S17" s="503"/>
      <c r="T17" s="503"/>
      <c r="U17" s="525" t="s">
        <v>31</v>
      </c>
      <c r="V17" s="526"/>
      <c r="W17" s="513"/>
      <c r="X17" s="514"/>
      <c r="Y17" s="521"/>
      <c r="Z17" s="24"/>
      <c r="AA17" s="503"/>
      <c r="AB17" s="503"/>
      <c r="AC17" s="525" t="s">
        <v>31</v>
      </c>
      <c r="AD17" s="526"/>
      <c r="AE17" s="513"/>
      <c r="AF17" s="514"/>
      <c r="AG17" s="521"/>
      <c r="AH17" s="9"/>
      <c r="AI17" s="503"/>
      <c r="AJ17" s="503"/>
      <c r="AK17" s="511" t="s">
        <v>31</v>
      </c>
      <c r="AL17" s="512"/>
      <c r="AM17" s="513" t="e">
        <f>VLOOKUP(AG1,급여대장!$A$6:$AD$15,21,0)</f>
        <v>#N/A</v>
      </c>
      <c r="AN17" s="514"/>
      <c r="AO17" s="521"/>
      <c r="AP17" s="9"/>
      <c r="AQ17" s="503"/>
      <c r="AR17" s="503"/>
      <c r="AS17" s="511" t="s">
        <v>31</v>
      </c>
      <c r="AT17" s="512"/>
      <c r="AU17" s="503" t="e">
        <f>VLOOKUP(AO1,급여대장!$A$6:$AD$15,21,0)</f>
        <v>#N/A</v>
      </c>
      <c r="AV17" s="539"/>
      <c r="AW17" s="521"/>
      <c r="AX17" s="9"/>
      <c r="AY17" s="503"/>
      <c r="AZ17" s="503"/>
      <c r="BA17" s="511" t="s">
        <v>31</v>
      </c>
      <c r="BB17" s="512"/>
      <c r="BC17" s="513" t="e">
        <f>VLOOKUP(AW1,급여대장!$A$6:$AD$15,21,0)</f>
        <v>#N/A</v>
      </c>
      <c r="BD17" s="514"/>
      <c r="BF17" s="27"/>
    </row>
    <row r="18" spans="1:58" ht="20.100000000000001" customHeight="1">
      <c r="A18" s="521"/>
      <c r="B18" s="24"/>
      <c r="C18" s="503"/>
      <c r="D18" s="503"/>
      <c r="E18" s="523" t="s">
        <v>71</v>
      </c>
      <c r="F18" s="524"/>
      <c r="G18" s="513" t="e">
        <f>급여대장!#REF!</f>
        <v>#REF!</v>
      </c>
      <c r="H18" s="514"/>
      <c r="I18" s="521"/>
      <c r="J18" s="24"/>
      <c r="K18" s="503"/>
      <c r="L18" s="503"/>
      <c r="M18" s="523" t="s">
        <v>71</v>
      </c>
      <c r="N18" s="524"/>
      <c r="O18" s="513"/>
      <c r="P18" s="514"/>
      <c r="Q18" s="521"/>
      <c r="R18" s="24"/>
      <c r="S18" s="503"/>
      <c r="T18" s="503"/>
      <c r="U18" s="523" t="s">
        <v>71</v>
      </c>
      <c r="V18" s="524"/>
      <c r="W18" s="513"/>
      <c r="X18" s="514"/>
      <c r="Y18" s="521"/>
      <c r="Z18" s="24"/>
      <c r="AA18" s="503"/>
      <c r="AB18" s="503"/>
      <c r="AC18" s="523" t="s">
        <v>71</v>
      </c>
      <c r="AD18" s="524"/>
      <c r="AE18" s="513"/>
      <c r="AF18" s="514"/>
      <c r="AG18" s="521"/>
      <c r="AH18" s="9"/>
      <c r="AI18" s="513"/>
      <c r="AJ18" s="527"/>
      <c r="AK18" s="537" t="s">
        <v>45</v>
      </c>
      <c r="AL18" s="538"/>
      <c r="AM18" s="513" t="e">
        <f>VLOOKUP(AG1,급여대장!$A$6:$AD$15,24,0)</f>
        <v>#N/A</v>
      </c>
      <c r="AN18" s="514"/>
      <c r="AO18" s="521"/>
      <c r="AP18" s="9"/>
      <c r="AQ18" s="513"/>
      <c r="AR18" s="527"/>
      <c r="AS18" s="537"/>
      <c r="AT18" s="538"/>
      <c r="AU18" s="513"/>
      <c r="AV18" s="514"/>
      <c r="AW18" s="521"/>
      <c r="AX18" s="9"/>
      <c r="AY18" s="513"/>
      <c r="AZ18" s="527"/>
      <c r="BA18" s="537"/>
      <c r="BB18" s="538"/>
      <c r="BC18" s="513"/>
      <c r="BD18" s="514"/>
    </row>
    <row r="19" spans="1:58" ht="20.100000000000001" customHeight="1">
      <c r="A19" s="521"/>
      <c r="B19" s="24"/>
      <c r="C19" s="513"/>
      <c r="D19" s="527"/>
      <c r="E19" s="523" t="s">
        <v>76</v>
      </c>
      <c r="F19" s="524"/>
      <c r="G19" s="513" t="e">
        <f>급여대장!#REF!</f>
        <v>#REF!</v>
      </c>
      <c r="H19" s="514"/>
      <c r="I19" s="522"/>
      <c r="J19" s="24"/>
      <c r="K19" s="513"/>
      <c r="L19" s="527"/>
      <c r="M19" s="523" t="s">
        <v>76</v>
      </c>
      <c r="N19" s="524"/>
      <c r="O19" s="513"/>
      <c r="P19" s="514"/>
      <c r="Q19" s="522"/>
      <c r="R19" s="24"/>
      <c r="S19" s="513"/>
      <c r="T19" s="527"/>
      <c r="U19" s="523"/>
      <c r="V19" s="524"/>
      <c r="W19" s="513"/>
      <c r="X19" s="514"/>
      <c r="Y19" s="522"/>
      <c r="Z19" s="24"/>
      <c r="AA19" s="513"/>
      <c r="AB19" s="527"/>
      <c r="AC19" s="523"/>
      <c r="AD19" s="524"/>
      <c r="AE19" s="513"/>
      <c r="AF19" s="514"/>
      <c r="AG19" s="522"/>
      <c r="AH19" s="9"/>
      <c r="AI19" s="513"/>
      <c r="AJ19" s="527"/>
      <c r="AK19" s="537" t="s">
        <v>48</v>
      </c>
      <c r="AL19" s="538"/>
      <c r="AM19" s="513" t="e">
        <f>VLOOKUP(AG1,급여대장!$A$6:$AD$15,25,0)</f>
        <v>#N/A</v>
      </c>
      <c r="AN19" s="514"/>
      <c r="AO19" s="522"/>
      <c r="AP19" s="9"/>
      <c r="AQ19" s="513"/>
      <c r="AR19" s="527"/>
      <c r="AS19" s="537"/>
      <c r="AT19" s="538"/>
      <c r="AU19" s="513"/>
      <c r="AV19" s="514"/>
      <c r="AW19" s="522"/>
      <c r="AX19" s="9"/>
      <c r="AY19" s="513"/>
      <c r="AZ19" s="527"/>
      <c r="BA19" s="537"/>
      <c r="BB19" s="538"/>
      <c r="BC19" s="513"/>
      <c r="BD19" s="514"/>
    </row>
    <row r="20" spans="1:58" ht="20.100000000000001" customHeight="1">
      <c r="A20" s="521"/>
      <c r="B20" s="24"/>
      <c r="C20" s="14"/>
      <c r="D20" s="15"/>
      <c r="E20" s="523"/>
      <c r="F20" s="524"/>
      <c r="G20" s="513"/>
      <c r="H20" s="514"/>
      <c r="I20" s="19"/>
      <c r="J20" s="24"/>
      <c r="K20" s="14"/>
      <c r="L20" s="15"/>
      <c r="M20" s="523"/>
      <c r="N20" s="524"/>
      <c r="O20" s="513"/>
      <c r="P20" s="514"/>
      <c r="Q20" s="19"/>
      <c r="R20" s="24"/>
      <c r="S20" s="14"/>
      <c r="T20" s="15"/>
      <c r="U20" s="523"/>
      <c r="V20" s="524"/>
      <c r="W20" s="513"/>
      <c r="X20" s="514"/>
      <c r="Y20" s="19"/>
      <c r="Z20" s="24"/>
      <c r="AA20" s="14"/>
      <c r="AB20" s="15"/>
      <c r="AC20" s="523"/>
      <c r="AD20" s="524"/>
      <c r="AE20" s="513"/>
      <c r="AF20" s="514"/>
      <c r="AG20" s="19"/>
      <c r="AH20" s="9"/>
      <c r="AI20" s="14"/>
      <c r="AJ20" s="15"/>
      <c r="AK20" s="537"/>
      <c r="AL20" s="538"/>
      <c r="AM20" s="513"/>
      <c r="AN20" s="514"/>
      <c r="AO20" s="19"/>
      <c r="AP20" s="9"/>
      <c r="AQ20" s="14"/>
      <c r="AR20" s="15"/>
      <c r="AS20" s="537"/>
      <c r="AT20" s="538"/>
      <c r="AU20" s="513"/>
      <c r="AV20" s="514"/>
      <c r="AW20" s="19"/>
      <c r="AX20" s="9"/>
      <c r="AY20" s="14"/>
      <c r="AZ20" s="15"/>
      <c r="BA20" s="16"/>
      <c r="BB20" s="17"/>
      <c r="BC20" s="14"/>
      <c r="BD20" s="18"/>
    </row>
    <row r="21" spans="1:58" ht="20.100000000000001" customHeight="1">
      <c r="A21" s="522"/>
      <c r="B21" s="24"/>
      <c r="C21" s="14"/>
      <c r="D21" s="15"/>
      <c r="E21" s="523"/>
      <c r="F21" s="524"/>
      <c r="G21" s="513"/>
      <c r="H21" s="514"/>
      <c r="I21" s="19"/>
      <c r="J21" s="24"/>
      <c r="K21" s="14"/>
      <c r="L21" s="15"/>
      <c r="M21" s="523"/>
      <c r="N21" s="524"/>
      <c r="O21" s="513"/>
      <c r="P21" s="514"/>
      <c r="Q21" s="19"/>
      <c r="R21" s="24"/>
      <c r="S21" s="14"/>
      <c r="T21" s="15"/>
      <c r="U21" s="523"/>
      <c r="V21" s="524"/>
      <c r="W21" s="513"/>
      <c r="X21" s="514"/>
      <c r="Y21" s="19"/>
      <c r="Z21" s="24"/>
      <c r="AA21" s="14"/>
      <c r="AB21" s="15"/>
      <c r="AC21" s="523"/>
      <c r="AD21" s="524"/>
      <c r="AE21" s="513"/>
      <c r="AF21" s="514"/>
      <c r="AG21" s="19"/>
      <c r="AH21" s="9"/>
      <c r="AI21" s="14"/>
      <c r="AJ21" s="15"/>
      <c r="AK21" s="537"/>
      <c r="AL21" s="538"/>
      <c r="AM21" s="513"/>
      <c r="AN21" s="514"/>
      <c r="AO21" s="19"/>
      <c r="AP21" s="9"/>
      <c r="AQ21" s="14"/>
      <c r="AR21" s="15"/>
      <c r="AS21" s="537"/>
      <c r="AT21" s="538"/>
      <c r="AU21" s="513"/>
      <c r="AV21" s="514"/>
      <c r="AW21" s="19"/>
      <c r="AX21" s="9"/>
      <c r="AY21" s="14"/>
      <c r="AZ21" s="15"/>
      <c r="BA21" s="16"/>
      <c r="BB21" s="17"/>
      <c r="BC21" s="14"/>
      <c r="BD21" s="18"/>
    </row>
    <row r="22" spans="1:58" ht="20.100000000000001" customHeight="1">
      <c r="A22" s="520" t="s">
        <v>32</v>
      </c>
      <c r="B22" s="24" t="s">
        <v>49</v>
      </c>
      <c r="C22" s="503" t="e">
        <f>급여대장!#REF!</f>
        <v>#REF!</v>
      </c>
      <c r="D22" s="503"/>
      <c r="E22" s="523"/>
      <c r="F22" s="524"/>
      <c r="G22" s="562"/>
      <c r="H22" s="563"/>
      <c r="I22" s="520" t="s">
        <v>32</v>
      </c>
      <c r="J22" s="24" t="s">
        <v>49</v>
      </c>
      <c r="K22" s="503" t="e">
        <f>급여대장!#REF!</f>
        <v>#REF!</v>
      </c>
      <c r="L22" s="503"/>
      <c r="M22" s="523"/>
      <c r="N22" s="524"/>
      <c r="O22" s="513"/>
      <c r="P22" s="514"/>
      <c r="Q22" s="520" t="s">
        <v>32</v>
      </c>
      <c r="R22" s="24" t="s">
        <v>49</v>
      </c>
      <c r="S22" s="503"/>
      <c r="T22" s="503"/>
      <c r="U22" s="523"/>
      <c r="V22" s="524"/>
      <c r="W22" s="513"/>
      <c r="X22" s="514"/>
      <c r="Y22" s="520" t="s">
        <v>32</v>
      </c>
      <c r="Z22" s="24" t="s">
        <v>49</v>
      </c>
      <c r="AA22" s="503"/>
      <c r="AB22" s="503"/>
      <c r="AC22" s="537"/>
      <c r="AD22" s="538"/>
      <c r="AE22" s="513"/>
      <c r="AF22" s="514"/>
      <c r="AG22" s="520" t="s">
        <v>32</v>
      </c>
      <c r="AH22" s="9"/>
      <c r="AI22" s="513"/>
      <c r="AJ22" s="527"/>
      <c r="AK22" s="537"/>
      <c r="AL22" s="538"/>
      <c r="AM22" s="513"/>
      <c r="AN22" s="514"/>
      <c r="AO22" s="520" t="s">
        <v>32</v>
      </c>
      <c r="AP22" s="9"/>
      <c r="AQ22" s="513"/>
      <c r="AR22" s="527"/>
      <c r="AS22" s="537"/>
      <c r="AT22" s="538"/>
      <c r="AU22" s="513"/>
      <c r="AV22" s="514"/>
      <c r="AW22" s="520" t="s">
        <v>32</v>
      </c>
      <c r="AX22" s="9"/>
      <c r="AY22" s="513"/>
      <c r="AZ22" s="527"/>
      <c r="BA22" s="537"/>
      <c r="BB22" s="538"/>
      <c r="BC22" s="513"/>
      <c r="BD22" s="514"/>
    </row>
    <row r="23" spans="1:58" ht="20.100000000000001" customHeight="1">
      <c r="A23" s="521"/>
      <c r="B23" s="24"/>
      <c r="C23" s="513"/>
      <c r="D23" s="527"/>
      <c r="E23" s="523"/>
      <c r="F23" s="524"/>
      <c r="G23" s="562"/>
      <c r="H23" s="563"/>
      <c r="I23" s="521"/>
      <c r="J23" s="24"/>
      <c r="K23" s="513"/>
      <c r="L23" s="527"/>
      <c r="M23" s="523"/>
      <c r="N23" s="524"/>
      <c r="O23" s="513"/>
      <c r="P23" s="514"/>
      <c r="Q23" s="521"/>
      <c r="R23" s="24"/>
      <c r="S23" s="513"/>
      <c r="T23" s="527"/>
      <c r="U23" s="523"/>
      <c r="V23" s="524"/>
      <c r="W23" s="513"/>
      <c r="X23" s="514"/>
      <c r="Y23" s="521"/>
      <c r="Z23" s="24"/>
      <c r="AA23" s="513"/>
      <c r="AB23" s="527"/>
      <c r="AC23" s="537"/>
      <c r="AD23" s="538"/>
      <c r="AE23" s="513"/>
      <c r="AF23" s="514"/>
      <c r="AG23" s="521"/>
      <c r="AH23" s="9"/>
      <c r="AI23" s="513"/>
      <c r="AJ23" s="527"/>
      <c r="AK23" s="537"/>
      <c r="AL23" s="538"/>
      <c r="AM23" s="513"/>
      <c r="AN23" s="514"/>
      <c r="AO23" s="521"/>
      <c r="AP23" s="9"/>
      <c r="AQ23" s="513"/>
      <c r="AR23" s="527"/>
      <c r="AS23" s="537"/>
      <c r="AT23" s="538"/>
      <c r="AU23" s="513"/>
      <c r="AV23" s="514"/>
      <c r="AW23" s="521"/>
      <c r="AX23" s="9"/>
      <c r="AY23" s="513"/>
      <c r="AZ23" s="527"/>
      <c r="BA23" s="537"/>
      <c r="BB23" s="538"/>
      <c r="BC23" s="513"/>
      <c r="BD23" s="514"/>
    </row>
    <row r="24" spans="1:58" ht="20.100000000000001" customHeight="1">
      <c r="A24" s="522"/>
      <c r="B24" s="24"/>
      <c r="C24" s="513"/>
      <c r="D24" s="527"/>
      <c r="E24" s="523"/>
      <c r="F24" s="524"/>
      <c r="G24" s="513"/>
      <c r="H24" s="514"/>
      <c r="I24" s="522"/>
      <c r="J24" s="24"/>
      <c r="K24" s="513"/>
      <c r="L24" s="527"/>
      <c r="M24" s="523"/>
      <c r="N24" s="524"/>
      <c r="O24" s="513"/>
      <c r="P24" s="514"/>
      <c r="Q24" s="522"/>
      <c r="R24" s="24"/>
      <c r="S24" s="513"/>
      <c r="T24" s="527"/>
      <c r="U24" s="523"/>
      <c r="V24" s="524"/>
      <c r="W24" s="513"/>
      <c r="X24" s="514"/>
      <c r="Y24" s="522"/>
      <c r="Z24" s="24"/>
      <c r="AA24" s="513"/>
      <c r="AB24" s="527"/>
      <c r="AC24" s="537"/>
      <c r="AD24" s="538"/>
      <c r="AE24" s="513"/>
      <c r="AF24" s="514"/>
      <c r="AG24" s="522"/>
      <c r="AH24" s="9"/>
      <c r="AI24" s="513"/>
      <c r="AJ24" s="527"/>
      <c r="AK24" s="537"/>
      <c r="AL24" s="538"/>
      <c r="AM24" s="513"/>
      <c r="AN24" s="514"/>
      <c r="AO24" s="522"/>
      <c r="AP24" s="9"/>
      <c r="AQ24" s="513"/>
      <c r="AR24" s="527"/>
      <c r="AS24" s="537"/>
      <c r="AT24" s="538"/>
      <c r="AU24" s="513"/>
      <c r="AV24" s="514"/>
      <c r="AW24" s="522"/>
      <c r="AX24" s="9"/>
      <c r="AY24" s="513"/>
      <c r="AZ24" s="527"/>
      <c r="BA24" s="537"/>
      <c r="BB24" s="538"/>
      <c r="BC24" s="513"/>
      <c r="BD24" s="514"/>
    </row>
    <row r="25" spans="1:58" ht="20.100000000000001" customHeight="1">
      <c r="A25" s="561" t="s">
        <v>33</v>
      </c>
      <c r="B25" s="550"/>
      <c r="C25" s="528" t="e">
        <f>SUM(C12:D24)</f>
        <v>#REF!</v>
      </c>
      <c r="D25" s="528"/>
      <c r="E25" s="509" t="s">
        <v>34</v>
      </c>
      <c r="F25" s="510"/>
      <c r="G25" s="528" t="e">
        <f>SUM(G12:H24)</f>
        <v>#REF!</v>
      </c>
      <c r="H25" s="529"/>
      <c r="I25" s="561" t="s">
        <v>33</v>
      </c>
      <c r="J25" s="550"/>
      <c r="K25" s="528" t="e">
        <f>SUM(K12:L24)</f>
        <v>#REF!</v>
      </c>
      <c r="L25" s="528"/>
      <c r="M25" s="509" t="s">
        <v>34</v>
      </c>
      <c r="N25" s="510"/>
      <c r="O25" s="528">
        <f>SUM(O12:P24)</f>
        <v>0</v>
      </c>
      <c r="P25" s="529"/>
      <c r="Q25" s="561" t="s">
        <v>33</v>
      </c>
      <c r="R25" s="550"/>
      <c r="S25" s="528">
        <f>SUM(S12:T24)</f>
        <v>0</v>
      </c>
      <c r="T25" s="528"/>
      <c r="U25" s="509" t="s">
        <v>34</v>
      </c>
      <c r="V25" s="510"/>
      <c r="W25" s="528">
        <f>SUM(W12:X24)</f>
        <v>0</v>
      </c>
      <c r="X25" s="529"/>
      <c r="Y25" s="561" t="s">
        <v>33</v>
      </c>
      <c r="Z25" s="550"/>
      <c r="AA25" s="528">
        <f>SUM(AA12:AB24)</f>
        <v>0</v>
      </c>
      <c r="AB25" s="528"/>
      <c r="AC25" s="509" t="s">
        <v>34</v>
      </c>
      <c r="AD25" s="510"/>
      <c r="AE25" s="528">
        <f>SUM(AE12:AF24)</f>
        <v>0</v>
      </c>
      <c r="AF25" s="529"/>
      <c r="AG25" s="534" t="s">
        <v>33</v>
      </c>
      <c r="AH25" s="505"/>
      <c r="AI25" s="503" t="e">
        <f>SUM(AI12:AJ24)</f>
        <v>#N/A</v>
      </c>
      <c r="AJ25" s="503"/>
      <c r="AK25" s="511" t="s">
        <v>34</v>
      </c>
      <c r="AL25" s="512"/>
      <c r="AM25" s="503" t="e">
        <f>SUM(AM12:AN24)</f>
        <v>#N/A</v>
      </c>
      <c r="AN25" s="539"/>
      <c r="AO25" s="534" t="s">
        <v>33</v>
      </c>
      <c r="AP25" s="505"/>
      <c r="AQ25" s="503" t="e">
        <f>SUM(AQ12:AR24)</f>
        <v>#N/A</v>
      </c>
      <c r="AR25" s="503"/>
      <c r="AS25" s="511" t="s">
        <v>34</v>
      </c>
      <c r="AT25" s="512"/>
      <c r="AU25" s="503" t="e">
        <f>SUM(AU12:AV24)</f>
        <v>#N/A</v>
      </c>
      <c r="AV25" s="539"/>
      <c r="AW25" s="534" t="s">
        <v>33</v>
      </c>
      <c r="AX25" s="505"/>
      <c r="AY25" s="503" t="e">
        <f>SUM(AY12:AZ24)</f>
        <v>#N/A</v>
      </c>
      <c r="AZ25" s="503"/>
      <c r="BA25" s="511" t="s">
        <v>34</v>
      </c>
      <c r="BB25" s="512"/>
      <c r="BC25" s="503" t="e">
        <f>SUM(BC12:BD24)</f>
        <v>#N/A</v>
      </c>
      <c r="BD25" s="539"/>
    </row>
    <row r="26" spans="1:58" ht="20.100000000000001" customHeight="1">
      <c r="A26" s="507"/>
      <c r="B26" s="508"/>
      <c r="C26" s="10"/>
      <c r="D26" s="10"/>
      <c r="E26" s="509" t="s">
        <v>35</v>
      </c>
      <c r="F26" s="510"/>
      <c r="G26" s="528" t="e">
        <f>C25-G25</f>
        <v>#REF!</v>
      </c>
      <c r="H26" s="529"/>
      <c r="I26" s="507"/>
      <c r="J26" s="508"/>
      <c r="K26" s="10"/>
      <c r="L26" s="10"/>
      <c r="M26" s="509" t="s">
        <v>35</v>
      </c>
      <c r="N26" s="510"/>
      <c r="O26" s="528" t="e">
        <f>K25-O25</f>
        <v>#REF!</v>
      </c>
      <c r="P26" s="529"/>
      <c r="Q26" s="507"/>
      <c r="R26" s="508"/>
      <c r="S26" s="10"/>
      <c r="T26" s="10"/>
      <c r="U26" s="509" t="s">
        <v>35</v>
      </c>
      <c r="V26" s="510"/>
      <c r="W26" s="528">
        <f>S25-W25</f>
        <v>0</v>
      </c>
      <c r="X26" s="529"/>
      <c r="Y26" s="507"/>
      <c r="Z26" s="508"/>
      <c r="AA26" s="10"/>
      <c r="AB26" s="10"/>
      <c r="AC26" s="509" t="s">
        <v>35</v>
      </c>
      <c r="AD26" s="510"/>
      <c r="AE26" s="528">
        <f>AA25-AE25</f>
        <v>0</v>
      </c>
      <c r="AF26" s="529"/>
      <c r="AG26" s="507"/>
      <c r="AH26" s="508"/>
      <c r="AI26" s="10"/>
      <c r="AJ26" s="10"/>
      <c r="AK26" s="511" t="s">
        <v>35</v>
      </c>
      <c r="AL26" s="512"/>
      <c r="AM26" s="503" t="e">
        <f>AI25-AM25</f>
        <v>#N/A</v>
      </c>
      <c r="AN26" s="539"/>
      <c r="AO26" s="507"/>
      <c r="AP26" s="508"/>
      <c r="AQ26" s="10"/>
      <c r="AR26" s="10"/>
      <c r="AS26" s="511" t="s">
        <v>35</v>
      </c>
      <c r="AT26" s="512"/>
      <c r="AU26" s="503" t="e">
        <f>AQ25-AU25</f>
        <v>#N/A</v>
      </c>
      <c r="AV26" s="539"/>
      <c r="AW26" s="507"/>
      <c r="AX26" s="508"/>
      <c r="AY26" s="10"/>
      <c r="AZ26" s="10"/>
      <c r="BA26" s="511" t="s">
        <v>35</v>
      </c>
      <c r="BB26" s="512"/>
      <c r="BC26" s="503" t="e">
        <f>AY25-BC25</f>
        <v>#N/A</v>
      </c>
      <c r="BD26" s="539"/>
    </row>
    <row r="27" spans="1:58" ht="22.5" customHeight="1">
      <c r="A27" s="588" t="s">
        <v>77</v>
      </c>
      <c r="B27" s="589"/>
      <c r="C27" s="589"/>
      <c r="D27" s="589"/>
      <c r="E27" s="589"/>
      <c r="F27" s="589"/>
      <c r="G27" s="589"/>
      <c r="H27" s="590"/>
      <c r="I27" s="588" t="s">
        <v>77</v>
      </c>
      <c r="J27" s="589"/>
      <c r="K27" s="589"/>
      <c r="L27" s="589"/>
      <c r="M27" s="589"/>
      <c r="N27" s="589"/>
      <c r="O27" s="589"/>
      <c r="P27" s="590"/>
      <c r="Q27" s="588" t="s">
        <v>77</v>
      </c>
      <c r="R27" s="589"/>
      <c r="S27" s="589"/>
      <c r="T27" s="589"/>
      <c r="U27" s="589"/>
      <c r="V27" s="589"/>
      <c r="W27" s="589"/>
      <c r="X27" s="590"/>
      <c r="Y27" s="588" t="s">
        <v>77</v>
      </c>
      <c r="Z27" s="589"/>
      <c r="AA27" s="589"/>
      <c r="AB27" s="589"/>
      <c r="AC27" s="589"/>
      <c r="AD27" s="589"/>
      <c r="AE27" s="589"/>
      <c r="AF27" s="590"/>
      <c r="AG27" s="588" t="s">
        <v>77</v>
      </c>
      <c r="AH27" s="589"/>
      <c r="AI27" s="589"/>
      <c r="AJ27" s="589"/>
      <c r="AK27" s="589"/>
      <c r="AL27" s="589"/>
      <c r="AM27" s="589"/>
      <c r="AN27" s="590"/>
      <c r="AO27" s="588" t="s">
        <v>77</v>
      </c>
      <c r="AP27" s="589"/>
      <c r="AQ27" s="589"/>
      <c r="AR27" s="589"/>
      <c r="AS27" s="589"/>
      <c r="AT27" s="589"/>
      <c r="AU27" s="589"/>
      <c r="AV27" s="590"/>
      <c r="AW27" s="588" t="s">
        <v>77</v>
      </c>
      <c r="AX27" s="589"/>
      <c r="AY27" s="589"/>
      <c r="AZ27" s="589"/>
      <c r="BA27" s="589"/>
      <c r="BB27" s="589"/>
      <c r="BC27" s="589"/>
      <c r="BD27" s="590"/>
    </row>
    <row r="28" spans="1:58" ht="20.100000000000001" customHeight="1">
      <c r="A28" s="534" t="s">
        <v>36</v>
      </c>
      <c r="B28" s="505"/>
      <c r="C28" s="505"/>
      <c r="D28" s="505"/>
      <c r="E28" s="505"/>
      <c r="F28" s="505"/>
      <c r="G28" s="505"/>
      <c r="H28" s="506"/>
      <c r="I28" s="534" t="s">
        <v>36</v>
      </c>
      <c r="J28" s="505"/>
      <c r="K28" s="505"/>
      <c r="L28" s="505"/>
      <c r="M28" s="505"/>
      <c r="N28" s="505"/>
      <c r="O28" s="505"/>
      <c r="P28" s="506"/>
      <c r="Q28" s="534" t="s">
        <v>36</v>
      </c>
      <c r="R28" s="505"/>
      <c r="S28" s="505"/>
      <c r="T28" s="505"/>
      <c r="U28" s="505"/>
      <c r="V28" s="505"/>
      <c r="W28" s="505"/>
      <c r="X28" s="506"/>
      <c r="Y28" s="534" t="s">
        <v>36</v>
      </c>
      <c r="Z28" s="505"/>
      <c r="AA28" s="505"/>
      <c r="AB28" s="505"/>
      <c r="AC28" s="505"/>
      <c r="AD28" s="505"/>
      <c r="AE28" s="505"/>
      <c r="AF28" s="506"/>
      <c r="AG28" s="534" t="s">
        <v>36</v>
      </c>
      <c r="AH28" s="505"/>
      <c r="AI28" s="505"/>
      <c r="AJ28" s="505"/>
      <c r="AK28" s="505"/>
      <c r="AL28" s="505"/>
      <c r="AM28" s="505"/>
      <c r="AN28" s="506"/>
      <c r="AO28" s="534" t="s">
        <v>36</v>
      </c>
      <c r="AP28" s="505"/>
      <c r="AQ28" s="505"/>
      <c r="AR28" s="505"/>
      <c r="AS28" s="505"/>
      <c r="AT28" s="505"/>
      <c r="AU28" s="505"/>
      <c r="AV28" s="506"/>
      <c r="AW28" s="534" t="s">
        <v>36</v>
      </c>
      <c r="AX28" s="505"/>
      <c r="AY28" s="505"/>
      <c r="AZ28" s="505"/>
      <c r="BA28" s="505"/>
      <c r="BB28" s="505"/>
      <c r="BC28" s="505"/>
      <c r="BD28" s="506"/>
    </row>
    <row r="29" spans="1:58" ht="20.100000000000001" customHeight="1">
      <c r="A29" s="501" t="s">
        <v>37</v>
      </c>
      <c r="B29" s="502"/>
      <c r="C29" s="505" t="s">
        <v>38</v>
      </c>
      <c r="D29" s="505"/>
      <c r="E29" s="505"/>
      <c r="F29" s="505"/>
      <c r="G29" s="505" t="s">
        <v>39</v>
      </c>
      <c r="H29" s="506"/>
      <c r="I29" s="501" t="s">
        <v>37</v>
      </c>
      <c r="J29" s="502"/>
      <c r="K29" s="505" t="s">
        <v>38</v>
      </c>
      <c r="L29" s="505"/>
      <c r="M29" s="505"/>
      <c r="N29" s="505"/>
      <c r="O29" s="505" t="s">
        <v>39</v>
      </c>
      <c r="P29" s="506"/>
      <c r="Q29" s="501" t="s">
        <v>37</v>
      </c>
      <c r="R29" s="502"/>
      <c r="S29" s="505" t="s">
        <v>38</v>
      </c>
      <c r="T29" s="505"/>
      <c r="U29" s="505"/>
      <c r="V29" s="505"/>
      <c r="W29" s="505" t="s">
        <v>39</v>
      </c>
      <c r="X29" s="506"/>
      <c r="Y29" s="501" t="s">
        <v>37</v>
      </c>
      <c r="Z29" s="502"/>
      <c r="AA29" s="505" t="s">
        <v>38</v>
      </c>
      <c r="AB29" s="505"/>
      <c r="AC29" s="505"/>
      <c r="AD29" s="505"/>
      <c r="AE29" s="505" t="s">
        <v>39</v>
      </c>
      <c r="AF29" s="506"/>
      <c r="AG29" s="534" t="s">
        <v>37</v>
      </c>
      <c r="AH29" s="505"/>
      <c r="AI29" s="505" t="s">
        <v>38</v>
      </c>
      <c r="AJ29" s="505"/>
      <c r="AK29" s="505"/>
      <c r="AL29" s="505"/>
      <c r="AM29" s="505" t="s">
        <v>39</v>
      </c>
      <c r="AN29" s="506"/>
      <c r="AO29" s="534" t="s">
        <v>37</v>
      </c>
      <c r="AP29" s="505"/>
      <c r="AQ29" s="505" t="s">
        <v>38</v>
      </c>
      <c r="AR29" s="505"/>
      <c r="AS29" s="505"/>
      <c r="AT29" s="505"/>
      <c r="AU29" s="505" t="s">
        <v>39</v>
      </c>
      <c r="AV29" s="506"/>
      <c r="AW29" s="534" t="s">
        <v>37</v>
      </c>
      <c r="AX29" s="505"/>
      <c r="AY29" s="505" t="s">
        <v>38</v>
      </c>
      <c r="AZ29" s="505"/>
      <c r="BA29" s="505"/>
      <c r="BB29" s="505"/>
      <c r="BC29" s="505" t="s">
        <v>39</v>
      </c>
      <c r="BD29" s="506"/>
    </row>
    <row r="30" spans="1:58" ht="20.100000000000001" customHeight="1">
      <c r="A30" s="501" t="s">
        <v>65</v>
      </c>
      <c r="B30" s="502"/>
      <c r="C30" s="511" t="s">
        <v>87</v>
      </c>
      <c r="D30" s="499"/>
      <c r="E30" s="499"/>
      <c r="F30" s="512"/>
      <c r="G30" s="503" t="e">
        <f>C12</f>
        <v>#REF!</v>
      </c>
      <c r="H30" s="504"/>
      <c r="I30" s="501"/>
      <c r="J30" s="502"/>
      <c r="K30" s="511"/>
      <c r="L30" s="499"/>
      <c r="M30" s="499"/>
      <c r="N30" s="512"/>
      <c r="O30" s="503"/>
      <c r="P30" s="504"/>
      <c r="Q30" s="501"/>
      <c r="R30" s="502"/>
      <c r="S30" s="511"/>
      <c r="T30" s="499"/>
      <c r="U30" s="499"/>
      <c r="V30" s="512"/>
      <c r="W30" s="503"/>
      <c r="X30" s="504"/>
      <c r="Y30" s="501"/>
      <c r="Z30" s="502"/>
      <c r="AA30" s="511"/>
      <c r="AB30" s="499"/>
      <c r="AC30" s="499"/>
      <c r="AD30" s="512"/>
      <c r="AE30" s="503"/>
      <c r="AF30" s="504"/>
      <c r="AG30" s="534" t="s">
        <v>57</v>
      </c>
      <c r="AH30" s="505"/>
      <c r="AI30" s="511" t="s">
        <v>58</v>
      </c>
      <c r="AJ30" s="499"/>
      <c r="AK30" s="499"/>
      <c r="AL30" s="512"/>
      <c r="AM30" s="503" t="e">
        <f>AI15</f>
        <v>#N/A</v>
      </c>
      <c r="AN30" s="504"/>
      <c r="AO30" s="534" t="s">
        <v>57</v>
      </c>
      <c r="AP30" s="505"/>
      <c r="AQ30" s="511" t="s">
        <v>58</v>
      </c>
      <c r="AR30" s="499"/>
      <c r="AS30" s="499"/>
      <c r="AT30" s="512"/>
      <c r="AU30" s="503" t="e">
        <f>BC30</f>
        <v>#N/A</v>
      </c>
      <c r="AV30" s="504"/>
      <c r="AW30" s="534" t="s">
        <v>57</v>
      </c>
      <c r="AX30" s="505"/>
      <c r="AY30" s="511" t="s">
        <v>58</v>
      </c>
      <c r="AZ30" s="499"/>
      <c r="BA30" s="499"/>
      <c r="BB30" s="512"/>
      <c r="BC30" s="503" t="e">
        <f>AY15</f>
        <v>#N/A</v>
      </c>
      <c r="BD30" s="504"/>
    </row>
    <row r="31" spans="1:58" ht="20.100000000000001" customHeight="1">
      <c r="A31" s="501" t="s">
        <v>57</v>
      </c>
      <c r="B31" s="502"/>
      <c r="C31" s="511"/>
      <c r="D31" s="499"/>
      <c r="E31" s="499"/>
      <c r="F31" s="512"/>
      <c r="G31" s="503" t="e">
        <f>C15</f>
        <v>#REF!</v>
      </c>
      <c r="H31" s="504"/>
      <c r="I31" s="501"/>
      <c r="J31" s="502"/>
      <c r="K31" s="511"/>
      <c r="L31" s="499"/>
      <c r="M31" s="499"/>
      <c r="N31" s="512"/>
      <c r="O31" s="503"/>
      <c r="P31" s="504"/>
      <c r="Q31" s="501"/>
      <c r="R31" s="502"/>
      <c r="S31" s="511"/>
      <c r="T31" s="499"/>
      <c r="U31" s="499"/>
      <c r="V31" s="512"/>
      <c r="W31" s="503"/>
      <c r="X31" s="504"/>
      <c r="Y31" s="501"/>
      <c r="Z31" s="502"/>
      <c r="AA31" s="511"/>
      <c r="AB31" s="499"/>
      <c r="AC31" s="499"/>
      <c r="AD31" s="512"/>
      <c r="AE31" s="503"/>
      <c r="AF31" s="504"/>
      <c r="AG31" s="534"/>
      <c r="AH31" s="505"/>
      <c r="AI31" s="11"/>
      <c r="AJ31" s="7"/>
      <c r="AK31" s="7"/>
      <c r="AL31" s="9"/>
      <c r="AM31" s="587"/>
      <c r="AN31" s="504"/>
      <c r="AO31" s="534"/>
      <c r="AP31" s="505"/>
      <c r="AQ31" s="11"/>
      <c r="AR31" s="7"/>
      <c r="AS31" s="7"/>
      <c r="AT31" s="9"/>
      <c r="AU31" s="587"/>
      <c r="AV31" s="504"/>
      <c r="AW31" s="534"/>
      <c r="AX31" s="505"/>
      <c r="AY31" s="11"/>
      <c r="AZ31" s="7"/>
      <c r="BA31" s="7"/>
      <c r="BB31" s="9"/>
      <c r="BC31" s="587"/>
      <c r="BD31" s="504"/>
    </row>
    <row r="32" spans="1:58" ht="20.100000000000001" customHeight="1">
      <c r="A32" s="501" t="s">
        <v>70</v>
      </c>
      <c r="B32" s="502"/>
      <c r="C32" s="511"/>
      <c r="D32" s="499"/>
      <c r="E32" s="499"/>
      <c r="F32" s="512"/>
      <c r="G32" s="503" t="e">
        <f>C16</f>
        <v>#REF!</v>
      </c>
      <c r="H32" s="504"/>
      <c r="I32" s="501"/>
      <c r="J32" s="502"/>
      <c r="K32" s="511"/>
      <c r="L32" s="499"/>
      <c r="M32" s="499"/>
      <c r="N32" s="512"/>
      <c r="O32" s="503"/>
      <c r="P32" s="504"/>
      <c r="Q32" s="501"/>
      <c r="R32" s="502"/>
      <c r="S32" s="511"/>
      <c r="T32" s="499"/>
      <c r="U32" s="499"/>
      <c r="V32" s="512"/>
      <c r="W32" s="503"/>
      <c r="X32" s="504"/>
      <c r="Y32" s="501"/>
      <c r="Z32" s="502"/>
      <c r="AA32" s="511"/>
      <c r="AB32" s="499"/>
      <c r="AC32" s="499"/>
      <c r="AD32" s="512"/>
      <c r="AE32" s="503"/>
      <c r="AF32" s="504"/>
      <c r="AG32" s="534"/>
      <c r="AH32" s="505"/>
      <c r="AI32" s="11"/>
      <c r="AJ32" s="7"/>
      <c r="AK32" s="7"/>
      <c r="AL32" s="9"/>
      <c r="AM32" s="587"/>
      <c r="AN32" s="504"/>
      <c r="AO32" s="534"/>
      <c r="AP32" s="505"/>
      <c r="AQ32" s="11"/>
      <c r="AR32" s="7"/>
      <c r="AS32" s="7"/>
      <c r="AT32" s="9"/>
      <c r="AU32" s="587"/>
      <c r="AV32" s="504"/>
      <c r="AW32" s="534"/>
      <c r="AX32" s="505"/>
      <c r="AY32" s="11"/>
      <c r="AZ32" s="7"/>
      <c r="BA32" s="7"/>
      <c r="BB32" s="9"/>
      <c r="BC32" s="587"/>
      <c r="BD32" s="504"/>
    </row>
    <row r="33" spans="1:56" ht="20.100000000000001" customHeight="1">
      <c r="A33" s="564"/>
      <c r="B33" s="512"/>
      <c r="C33" s="511"/>
      <c r="D33" s="499"/>
      <c r="E33" s="499"/>
      <c r="F33" s="512"/>
      <c r="G33" s="597"/>
      <c r="H33" s="598"/>
      <c r="I33" s="564"/>
      <c r="J33" s="512"/>
      <c r="K33" s="511"/>
      <c r="L33" s="499"/>
      <c r="M33" s="499"/>
      <c r="N33" s="512"/>
      <c r="O33" s="597"/>
      <c r="P33" s="598"/>
      <c r="Q33" s="564"/>
      <c r="R33" s="512"/>
      <c r="S33" s="511"/>
      <c r="T33" s="499"/>
      <c r="U33" s="499"/>
      <c r="V33" s="512"/>
      <c r="W33" s="597"/>
      <c r="X33" s="598"/>
      <c r="Y33" s="564"/>
      <c r="Z33" s="512"/>
      <c r="AA33" s="511"/>
      <c r="AB33" s="499"/>
      <c r="AC33" s="499"/>
      <c r="AD33" s="512"/>
      <c r="AE33" s="597"/>
      <c r="AF33" s="598"/>
      <c r="AG33" s="564"/>
      <c r="AH33" s="512"/>
      <c r="AI33" s="11"/>
      <c r="AJ33" s="7"/>
      <c r="AK33" s="7"/>
      <c r="AL33" s="9"/>
      <c r="AM33" s="537"/>
      <c r="AN33" s="565"/>
      <c r="AO33" s="564"/>
      <c r="AP33" s="512"/>
      <c r="AQ33" s="11"/>
      <c r="AR33" s="7"/>
      <c r="AS33" s="7"/>
      <c r="AT33" s="9"/>
      <c r="AU33" s="537"/>
      <c r="AV33" s="565"/>
      <c r="AW33" s="564"/>
      <c r="AX33" s="512"/>
      <c r="AY33" s="11"/>
      <c r="AZ33" s="7"/>
      <c r="BA33" s="7"/>
      <c r="BB33" s="9"/>
      <c r="BC33" s="537"/>
      <c r="BD33" s="565"/>
    </row>
    <row r="34" spans="1:56" ht="32.25" customHeight="1">
      <c r="A34" s="498" t="s">
        <v>59</v>
      </c>
      <c r="B34" s="499"/>
      <c r="C34" s="499"/>
      <c r="D34" s="499"/>
      <c r="E34" s="499"/>
      <c r="F34" s="499"/>
      <c r="G34" s="499"/>
      <c r="H34" s="500"/>
      <c r="I34" s="498" t="s">
        <v>59</v>
      </c>
      <c r="J34" s="499"/>
      <c r="K34" s="499"/>
      <c r="L34" s="499"/>
      <c r="M34" s="499"/>
      <c r="N34" s="499"/>
      <c r="O34" s="499"/>
      <c r="P34" s="500"/>
      <c r="Q34" s="498" t="s">
        <v>59</v>
      </c>
      <c r="R34" s="499"/>
      <c r="S34" s="499"/>
      <c r="T34" s="499"/>
      <c r="U34" s="499"/>
      <c r="V34" s="499"/>
      <c r="W34" s="499"/>
      <c r="X34" s="500"/>
      <c r="Y34" s="498" t="s">
        <v>59</v>
      </c>
      <c r="Z34" s="499"/>
      <c r="AA34" s="499"/>
      <c r="AB34" s="499"/>
      <c r="AC34" s="499"/>
      <c r="AD34" s="499"/>
      <c r="AE34" s="499"/>
      <c r="AF34" s="500"/>
      <c r="AG34" s="498" t="s">
        <v>59</v>
      </c>
      <c r="AH34" s="499"/>
      <c r="AI34" s="499"/>
      <c r="AJ34" s="499"/>
      <c r="AK34" s="499"/>
      <c r="AL34" s="499"/>
      <c r="AM34" s="499"/>
      <c r="AN34" s="500"/>
      <c r="AO34" s="498" t="s">
        <v>59</v>
      </c>
      <c r="AP34" s="499"/>
      <c r="AQ34" s="499"/>
      <c r="AR34" s="499"/>
      <c r="AS34" s="499"/>
      <c r="AT34" s="499"/>
      <c r="AU34" s="499"/>
      <c r="AV34" s="500"/>
      <c r="AW34" s="498" t="s">
        <v>59</v>
      </c>
      <c r="AX34" s="499"/>
      <c r="AY34" s="499"/>
      <c r="AZ34" s="499"/>
      <c r="BA34" s="499"/>
      <c r="BB34" s="499"/>
      <c r="BC34" s="499"/>
      <c r="BD34" s="500"/>
    </row>
    <row r="35" spans="1:56" s="12" customFormat="1" ht="17.25" customHeight="1"/>
  </sheetData>
  <mergeCells count="575">
    <mergeCell ref="AW34:BD34"/>
    <mergeCell ref="AA32:AD32"/>
    <mergeCell ref="AA33:AD33"/>
    <mergeCell ref="AM33:AN33"/>
    <mergeCell ref="AO33:AP33"/>
    <mergeCell ref="AU33:AV33"/>
    <mergeCell ref="AW33:AX33"/>
    <mergeCell ref="BC33:BD33"/>
    <mergeCell ref="AG32:AH32"/>
    <mergeCell ref="AM32:AN32"/>
    <mergeCell ref="AO32:AP32"/>
    <mergeCell ref="AU32:AV32"/>
    <mergeCell ref="AW32:AX32"/>
    <mergeCell ref="BC32:BD32"/>
    <mergeCell ref="AO31:AP31"/>
    <mergeCell ref="AU31:AV31"/>
    <mergeCell ref="A34:H34"/>
    <mergeCell ref="I34:P34"/>
    <mergeCell ref="Q34:X34"/>
    <mergeCell ref="Y34:AF34"/>
    <mergeCell ref="AG34:AN34"/>
    <mergeCell ref="Q33:R33"/>
    <mergeCell ref="S33:V33"/>
    <mergeCell ref="W33:X33"/>
    <mergeCell ref="Y33:Z33"/>
    <mergeCell ref="AE33:AF33"/>
    <mergeCell ref="AG33:AH33"/>
    <mergeCell ref="A33:B33"/>
    <mergeCell ref="C33:F33"/>
    <mergeCell ref="G33:H33"/>
    <mergeCell ref="I33:J33"/>
    <mergeCell ref="K33:N33"/>
    <mergeCell ref="O33:P33"/>
    <mergeCell ref="AO34:AV34"/>
    <mergeCell ref="AE31:AF31"/>
    <mergeCell ref="AG31:AH31"/>
    <mergeCell ref="O32:P32"/>
    <mergeCell ref="Q32:R32"/>
    <mergeCell ref="S32:V32"/>
    <mergeCell ref="W32:X32"/>
    <mergeCell ref="Y32:Z32"/>
    <mergeCell ref="AE32:AF32"/>
    <mergeCell ref="AM31:AN31"/>
    <mergeCell ref="A32:B32"/>
    <mergeCell ref="C32:F32"/>
    <mergeCell ref="G32:H32"/>
    <mergeCell ref="I32:J32"/>
    <mergeCell ref="K32:N32"/>
    <mergeCell ref="S31:V31"/>
    <mergeCell ref="W31:X31"/>
    <mergeCell ref="Y31:Z31"/>
    <mergeCell ref="AA31:AD31"/>
    <mergeCell ref="BC30:BD30"/>
    <mergeCell ref="A31:B31"/>
    <mergeCell ref="C31:F31"/>
    <mergeCell ref="G31:H31"/>
    <mergeCell ref="I31:J31"/>
    <mergeCell ref="K31:N31"/>
    <mergeCell ref="O31:P31"/>
    <mergeCell ref="Q31:R31"/>
    <mergeCell ref="AG30:AH30"/>
    <mergeCell ref="AI30:AL30"/>
    <mergeCell ref="AM30:AN30"/>
    <mergeCell ref="AO30:AP30"/>
    <mergeCell ref="AQ30:AT30"/>
    <mergeCell ref="AU30:AV30"/>
    <mergeCell ref="Q30:R30"/>
    <mergeCell ref="S30:V30"/>
    <mergeCell ref="W30:X30"/>
    <mergeCell ref="Y30:Z30"/>
    <mergeCell ref="AA30:AD30"/>
    <mergeCell ref="AE30:AF30"/>
    <mergeCell ref="A30:B30"/>
    <mergeCell ref="C30:F30"/>
    <mergeCell ref="AW31:AX31"/>
    <mergeCell ref="BC31:BD31"/>
    <mergeCell ref="G30:H30"/>
    <mergeCell ref="I30:J30"/>
    <mergeCell ref="K30:N30"/>
    <mergeCell ref="O30:P30"/>
    <mergeCell ref="AO29:AP29"/>
    <mergeCell ref="AQ29:AT29"/>
    <mergeCell ref="AU29:AV29"/>
    <mergeCell ref="AW29:AX29"/>
    <mergeCell ref="AY29:BB29"/>
    <mergeCell ref="AW30:AX30"/>
    <mergeCell ref="AY30:BB30"/>
    <mergeCell ref="BC29:BD29"/>
    <mergeCell ref="Y29:Z29"/>
    <mergeCell ref="AA29:AD29"/>
    <mergeCell ref="AE29:AF29"/>
    <mergeCell ref="AG29:AH29"/>
    <mergeCell ref="AI29:AL29"/>
    <mergeCell ref="AM29:AN29"/>
    <mergeCell ref="AW28:BD28"/>
    <mergeCell ref="A29:B29"/>
    <mergeCell ref="C29:F29"/>
    <mergeCell ref="G29:H29"/>
    <mergeCell ref="I29:J29"/>
    <mergeCell ref="K29:N29"/>
    <mergeCell ref="O29:P29"/>
    <mergeCell ref="Q29:R29"/>
    <mergeCell ref="S29:V29"/>
    <mergeCell ref="W29:X29"/>
    <mergeCell ref="A28:H28"/>
    <mergeCell ref="I28:P28"/>
    <mergeCell ref="Q28:X28"/>
    <mergeCell ref="Y28:AF28"/>
    <mergeCell ref="AG28:AN28"/>
    <mergeCell ref="AO28:AV28"/>
    <mergeCell ref="BC26:BD26"/>
    <mergeCell ref="A27:H27"/>
    <mergeCell ref="I27:P27"/>
    <mergeCell ref="Q27:X27"/>
    <mergeCell ref="Y27:AF27"/>
    <mergeCell ref="AG27:AN27"/>
    <mergeCell ref="AO27:AV27"/>
    <mergeCell ref="AW27:BD27"/>
    <mergeCell ref="AM26:AN26"/>
    <mergeCell ref="AO26:AP26"/>
    <mergeCell ref="AS26:AT26"/>
    <mergeCell ref="AU26:AV26"/>
    <mergeCell ref="AW26:AX26"/>
    <mergeCell ref="BA26:BB26"/>
    <mergeCell ref="W26:X26"/>
    <mergeCell ref="Y26:Z26"/>
    <mergeCell ref="AC26:AD26"/>
    <mergeCell ref="AE26:AF26"/>
    <mergeCell ref="AG26:AH26"/>
    <mergeCell ref="AK26:AL26"/>
    <mergeCell ref="BA25:BB25"/>
    <mergeCell ref="BC25:BD25"/>
    <mergeCell ref="A26:B26"/>
    <mergeCell ref="E26:F26"/>
    <mergeCell ref="G26:H26"/>
    <mergeCell ref="I26:J26"/>
    <mergeCell ref="M26:N26"/>
    <mergeCell ref="O26:P26"/>
    <mergeCell ref="Q26:R26"/>
    <mergeCell ref="U26:V26"/>
    <mergeCell ref="AO25:AP25"/>
    <mergeCell ref="AQ25:AR25"/>
    <mergeCell ref="AS25:AT25"/>
    <mergeCell ref="AU25:AV25"/>
    <mergeCell ref="AW25:AX25"/>
    <mergeCell ref="AY25:AZ25"/>
    <mergeCell ref="AC25:AD25"/>
    <mergeCell ref="AE25:AF25"/>
    <mergeCell ref="AG25:AH25"/>
    <mergeCell ref="AI25:AJ25"/>
    <mergeCell ref="AK25:AL25"/>
    <mergeCell ref="AM25:AN25"/>
    <mergeCell ref="Q25:R25"/>
    <mergeCell ref="S25:T25"/>
    <mergeCell ref="U25:V25"/>
    <mergeCell ref="W25:X25"/>
    <mergeCell ref="Y25:Z25"/>
    <mergeCell ref="AA25:AB25"/>
    <mergeCell ref="BA24:BB24"/>
    <mergeCell ref="BC24:BD24"/>
    <mergeCell ref="A25:B25"/>
    <mergeCell ref="C25:D25"/>
    <mergeCell ref="E25:F25"/>
    <mergeCell ref="G25:H25"/>
    <mergeCell ref="I25:J25"/>
    <mergeCell ref="K25:L25"/>
    <mergeCell ref="M25:N25"/>
    <mergeCell ref="O25:P25"/>
    <mergeCell ref="AK24:AL24"/>
    <mergeCell ref="AM24:AN24"/>
    <mergeCell ref="AQ24:AR24"/>
    <mergeCell ref="AS24:AT24"/>
    <mergeCell ref="AU24:AV24"/>
    <mergeCell ref="AY24:AZ24"/>
    <mergeCell ref="U24:V24"/>
    <mergeCell ref="W24:X24"/>
    <mergeCell ref="AA24:AB24"/>
    <mergeCell ref="AC24:AD24"/>
    <mergeCell ref="AY23:AZ23"/>
    <mergeCell ref="BA23:BB23"/>
    <mergeCell ref="BC23:BD23"/>
    <mergeCell ref="C24:D24"/>
    <mergeCell ref="E24:F24"/>
    <mergeCell ref="G24:H24"/>
    <mergeCell ref="K24:L24"/>
    <mergeCell ref="M24:N24"/>
    <mergeCell ref="O24:P24"/>
    <mergeCell ref="AW22:AW24"/>
    <mergeCell ref="AY22:AZ22"/>
    <mergeCell ref="BA22:BB22"/>
    <mergeCell ref="BC22:BD22"/>
    <mergeCell ref="C23:D23"/>
    <mergeCell ref="E23:F23"/>
    <mergeCell ref="G23:H23"/>
    <mergeCell ref="K23:L23"/>
    <mergeCell ref="M23:N23"/>
    <mergeCell ref="O23:P23"/>
    <mergeCell ref="AK22:AL22"/>
    <mergeCell ref="AM22:AN22"/>
    <mergeCell ref="AO22:AO24"/>
    <mergeCell ref="AQ22:AR22"/>
    <mergeCell ref="AS22:AT22"/>
    <mergeCell ref="AU22:AV22"/>
    <mergeCell ref="AK23:AL23"/>
    <mergeCell ref="AM23:AN23"/>
    <mergeCell ref="AQ23:AR23"/>
    <mergeCell ref="AS23:AT23"/>
    <mergeCell ref="Y22:Y24"/>
    <mergeCell ref="AA22:AB22"/>
    <mergeCell ref="AC22:AD22"/>
    <mergeCell ref="AE22:AF22"/>
    <mergeCell ref="AG22:AG24"/>
    <mergeCell ref="AI22:AJ22"/>
    <mergeCell ref="AA23:AB23"/>
    <mergeCell ref="AC23:AD23"/>
    <mergeCell ref="AE23:AF23"/>
    <mergeCell ref="AI23:AJ23"/>
    <mergeCell ref="AE24:AF24"/>
    <mergeCell ref="AI24:AJ24"/>
    <mergeCell ref="AU23:AV23"/>
    <mergeCell ref="A22:A24"/>
    <mergeCell ref="C22:D22"/>
    <mergeCell ref="E22:F22"/>
    <mergeCell ref="G22:H22"/>
    <mergeCell ref="I22:I24"/>
    <mergeCell ref="K22:L22"/>
    <mergeCell ref="AC21:AD21"/>
    <mergeCell ref="AE21:AF21"/>
    <mergeCell ref="AK21:AL21"/>
    <mergeCell ref="M22:N22"/>
    <mergeCell ref="O22:P22"/>
    <mergeCell ref="Q22:Q24"/>
    <mergeCell ref="S22:T22"/>
    <mergeCell ref="U22:V22"/>
    <mergeCell ref="W22:X22"/>
    <mergeCell ref="S23:T23"/>
    <mergeCell ref="U23:V23"/>
    <mergeCell ref="W23:X23"/>
    <mergeCell ref="S24:T24"/>
    <mergeCell ref="A12:A21"/>
    <mergeCell ref="C12:D12"/>
    <mergeCell ref="E12:F12"/>
    <mergeCell ref="G12:H12"/>
    <mergeCell ref="G18:H18"/>
    <mergeCell ref="AM21:AN21"/>
    <mergeCell ref="AS21:AT21"/>
    <mergeCell ref="AU21:AV21"/>
    <mergeCell ref="AK20:AL20"/>
    <mergeCell ref="AM20:AN20"/>
    <mergeCell ref="AS20:AT20"/>
    <mergeCell ref="AU20:AV20"/>
    <mergeCell ref="E21:F21"/>
    <mergeCell ref="G21:H21"/>
    <mergeCell ref="M21:N21"/>
    <mergeCell ref="O21:P21"/>
    <mergeCell ref="U21:V21"/>
    <mergeCell ref="W21:X21"/>
    <mergeCell ref="E20:F20"/>
    <mergeCell ref="G20:H20"/>
    <mergeCell ref="M20:N20"/>
    <mergeCell ref="O20:P20"/>
    <mergeCell ref="U20:V20"/>
    <mergeCell ref="W20:X20"/>
    <mergeCell ref="AC20:AD20"/>
    <mergeCell ref="AE20:AF20"/>
    <mergeCell ref="AM19:AN19"/>
    <mergeCell ref="AQ19:AR19"/>
    <mergeCell ref="AS19:AT19"/>
    <mergeCell ref="AU19:AV19"/>
    <mergeCell ref="AY19:AZ19"/>
    <mergeCell ref="U19:V19"/>
    <mergeCell ref="W19:X19"/>
    <mergeCell ref="AA19:AB19"/>
    <mergeCell ref="AC19:AD19"/>
    <mergeCell ref="AE19:AF19"/>
    <mergeCell ref="AI19:AJ19"/>
    <mergeCell ref="AK19:AL19"/>
    <mergeCell ref="BC18:BD18"/>
    <mergeCell ref="C19:D19"/>
    <mergeCell ref="E19:F19"/>
    <mergeCell ref="G19:H19"/>
    <mergeCell ref="K19:L19"/>
    <mergeCell ref="M19:N19"/>
    <mergeCell ref="O19:P19"/>
    <mergeCell ref="S19:T19"/>
    <mergeCell ref="AI18:AJ18"/>
    <mergeCell ref="AK18:AL18"/>
    <mergeCell ref="AM18:AN18"/>
    <mergeCell ref="AQ18:AR18"/>
    <mergeCell ref="AS18:AT18"/>
    <mergeCell ref="AU18:AV18"/>
    <mergeCell ref="S18:T18"/>
    <mergeCell ref="U18:V18"/>
    <mergeCell ref="W18:X18"/>
    <mergeCell ref="AA18:AB18"/>
    <mergeCell ref="AC18:AD18"/>
    <mergeCell ref="AE18:AF18"/>
    <mergeCell ref="C18:D18"/>
    <mergeCell ref="E18:F18"/>
    <mergeCell ref="BA19:BB19"/>
    <mergeCell ref="BC19:BD19"/>
    <mergeCell ref="M18:N18"/>
    <mergeCell ref="O18:P18"/>
    <mergeCell ref="AQ17:AR17"/>
    <mergeCell ref="AS17:AT17"/>
    <mergeCell ref="AU17:AV17"/>
    <mergeCell ref="AY17:AZ17"/>
    <mergeCell ref="BA17:BB17"/>
    <mergeCell ref="AY18:AZ18"/>
    <mergeCell ref="BA18:BB18"/>
    <mergeCell ref="BC17:BD17"/>
    <mergeCell ref="AA17:AB17"/>
    <mergeCell ref="AC17:AD17"/>
    <mergeCell ref="AE17:AF17"/>
    <mergeCell ref="AI17:AJ17"/>
    <mergeCell ref="AK17:AL17"/>
    <mergeCell ref="AM17:AN17"/>
    <mergeCell ref="BC16:BD16"/>
    <mergeCell ref="C17:D17"/>
    <mergeCell ref="E17:F17"/>
    <mergeCell ref="G17:H17"/>
    <mergeCell ref="K17:L17"/>
    <mergeCell ref="M17:N17"/>
    <mergeCell ref="O17:P17"/>
    <mergeCell ref="S17:T17"/>
    <mergeCell ref="U17:V17"/>
    <mergeCell ref="W17:X17"/>
    <mergeCell ref="AM16:AN16"/>
    <mergeCell ref="AQ16:AR16"/>
    <mergeCell ref="AS16:AT16"/>
    <mergeCell ref="AU16:AV16"/>
    <mergeCell ref="AY16:AZ16"/>
    <mergeCell ref="BA16:BB16"/>
    <mergeCell ref="W16:X16"/>
    <mergeCell ref="AI16:AJ16"/>
    <mergeCell ref="AK16:AL16"/>
    <mergeCell ref="BA15:BB15"/>
    <mergeCell ref="BC15:BD15"/>
    <mergeCell ref="C16:D16"/>
    <mergeCell ref="E16:F16"/>
    <mergeCell ref="G16:H16"/>
    <mergeCell ref="K16:L16"/>
    <mergeCell ref="M16:N16"/>
    <mergeCell ref="O16:P16"/>
    <mergeCell ref="S16:T16"/>
    <mergeCell ref="U16:V16"/>
    <mergeCell ref="AK15:AL15"/>
    <mergeCell ref="AM15:AN15"/>
    <mergeCell ref="AQ15:AR15"/>
    <mergeCell ref="AS15:AT15"/>
    <mergeCell ref="AU15:AV15"/>
    <mergeCell ref="AY15:AZ15"/>
    <mergeCell ref="U15:V15"/>
    <mergeCell ref="W15:X15"/>
    <mergeCell ref="AA15:AB15"/>
    <mergeCell ref="AI14:AJ14"/>
    <mergeCell ref="AK14:AL14"/>
    <mergeCell ref="AM14:AN14"/>
    <mergeCell ref="AQ14:AR14"/>
    <mergeCell ref="AS14:AT14"/>
    <mergeCell ref="AU14:AV14"/>
    <mergeCell ref="S14:T14"/>
    <mergeCell ref="U14:V14"/>
    <mergeCell ref="W14:X14"/>
    <mergeCell ref="AA14:AB14"/>
    <mergeCell ref="AC14:AD14"/>
    <mergeCell ref="AS13:AT13"/>
    <mergeCell ref="AU13:AV13"/>
    <mergeCell ref="AY13:AZ13"/>
    <mergeCell ref="BA13:BB13"/>
    <mergeCell ref="BC13:BD13"/>
    <mergeCell ref="C14:D14"/>
    <mergeCell ref="E14:F14"/>
    <mergeCell ref="G14:H14"/>
    <mergeCell ref="K14:L14"/>
    <mergeCell ref="M14:N14"/>
    <mergeCell ref="I12:I19"/>
    <mergeCell ref="AC15:AD15"/>
    <mergeCell ref="AE15:AF15"/>
    <mergeCell ref="AI15:AJ15"/>
    <mergeCell ref="AY14:AZ14"/>
    <mergeCell ref="BA14:BB14"/>
    <mergeCell ref="BC14:BD14"/>
    <mergeCell ref="C15:D15"/>
    <mergeCell ref="E15:F15"/>
    <mergeCell ref="G15:H15"/>
    <mergeCell ref="K15:L15"/>
    <mergeCell ref="M15:N15"/>
    <mergeCell ref="O15:P15"/>
    <mergeCell ref="S15:T15"/>
    <mergeCell ref="AU12:AV12"/>
    <mergeCell ref="AW12:AW19"/>
    <mergeCell ref="AY12:AZ12"/>
    <mergeCell ref="BA12:BB12"/>
    <mergeCell ref="BC12:BD12"/>
    <mergeCell ref="C13:D13"/>
    <mergeCell ref="E13:F13"/>
    <mergeCell ref="G13:H13"/>
    <mergeCell ref="K13:L13"/>
    <mergeCell ref="M13:N13"/>
    <mergeCell ref="AI12:AJ12"/>
    <mergeCell ref="AK12:AL12"/>
    <mergeCell ref="AM12:AN12"/>
    <mergeCell ref="AO12:AO19"/>
    <mergeCell ref="AQ12:AR12"/>
    <mergeCell ref="AS12:AT12"/>
    <mergeCell ref="AI13:AJ13"/>
    <mergeCell ref="AK13:AL13"/>
    <mergeCell ref="AM13:AN13"/>
    <mergeCell ref="AQ13:AR13"/>
    <mergeCell ref="W12:X12"/>
    <mergeCell ref="Y12:Y19"/>
    <mergeCell ref="AA12:AB12"/>
    <mergeCell ref="AC12:AD12"/>
    <mergeCell ref="AI11:AJ11"/>
    <mergeCell ref="AK11:AL11"/>
    <mergeCell ref="AM11:AN11"/>
    <mergeCell ref="AO11:AP11"/>
    <mergeCell ref="W11:X11"/>
    <mergeCell ref="Y11:Z11"/>
    <mergeCell ref="AA11:AB11"/>
    <mergeCell ref="AC11:AD11"/>
    <mergeCell ref="AE11:AF11"/>
    <mergeCell ref="AG11:AH11"/>
    <mergeCell ref="K11:L11"/>
    <mergeCell ref="M11:N11"/>
    <mergeCell ref="AE12:AF12"/>
    <mergeCell ref="AG12:AG19"/>
    <mergeCell ref="W13:X13"/>
    <mergeCell ref="AA13:AB13"/>
    <mergeCell ref="AC13:AD13"/>
    <mergeCell ref="AE13:AF13"/>
    <mergeCell ref="K12:L12"/>
    <mergeCell ref="U11:V11"/>
    <mergeCell ref="M12:N12"/>
    <mergeCell ref="O12:P12"/>
    <mergeCell ref="Q12:Q19"/>
    <mergeCell ref="S12:T12"/>
    <mergeCell ref="U12:V12"/>
    <mergeCell ref="O13:P13"/>
    <mergeCell ref="S13:T13"/>
    <mergeCell ref="U13:V13"/>
    <mergeCell ref="O14:P14"/>
    <mergeCell ref="AE14:AF14"/>
    <mergeCell ref="AA16:AB16"/>
    <mergeCell ref="AC16:AD16"/>
    <mergeCell ref="AE16:AF16"/>
    <mergeCell ref="K18:L18"/>
    <mergeCell ref="AK10:AN10"/>
    <mergeCell ref="AO10:AR10"/>
    <mergeCell ref="AS10:AV10"/>
    <mergeCell ref="AW10:AZ10"/>
    <mergeCell ref="BA10:BD10"/>
    <mergeCell ref="AU11:AV11"/>
    <mergeCell ref="AW11:AX11"/>
    <mergeCell ref="AY11:AZ11"/>
    <mergeCell ref="BA11:BB11"/>
    <mergeCell ref="BC11:BD11"/>
    <mergeCell ref="AQ11:AR11"/>
    <mergeCell ref="AS11:AT11"/>
    <mergeCell ref="A11:B11"/>
    <mergeCell ref="C11:D11"/>
    <mergeCell ref="E11:F11"/>
    <mergeCell ref="G11:H11"/>
    <mergeCell ref="I11:J11"/>
    <mergeCell ref="AW9:BD9"/>
    <mergeCell ref="A10:D10"/>
    <mergeCell ref="E10:H10"/>
    <mergeCell ref="I10:L10"/>
    <mergeCell ref="M10:P10"/>
    <mergeCell ref="Q10:T10"/>
    <mergeCell ref="U10:X10"/>
    <mergeCell ref="Y10:AB10"/>
    <mergeCell ref="AC10:AF10"/>
    <mergeCell ref="AG10:AJ10"/>
    <mergeCell ref="A9:H9"/>
    <mergeCell ref="I9:P9"/>
    <mergeCell ref="Q9:X9"/>
    <mergeCell ref="Y9:AF9"/>
    <mergeCell ref="AG9:AN9"/>
    <mergeCell ref="AO9:AV9"/>
    <mergeCell ref="O11:P11"/>
    <mergeCell ref="Q11:R11"/>
    <mergeCell ref="S11:T11"/>
    <mergeCell ref="BA7:BB7"/>
    <mergeCell ref="BC7:BD7"/>
    <mergeCell ref="C8:D8"/>
    <mergeCell ref="K8:L8"/>
    <mergeCell ref="S8:T8"/>
    <mergeCell ref="AA8:AB8"/>
    <mergeCell ref="AI8:AJ8"/>
    <mergeCell ref="AQ8:AR8"/>
    <mergeCell ref="AY8:AZ8"/>
    <mergeCell ref="AO7:AP7"/>
    <mergeCell ref="AQ7:AR7"/>
    <mergeCell ref="AS7:AT7"/>
    <mergeCell ref="AU7:AV7"/>
    <mergeCell ref="AW7:AX7"/>
    <mergeCell ref="AY7:AZ7"/>
    <mergeCell ref="AC7:AD7"/>
    <mergeCell ref="AE7:AF7"/>
    <mergeCell ref="AG7:AH7"/>
    <mergeCell ref="AI7:AJ7"/>
    <mergeCell ref="AK7:AL7"/>
    <mergeCell ref="AM7:AN7"/>
    <mergeCell ref="Q7:R7"/>
    <mergeCell ref="S7:T7"/>
    <mergeCell ref="U7:V7"/>
    <mergeCell ref="W7:X7"/>
    <mergeCell ref="Y7:Z7"/>
    <mergeCell ref="AA7:AB7"/>
    <mergeCell ref="BA6:BB6"/>
    <mergeCell ref="BC6:BD6"/>
    <mergeCell ref="A7:B7"/>
    <mergeCell ref="C7:D7"/>
    <mergeCell ref="E7:F7"/>
    <mergeCell ref="G7:H7"/>
    <mergeCell ref="I7:J7"/>
    <mergeCell ref="K7:L7"/>
    <mergeCell ref="M7:N7"/>
    <mergeCell ref="O7:P7"/>
    <mergeCell ref="AO6:AP6"/>
    <mergeCell ref="AQ6:AR6"/>
    <mergeCell ref="AS6:AT6"/>
    <mergeCell ref="AU6:AV6"/>
    <mergeCell ref="AW6:AX6"/>
    <mergeCell ref="AY6:AZ6"/>
    <mergeCell ref="AC6:AD6"/>
    <mergeCell ref="AE6:AF6"/>
    <mergeCell ref="AG6:AH6"/>
    <mergeCell ref="AI6:AJ6"/>
    <mergeCell ref="AK6:AL6"/>
    <mergeCell ref="AM6:AN6"/>
    <mergeCell ref="Q6:R6"/>
    <mergeCell ref="S6:T6"/>
    <mergeCell ref="U6:V6"/>
    <mergeCell ref="W6:X6"/>
    <mergeCell ref="Y6:Z6"/>
    <mergeCell ref="AA6:AB6"/>
    <mergeCell ref="AW5:AX5"/>
    <mergeCell ref="AY5:BD5"/>
    <mergeCell ref="AA5:AF5"/>
    <mergeCell ref="AG5:AH5"/>
    <mergeCell ref="AI5:AN5"/>
    <mergeCell ref="AO5:AP5"/>
    <mergeCell ref="AQ5:AV5"/>
    <mergeCell ref="A6:B6"/>
    <mergeCell ref="C6:D6"/>
    <mergeCell ref="E6:F6"/>
    <mergeCell ref="G6:H6"/>
    <mergeCell ref="I6:J6"/>
    <mergeCell ref="K6:L6"/>
    <mergeCell ref="M6:N6"/>
    <mergeCell ref="O6:P6"/>
    <mergeCell ref="Y5:Z5"/>
    <mergeCell ref="A5:B5"/>
    <mergeCell ref="C5:H5"/>
    <mergeCell ref="I5:J5"/>
    <mergeCell ref="K5:P5"/>
    <mergeCell ref="Q5:R5"/>
    <mergeCell ref="S5:X5"/>
    <mergeCell ref="AW1:BD1"/>
    <mergeCell ref="A3:H3"/>
    <mergeCell ref="I3:P3"/>
    <mergeCell ref="Q3:X3"/>
    <mergeCell ref="Y3:AF3"/>
    <mergeCell ref="AG3:AN3"/>
    <mergeCell ref="AO3:AV3"/>
    <mergeCell ref="AW3:BD3"/>
    <mergeCell ref="A1:H1"/>
    <mergeCell ref="I1:P1"/>
    <mergeCell ref="Q1:X1"/>
    <mergeCell ref="Y1:AF1"/>
    <mergeCell ref="AG1:AN1"/>
    <mergeCell ref="AO1:AV1"/>
  </mergeCells>
  <phoneticPr fontId="4" type="noConversion"/>
  <printOptions horizontalCentered="1" verticalCentered="1"/>
  <pageMargins left="0.70866141732283472" right="0.70866141732283472" top="0.74803149606299213" bottom="0.74803149606299213" header="0.31496062992125984" footer="0.31496062992125984"/>
  <pageSetup paperSize="9" scale="11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2738E8-D0A5-4551-94F0-74FF5A00EE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 지정된 범위</vt:lpstr>
      </vt:variant>
      <vt:variant>
        <vt:i4>35</vt:i4>
      </vt:variant>
    </vt:vector>
  </HeadingPairs>
  <TitlesOfParts>
    <vt:vector size="48" baseType="lpstr">
      <vt:lpstr>급여셋팅</vt:lpstr>
      <vt:lpstr>포괄 급여계산</vt:lpstr>
      <vt:lpstr>연장추가근로시</vt:lpstr>
      <vt:lpstr>급여대장</vt:lpstr>
      <vt:lpstr>근로계약서(계약직)</vt:lpstr>
      <vt:lpstr>임금명세서</vt:lpstr>
      <vt:lpstr>근로계약서(상용)</vt:lpstr>
      <vt:lpstr>근로계약서(현장)</vt:lpstr>
      <vt:lpstr>간이세액표</vt:lpstr>
      <vt:lpstr>임금명세서 (8~14)</vt:lpstr>
      <vt:lpstr>임금명세서 (15~18)</vt:lpstr>
      <vt:lpstr>임금명세서 (19~22)</vt:lpstr>
      <vt:lpstr>임금명세서 (23~26)</vt:lpstr>
      <vt:lpstr>'근로계약서(계약직)'!Print_Area</vt:lpstr>
      <vt:lpstr>'근로계약서(상용)'!Print_Area</vt:lpstr>
      <vt:lpstr>'근로계약서(현장)'!Print_Area</vt:lpstr>
      <vt:lpstr>급여대장!Print_Area</vt:lpstr>
      <vt:lpstr>임금명세서!Print_Area</vt:lpstr>
      <vt:lpstr>'임금명세서 (15~18)'!Print_Area</vt:lpstr>
      <vt:lpstr>'임금명세서 (19~22)'!Print_Area</vt:lpstr>
      <vt:lpstr>'임금명세서 (23~26)'!Print_Area</vt:lpstr>
      <vt:lpstr>'임금명세서 (8~14)'!Print_Area</vt:lpstr>
      <vt:lpstr>간이세액표!간이세액표</vt:lpstr>
      <vt:lpstr>급여대장!건강보험</vt:lpstr>
      <vt:lpstr>급여대장!건강정산</vt:lpstr>
      <vt:lpstr>급여대장!고용보험</vt:lpstr>
      <vt:lpstr>급여대장!고정연장근로수당</vt:lpstr>
      <vt:lpstr>급여대장!공제합계</vt:lpstr>
      <vt:lpstr>급여대장!과세_합계</vt:lpstr>
      <vt:lpstr>급여대장!국민연금</vt:lpstr>
      <vt:lpstr>급여대장!급여_합계</vt:lpstr>
      <vt:lpstr>급여대장!기_본_급</vt:lpstr>
      <vt:lpstr>급여대장!성명</vt:lpstr>
      <vt:lpstr>급여대장!소득세</vt:lpstr>
      <vt:lpstr>급여대장!소득세정산</vt:lpstr>
      <vt:lpstr>급여대장!식대</vt:lpstr>
      <vt:lpstr>급여대장!연금정산</vt:lpstr>
      <vt:lpstr>급여대장!연번</vt:lpstr>
      <vt:lpstr>급여대장!입사일</vt:lpstr>
      <vt:lpstr>급여대장!장기요양</vt:lpstr>
      <vt:lpstr>급여대장!장기요양정산</vt:lpstr>
      <vt:lpstr>급여대장!주민번호</vt:lpstr>
      <vt:lpstr>급여대장!주민세</vt:lpstr>
      <vt:lpstr>급여대장!주민세정산</vt:lpstr>
      <vt:lpstr>급여대장!지급총액</vt:lpstr>
      <vt:lpstr>급여대장!차감지급액</vt:lpstr>
      <vt:lpstr>급여대장!퇴사일</vt:lpstr>
      <vt:lpstr>급여대장!피부양자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 Hyesung</dc:creator>
  <cp:lastModifiedBy>소연 이</cp:lastModifiedBy>
  <cp:lastPrinted>2025-05-30T01:42:09Z</cp:lastPrinted>
  <dcterms:created xsi:type="dcterms:W3CDTF">2022-06-19T07:15:31Z</dcterms:created>
  <dcterms:modified xsi:type="dcterms:W3CDTF">2026-04-06T09:09:54Z</dcterms:modified>
</cp:coreProperties>
</file>